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F9114C0C-8526-4EB2-A34D-B2B2241583A9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1_Summary at PL" sheetId="1" r:id="rId1"/>
    <sheet name="2_Cost break up_Distr to dealer" sheetId="2" r:id="rId2"/>
    <sheet name="3_Summary less QD" sheetId="3" r:id="rId3"/>
    <sheet name="4_Summary prevailing dlr level" sheetId="5" r:id="rId4"/>
    <sheet name="back up-&gt;1_Summary at PL (2)" sheetId="4" r:id="rId5"/>
    <sheet name="Price Ma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J6" i="5"/>
  <c r="J5" i="5"/>
  <c r="J4" i="5"/>
  <c r="J8" i="5"/>
  <c r="J9" i="5"/>
  <c r="J10" i="5"/>
  <c r="J11" i="5"/>
  <c r="J12" i="5"/>
  <c r="H7" i="5"/>
  <c r="H6" i="5"/>
  <c r="H8" i="5"/>
  <c r="H9" i="5"/>
  <c r="H10" i="5"/>
  <c r="H11" i="5"/>
  <c r="H12" i="5"/>
  <c r="H5" i="5"/>
  <c r="H4" i="5"/>
  <c r="B8" i="5"/>
  <c r="F12" i="5"/>
  <c r="F11" i="5"/>
  <c r="F10" i="5"/>
  <c r="F8" i="5"/>
  <c r="F7" i="5"/>
  <c r="F6" i="5"/>
  <c r="F5" i="5"/>
  <c r="F4" i="5"/>
  <c r="D12" i="5"/>
  <c r="D11" i="5"/>
  <c r="D10" i="5"/>
  <c r="D8" i="5"/>
  <c r="D7" i="5"/>
  <c r="D6" i="5"/>
  <c r="D5" i="5"/>
  <c r="D4" i="5"/>
  <c r="B7" i="5"/>
  <c r="B6" i="5"/>
  <c r="B5" i="5"/>
  <c r="B4" i="5"/>
  <c r="B12" i="5"/>
  <c r="J9" i="6"/>
  <c r="I9" i="6"/>
  <c r="H9" i="6"/>
  <c r="G9" i="6"/>
  <c r="F9" i="6"/>
  <c r="E9" i="6"/>
  <c r="D9" i="6"/>
  <c r="C9" i="6"/>
  <c r="B9" i="6"/>
  <c r="J8" i="6"/>
  <c r="I8" i="6"/>
  <c r="H8" i="6"/>
  <c r="G8" i="6"/>
  <c r="F8" i="6"/>
  <c r="E8" i="6"/>
  <c r="D8" i="6"/>
  <c r="C8" i="6"/>
  <c r="B8" i="6"/>
  <c r="J7" i="6"/>
  <c r="I7" i="6"/>
  <c r="H7" i="6"/>
  <c r="G7" i="6"/>
  <c r="F7" i="6"/>
  <c r="E7" i="6"/>
  <c r="D7" i="6"/>
  <c r="C7" i="6"/>
  <c r="B7" i="6"/>
  <c r="J6" i="6"/>
  <c r="I6" i="6"/>
  <c r="H6" i="6"/>
  <c r="G6" i="6"/>
  <c r="F6" i="6"/>
  <c r="E6" i="6"/>
  <c r="D6" i="6"/>
  <c r="C6" i="6"/>
  <c r="B6" i="6"/>
  <c r="J5" i="6"/>
  <c r="I5" i="6"/>
  <c r="H5" i="6"/>
  <c r="G5" i="6"/>
  <c r="F5" i="6"/>
  <c r="E5" i="6"/>
  <c r="D5" i="6"/>
  <c r="C5" i="6"/>
  <c r="B5" i="6"/>
  <c r="J4" i="6"/>
  <c r="I4" i="6"/>
  <c r="H4" i="6"/>
  <c r="G4" i="6"/>
  <c r="F4" i="6"/>
  <c r="E4" i="6"/>
  <c r="D4" i="6"/>
  <c r="C4" i="6"/>
  <c r="B4" i="6"/>
  <c r="J3" i="6"/>
  <c r="I3" i="6"/>
  <c r="H3" i="6"/>
  <c r="G3" i="6"/>
  <c r="F3" i="6"/>
  <c r="E3" i="6"/>
  <c r="D3" i="6"/>
  <c r="C3" i="6"/>
  <c r="B3" i="6"/>
  <c r="J2" i="6"/>
  <c r="I2" i="6"/>
  <c r="H2" i="6"/>
  <c r="G2" i="6"/>
  <c r="F2" i="6"/>
  <c r="E2" i="6"/>
  <c r="D2" i="6"/>
  <c r="C2" i="6"/>
  <c r="B2" i="6"/>
  <c r="B11" i="5"/>
  <c r="B10" i="5"/>
  <c r="T4" i="5"/>
  <c r="C4" i="5" s="1"/>
  <c r="U4" i="5"/>
  <c r="T5" i="5"/>
  <c r="C5" i="5" s="1"/>
  <c r="U5" i="5"/>
  <c r="T6" i="5"/>
  <c r="C6" i="5" s="1"/>
  <c r="U6" i="5"/>
  <c r="C7" i="5"/>
  <c r="U7" i="5"/>
  <c r="C8" i="5"/>
  <c r="L8" i="5"/>
  <c r="N8" i="5"/>
  <c r="P8" i="5"/>
  <c r="R8" i="5"/>
  <c r="P9" i="5"/>
  <c r="R9" i="5"/>
  <c r="C10" i="5"/>
  <c r="L10" i="5"/>
  <c r="N10" i="5"/>
  <c r="P10" i="5"/>
  <c r="R10" i="5"/>
  <c r="C12" i="5"/>
  <c r="L12" i="5"/>
  <c r="L11" i="5" s="1"/>
  <c r="N12" i="5"/>
  <c r="N11" i="5" s="1"/>
  <c r="P12" i="5"/>
  <c r="P11" i="5" s="1"/>
  <c r="R12" i="5"/>
  <c r="R11" i="5" s="1"/>
  <c r="C4" i="4"/>
  <c r="D4" i="4"/>
  <c r="E4" i="4"/>
  <c r="F4" i="4"/>
  <c r="G4" i="4"/>
  <c r="J4" i="4"/>
  <c r="K4" i="4"/>
  <c r="N4" i="4"/>
  <c r="O4" i="4"/>
  <c r="R4" i="4"/>
  <c r="S4" i="4"/>
  <c r="V4" i="4"/>
  <c r="W4" i="4"/>
  <c r="Z4" i="4"/>
  <c r="AA4" i="4"/>
  <c r="AD4" i="4"/>
  <c r="AE4" i="4"/>
  <c r="AH4" i="4"/>
  <c r="AI4" i="4"/>
  <c r="AM4" i="4"/>
  <c r="C5" i="4"/>
  <c r="D5" i="4"/>
  <c r="E5" i="4"/>
  <c r="F5" i="4"/>
  <c r="G5" i="4"/>
  <c r="J5" i="4"/>
  <c r="K5" i="4"/>
  <c r="N5" i="4"/>
  <c r="O5" i="4"/>
  <c r="R5" i="4"/>
  <c r="S5" i="4"/>
  <c r="V5" i="4"/>
  <c r="W5" i="4"/>
  <c r="Z5" i="4"/>
  <c r="AA5" i="4"/>
  <c r="AD5" i="4"/>
  <c r="AE5" i="4"/>
  <c r="AH5" i="4"/>
  <c r="AI5" i="4"/>
  <c r="AM5" i="4"/>
  <c r="C6" i="4"/>
  <c r="D6" i="4"/>
  <c r="E6" i="4"/>
  <c r="J6" i="4"/>
  <c r="K6" i="4"/>
  <c r="L6" i="4"/>
  <c r="N6" i="4"/>
  <c r="O6" i="4"/>
  <c r="P6" i="4"/>
  <c r="R6" i="4"/>
  <c r="S6" i="4"/>
  <c r="T6" i="4"/>
  <c r="V6" i="4"/>
  <c r="W6" i="4"/>
  <c r="X6" i="4"/>
  <c r="Z6" i="4"/>
  <c r="AA6" i="4"/>
  <c r="AB6" i="4"/>
  <c r="AD6" i="4"/>
  <c r="AE6" i="4"/>
  <c r="AF6" i="4"/>
  <c r="AH6" i="4"/>
  <c r="AI6" i="4"/>
  <c r="AJ6" i="4"/>
  <c r="C7" i="4"/>
  <c r="D7" i="4"/>
  <c r="E7" i="4"/>
  <c r="F7" i="4"/>
  <c r="G7" i="4"/>
  <c r="J7" i="4"/>
  <c r="K7" i="4"/>
  <c r="N7" i="4"/>
  <c r="O7" i="4"/>
  <c r="R7" i="4"/>
  <c r="S7" i="4"/>
  <c r="V7" i="4"/>
  <c r="W7" i="4"/>
  <c r="Z7" i="4"/>
  <c r="AA7" i="4"/>
  <c r="AD7" i="4"/>
  <c r="AE7" i="4"/>
  <c r="AH7" i="4"/>
  <c r="AI7" i="4"/>
  <c r="AM7" i="4"/>
  <c r="C8" i="4"/>
  <c r="D8" i="4"/>
  <c r="E8" i="4"/>
  <c r="F8" i="4"/>
  <c r="G8" i="4"/>
  <c r="H8" i="4"/>
  <c r="J8" i="4"/>
  <c r="K8" i="4"/>
  <c r="L8" i="4"/>
  <c r="N8" i="4"/>
  <c r="O8" i="4"/>
  <c r="P8" i="4"/>
  <c r="R8" i="4"/>
  <c r="S8" i="4"/>
  <c r="T8" i="4"/>
  <c r="V8" i="4"/>
  <c r="W8" i="4"/>
  <c r="X8" i="4"/>
  <c r="Z8" i="4"/>
  <c r="AA8" i="4"/>
  <c r="AB8" i="4"/>
  <c r="AD8" i="4"/>
  <c r="AE8" i="4"/>
  <c r="AF8" i="4"/>
  <c r="AH8" i="4"/>
  <c r="AI8" i="4"/>
  <c r="AJ8" i="4"/>
  <c r="H9" i="4"/>
  <c r="L9" i="4"/>
  <c r="P9" i="4"/>
  <c r="T9" i="4"/>
  <c r="AF9" i="4"/>
  <c r="AJ9" i="4"/>
  <c r="C10" i="4"/>
  <c r="D10" i="4"/>
  <c r="E10" i="4"/>
  <c r="F10" i="4"/>
  <c r="G10" i="4"/>
  <c r="H10" i="4"/>
  <c r="J10" i="4"/>
  <c r="K10" i="4"/>
  <c r="L10" i="4"/>
  <c r="N10" i="4"/>
  <c r="O10" i="4"/>
  <c r="P10" i="4"/>
  <c r="R10" i="4"/>
  <c r="S10" i="4"/>
  <c r="T10" i="4"/>
  <c r="V10" i="4"/>
  <c r="W10" i="4"/>
  <c r="X10" i="4"/>
  <c r="Z10" i="4"/>
  <c r="AA10" i="4"/>
  <c r="AB10" i="4"/>
  <c r="AD10" i="4"/>
  <c r="AE10" i="4"/>
  <c r="AF10" i="4"/>
  <c r="AH10" i="4"/>
  <c r="AI10" i="4"/>
  <c r="AJ10" i="4"/>
  <c r="B12" i="4"/>
  <c r="C12" i="4"/>
  <c r="D12" i="4"/>
  <c r="D11" i="4" s="1"/>
  <c r="E12" i="4"/>
  <c r="F12" i="4"/>
  <c r="G12" i="4"/>
  <c r="H12" i="4"/>
  <c r="J12" i="4"/>
  <c r="K12" i="4"/>
  <c r="L12" i="4"/>
  <c r="L11" i="4" s="1"/>
  <c r="N12" i="4"/>
  <c r="O12" i="4"/>
  <c r="P12" i="4"/>
  <c r="P11" i="4" s="1"/>
  <c r="R12" i="4"/>
  <c r="S12" i="4"/>
  <c r="T12" i="4"/>
  <c r="T11" i="4" s="1"/>
  <c r="V12" i="4"/>
  <c r="W12" i="4"/>
  <c r="X12" i="4"/>
  <c r="X11" i="4" s="1"/>
  <c r="Z12" i="4"/>
  <c r="AA12" i="4"/>
  <c r="AB12" i="4"/>
  <c r="AB11" i="4" s="1"/>
  <c r="AD12" i="4"/>
  <c r="AE12" i="4"/>
  <c r="AF12" i="4"/>
  <c r="AF11" i="4" s="1"/>
  <c r="AH12" i="4"/>
  <c r="AH11" i="4" s="1"/>
  <c r="AI11" i="4" s="1"/>
  <c r="AI12" i="4"/>
  <c r="AJ12" i="4"/>
  <c r="AJ11" i="4" s="1"/>
  <c r="AM6" i="3"/>
  <c r="AL6" i="3"/>
  <c r="AL5" i="3"/>
  <c r="AL4" i="3"/>
  <c r="AH12" i="3"/>
  <c r="V12" i="3"/>
  <c r="R12" i="3"/>
  <c r="N12" i="3"/>
  <c r="J12" i="3"/>
  <c r="B12" i="3"/>
  <c r="AH11" i="3"/>
  <c r="AH10" i="3"/>
  <c r="AD10" i="3"/>
  <c r="Z10" i="3"/>
  <c r="V10" i="3"/>
  <c r="R10" i="3"/>
  <c r="N10" i="3"/>
  <c r="J10" i="3"/>
  <c r="F10" i="3"/>
  <c r="D10" i="3"/>
  <c r="C10" i="3"/>
  <c r="AJ9" i="3"/>
  <c r="AF9" i="3"/>
  <c r="T9" i="3"/>
  <c r="P9" i="3"/>
  <c r="L9" i="3"/>
  <c r="H9" i="3"/>
  <c r="AH8" i="3"/>
  <c r="AD8" i="3"/>
  <c r="Z8" i="3"/>
  <c r="V8" i="3"/>
  <c r="R8" i="3"/>
  <c r="N8" i="3"/>
  <c r="J8" i="3"/>
  <c r="F8" i="3"/>
  <c r="D8" i="3"/>
  <c r="C8" i="3"/>
  <c r="AM7" i="3"/>
  <c r="AH7" i="3"/>
  <c r="AD7" i="3"/>
  <c r="Z7" i="3"/>
  <c r="V7" i="3"/>
  <c r="R7" i="3"/>
  <c r="N7" i="3"/>
  <c r="J7" i="3"/>
  <c r="F7" i="3"/>
  <c r="D7" i="3"/>
  <c r="C7" i="3"/>
  <c r="AH6" i="3"/>
  <c r="AD6" i="3"/>
  <c r="Z6" i="3"/>
  <c r="V6" i="3"/>
  <c r="R6" i="3"/>
  <c r="N6" i="3"/>
  <c r="J6" i="3"/>
  <c r="D6" i="3"/>
  <c r="C6" i="3"/>
  <c r="AM5" i="3"/>
  <c r="AH5" i="3"/>
  <c r="AD5" i="3"/>
  <c r="Z5" i="3"/>
  <c r="V5" i="3"/>
  <c r="R5" i="3"/>
  <c r="N5" i="3"/>
  <c r="J5" i="3"/>
  <c r="F5" i="3"/>
  <c r="D5" i="3"/>
  <c r="C5" i="3"/>
  <c r="AM4" i="3"/>
  <c r="AH4" i="3"/>
  <c r="AD4" i="3"/>
  <c r="Z4" i="3"/>
  <c r="V4" i="3"/>
  <c r="R4" i="3"/>
  <c r="N4" i="3"/>
  <c r="J4" i="3"/>
  <c r="F4" i="3"/>
  <c r="D4" i="3"/>
  <c r="E4" i="3" s="1"/>
  <c r="C4" i="3"/>
  <c r="Z12" i="1"/>
  <c r="Q12" i="1"/>
  <c r="W12" i="1"/>
  <c r="R12" i="1"/>
  <c r="R11" i="1" s="1"/>
  <c r="N12" i="1"/>
  <c r="O12" i="1" s="1"/>
  <c r="O11" i="1" s="1"/>
  <c r="K12" i="1"/>
  <c r="L12" i="1" s="1"/>
  <c r="L11" i="1" s="1"/>
  <c r="H12" i="1"/>
  <c r="I12" i="1"/>
  <c r="I11" i="1" s="1"/>
  <c r="B12" i="1"/>
  <c r="C12" i="1" s="1"/>
  <c r="C11" i="1" s="1"/>
  <c r="X12" i="1"/>
  <c r="X11" i="1" s="1"/>
  <c r="W11" i="1"/>
  <c r="U12" i="1"/>
  <c r="U11" i="1" s="1"/>
  <c r="T11" i="1"/>
  <c r="Q11" i="1"/>
  <c r="N11" i="1"/>
  <c r="K11" i="1"/>
  <c r="H11" i="1"/>
  <c r="F12" i="1"/>
  <c r="Q6" i="1"/>
  <c r="F29" i="2"/>
  <c r="E29" i="2"/>
  <c r="C5" i="1"/>
  <c r="E5" i="1"/>
  <c r="H5" i="1"/>
  <c r="K5" i="1"/>
  <c r="N5" i="1"/>
  <c r="Q5" i="1"/>
  <c r="T5" i="1"/>
  <c r="W5" i="1"/>
  <c r="Z5" i="1"/>
  <c r="AD5" i="1"/>
  <c r="C11" i="2"/>
  <c r="C29" i="2"/>
  <c r="D29" i="2"/>
  <c r="AA9" i="1"/>
  <c r="X9" i="1"/>
  <c r="C21" i="2"/>
  <c r="C18" i="2"/>
  <c r="C39" i="2" s="1"/>
  <c r="I31" i="2"/>
  <c r="C6" i="1"/>
  <c r="O9" i="1"/>
  <c r="L9" i="1"/>
  <c r="I9" i="1"/>
  <c r="F9" i="1"/>
  <c r="C8" i="1"/>
  <c r="C7" i="1"/>
  <c r="C10" i="1"/>
  <c r="C4" i="1"/>
  <c r="D5" i="1" s="1"/>
  <c r="AD7" i="1"/>
  <c r="AD4" i="1"/>
  <c r="H7" i="2"/>
  <c r="H9" i="2" s="1"/>
  <c r="F8" i="2"/>
  <c r="F7" i="2"/>
  <c r="F9" i="2" s="1"/>
  <c r="F12" i="2" s="1"/>
  <c r="D7" i="2"/>
  <c r="D9" i="2" s="1"/>
  <c r="D12" i="2" s="1"/>
  <c r="Z7" i="1"/>
  <c r="AA7" i="1" s="1"/>
  <c r="W7" i="1"/>
  <c r="X7" i="1" s="1"/>
  <c r="T7" i="1"/>
  <c r="U7" i="1" s="1"/>
  <c r="Q7" i="1"/>
  <c r="R7" i="1" s="1"/>
  <c r="N7" i="1"/>
  <c r="O7" i="1" s="1"/>
  <c r="K7" i="1"/>
  <c r="L7" i="1" s="1"/>
  <c r="H7" i="1"/>
  <c r="I7" i="1" s="1"/>
  <c r="D7" i="1"/>
  <c r="E7" i="1"/>
  <c r="E8" i="1"/>
  <c r="E10" i="1"/>
  <c r="E12" i="1"/>
  <c r="E4" i="1"/>
  <c r="F41" i="2"/>
  <c r="F21" i="2"/>
  <c r="F18" i="2"/>
  <c r="F39" i="2" s="1"/>
  <c r="D21" i="2"/>
  <c r="D18" i="2"/>
  <c r="D39" i="2" s="1"/>
  <c r="E41" i="2"/>
  <c r="Z10" i="1"/>
  <c r="AA10" i="1" s="1"/>
  <c r="Z6" i="1"/>
  <c r="AA6" i="1" s="1"/>
  <c r="Z8" i="1"/>
  <c r="AA8" i="1" s="1"/>
  <c r="Z4" i="1"/>
  <c r="W10" i="1"/>
  <c r="X10" i="1" s="1"/>
  <c r="W8" i="1"/>
  <c r="X8" i="1" s="1"/>
  <c r="W6" i="1"/>
  <c r="X6" i="1" s="1"/>
  <c r="W4" i="1"/>
  <c r="E21" i="2"/>
  <c r="E18" i="2"/>
  <c r="E39" i="2" s="1"/>
  <c r="T12" i="1"/>
  <c r="T10" i="1"/>
  <c r="U10" i="1" s="1"/>
  <c r="T8" i="1"/>
  <c r="U8" i="1" s="1"/>
  <c r="T6" i="1"/>
  <c r="U6" i="1" s="1"/>
  <c r="T4" i="1"/>
  <c r="D12" i="1"/>
  <c r="D10" i="1"/>
  <c r="D8" i="1"/>
  <c r="D6" i="1"/>
  <c r="D4" i="1"/>
  <c r="Q8" i="1"/>
  <c r="R8" i="1" s="1"/>
  <c r="Q10" i="1"/>
  <c r="R10" i="1" s="1"/>
  <c r="Q4" i="1"/>
  <c r="N10" i="1"/>
  <c r="O10" i="1" s="1"/>
  <c r="N8" i="1"/>
  <c r="O8" i="1" s="1"/>
  <c r="N6" i="1"/>
  <c r="AA11" i="2"/>
  <c r="Z11" i="2"/>
  <c r="Y11" i="2"/>
  <c r="X11" i="2"/>
  <c r="W11" i="2"/>
  <c r="V11" i="2"/>
  <c r="U11" i="2"/>
  <c r="T11" i="2"/>
  <c r="U8" i="2"/>
  <c r="V8" i="2" s="1"/>
  <c r="W8" i="2" s="1"/>
  <c r="X8" i="2" s="1"/>
  <c r="Y8" i="2" s="1"/>
  <c r="Z8" i="2" s="1"/>
  <c r="AA8" i="2" s="1"/>
  <c r="C8" i="2"/>
  <c r="E8" i="2" s="1"/>
  <c r="X7" i="2"/>
  <c r="T7" i="2"/>
  <c r="T9" i="2" s="1"/>
  <c r="AA6" i="2"/>
  <c r="Y6" i="2"/>
  <c r="W6" i="2"/>
  <c r="U6" i="2"/>
  <c r="C6" i="2"/>
  <c r="E6" i="2" s="1"/>
  <c r="Y5" i="2"/>
  <c r="U5" i="2"/>
  <c r="C5" i="2"/>
  <c r="C7" i="2" s="1"/>
  <c r="C9" i="2" s="1"/>
  <c r="B5" i="2"/>
  <c r="B7" i="2" s="1"/>
  <c r="B9" i="2" s="1"/>
  <c r="H4" i="1"/>
  <c r="K4" i="1"/>
  <c r="N4" i="1"/>
  <c r="H6" i="1"/>
  <c r="I6" i="1" s="1"/>
  <c r="K6" i="1"/>
  <c r="L6" i="1" s="1"/>
  <c r="H8" i="1"/>
  <c r="K8" i="1"/>
  <c r="H10" i="1"/>
  <c r="K10" i="1"/>
  <c r="C11" i="5" l="1"/>
  <c r="L7" i="5"/>
  <c r="N7" i="5"/>
  <c r="P7" i="5"/>
  <c r="R7" i="5"/>
  <c r="L6" i="5"/>
  <c r="N6" i="5"/>
  <c r="P6" i="5"/>
  <c r="R6" i="5"/>
  <c r="L5" i="5"/>
  <c r="N5" i="5"/>
  <c r="P5" i="5"/>
  <c r="R5" i="5"/>
  <c r="L4" i="5"/>
  <c r="N4" i="5"/>
  <c r="P4" i="5"/>
  <c r="R4" i="5"/>
  <c r="AD11" i="4"/>
  <c r="AE11" i="4" s="1"/>
  <c r="Z11" i="4"/>
  <c r="AA11" i="4" s="1"/>
  <c r="V11" i="4"/>
  <c r="W11" i="4" s="1"/>
  <c r="R11" i="4"/>
  <c r="S11" i="4" s="1"/>
  <c r="N11" i="4"/>
  <c r="O11" i="4" s="1"/>
  <c r="J11" i="4"/>
  <c r="K11" i="4" s="1"/>
  <c r="B11" i="4"/>
  <c r="E11" i="4"/>
  <c r="H11" i="4"/>
  <c r="H7" i="4"/>
  <c r="L7" i="4"/>
  <c r="P7" i="4"/>
  <c r="T7" i="4"/>
  <c r="X7" i="4"/>
  <c r="AB7" i="4"/>
  <c r="AF7" i="4"/>
  <c r="AJ7" i="4"/>
  <c r="H5" i="4"/>
  <c r="L5" i="4"/>
  <c r="P5" i="4"/>
  <c r="T5" i="4"/>
  <c r="X5" i="4"/>
  <c r="AB5" i="4"/>
  <c r="AF5" i="4"/>
  <c r="AJ5" i="4"/>
  <c r="H4" i="4"/>
  <c r="L4" i="4"/>
  <c r="P4" i="4"/>
  <c r="T4" i="4"/>
  <c r="X4" i="4"/>
  <c r="AB4" i="4"/>
  <c r="AF4" i="4"/>
  <c r="AJ4" i="4"/>
  <c r="H4" i="3"/>
  <c r="G4" i="3"/>
  <c r="L4" i="3"/>
  <c r="M4" i="3" s="1"/>
  <c r="K4" i="3"/>
  <c r="P4" i="3"/>
  <c r="Q4" i="3" s="1"/>
  <c r="O4" i="3"/>
  <c r="T4" i="3"/>
  <c r="U4" i="3" s="1"/>
  <c r="S4" i="3"/>
  <c r="X4" i="3"/>
  <c r="Y4" i="3" s="1"/>
  <c r="W4" i="3"/>
  <c r="AB4" i="3"/>
  <c r="AC4" i="3" s="1"/>
  <c r="AA4" i="3"/>
  <c r="AF4" i="3"/>
  <c r="AG4" i="3" s="1"/>
  <c r="AE4" i="3"/>
  <c r="AJ4" i="3"/>
  <c r="AK4" i="3" s="1"/>
  <c r="AI4" i="3"/>
  <c r="E5" i="3"/>
  <c r="H5" i="3"/>
  <c r="I5" i="3" s="1"/>
  <c r="G5" i="3"/>
  <c r="L5" i="3"/>
  <c r="M5" i="3" s="1"/>
  <c r="K5" i="3"/>
  <c r="P5" i="3"/>
  <c r="Q5" i="3" s="1"/>
  <c r="O5" i="3"/>
  <c r="T5" i="3"/>
  <c r="U5" i="3" s="1"/>
  <c r="S5" i="3"/>
  <c r="X5" i="3"/>
  <c r="Y5" i="3" s="1"/>
  <c r="W5" i="3"/>
  <c r="AB5" i="3"/>
  <c r="AC5" i="3" s="1"/>
  <c r="AA5" i="3"/>
  <c r="AF5" i="3"/>
  <c r="AG5" i="3" s="1"/>
  <c r="AE5" i="3"/>
  <c r="AJ5" i="3"/>
  <c r="AK5" i="3" s="1"/>
  <c r="AI5" i="3"/>
  <c r="E6" i="3"/>
  <c r="L6" i="3"/>
  <c r="M6" i="3" s="1"/>
  <c r="K6" i="3"/>
  <c r="P6" i="3"/>
  <c r="Q6" i="3" s="1"/>
  <c r="O6" i="3"/>
  <c r="T6" i="3"/>
  <c r="U6" i="3" s="1"/>
  <c r="S6" i="3"/>
  <c r="X6" i="3"/>
  <c r="Y6" i="3" s="1"/>
  <c r="W6" i="3"/>
  <c r="AB6" i="3"/>
  <c r="AC6" i="3" s="1"/>
  <c r="AA6" i="3"/>
  <c r="AF6" i="3"/>
  <c r="AG6" i="3" s="1"/>
  <c r="AE6" i="3"/>
  <c r="AJ6" i="3"/>
  <c r="AK6" i="3" s="1"/>
  <c r="AI6" i="3"/>
  <c r="E7" i="3"/>
  <c r="H7" i="3"/>
  <c r="I7" i="3" s="1"/>
  <c r="G7" i="3"/>
  <c r="L7" i="3"/>
  <c r="M7" i="3" s="1"/>
  <c r="K7" i="3"/>
  <c r="P7" i="3"/>
  <c r="Q7" i="3" s="1"/>
  <c r="O7" i="3"/>
  <c r="T7" i="3"/>
  <c r="U7" i="3" s="1"/>
  <c r="S7" i="3"/>
  <c r="X7" i="3"/>
  <c r="Y7" i="3" s="1"/>
  <c r="W7" i="3"/>
  <c r="AB7" i="3"/>
  <c r="AC7" i="3" s="1"/>
  <c r="AA7" i="3"/>
  <c r="AF7" i="3"/>
  <c r="AG7" i="3" s="1"/>
  <c r="AE7" i="3"/>
  <c r="AJ7" i="3"/>
  <c r="AK7" i="3" s="1"/>
  <c r="AI7" i="3"/>
  <c r="E8" i="3"/>
  <c r="H8" i="3"/>
  <c r="I8" i="3" s="1"/>
  <c r="G8" i="3"/>
  <c r="L8" i="3"/>
  <c r="M8" i="3" s="1"/>
  <c r="K8" i="3"/>
  <c r="P8" i="3"/>
  <c r="Q8" i="3" s="1"/>
  <c r="O8" i="3"/>
  <c r="T8" i="3"/>
  <c r="U8" i="3" s="1"/>
  <c r="S8" i="3"/>
  <c r="X8" i="3"/>
  <c r="Y8" i="3" s="1"/>
  <c r="W8" i="3"/>
  <c r="AB8" i="3"/>
  <c r="AC8" i="3" s="1"/>
  <c r="AA8" i="3"/>
  <c r="AF8" i="3"/>
  <c r="AG8" i="3" s="1"/>
  <c r="AE8" i="3"/>
  <c r="AJ8" i="3"/>
  <c r="AK8" i="3" s="1"/>
  <c r="AI8" i="3"/>
  <c r="E10" i="3"/>
  <c r="H10" i="3"/>
  <c r="I10" i="3" s="1"/>
  <c r="G10" i="3"/>
  <c r="L10" i="3"/>
  <c r="M10" i="3" s="1"/>
  <c r="K10" i="3"/>
  <c r="P10" i="3"/>
  <c r="Q10" i="3" s="1"/>
  <c r="O10" i="3"/>
  <c r="T10" i="3"/>
  <c r="U10" i="3" s="1"/>
  <c r="S10" i="3"/>
  <c r="X10" i="3"/>
  <c r="Y10" i="3" s="1"/>
  <c r="W10" i="3"/>
  <c r="AB10" i="3"/>
  <c r="AC10" i="3" s="1"/>
  <c r="AA10" i="3"/>
  <c r="AF10" i="3"/>
  <c r="AG10" i="3" s="1"/>
  <c r="AE10" i="3"/>
  <c r="AJ10" i="3"/>
  <c r="AK10" i="3" s="1"/>
  <c r="AI10" i="3"/>
  <c r="AI11" i="3"/>
  <c r="Z12" i="3"/>
  <c r="AA12" i="3" s="1"/>
  <c r="F12" i="3"/>
  <c r="G12" i="3" s="1"/>
  <c r="D12" i="3"/>
  <c r="C12" i="3"/>
  <c r="L12" i="3"/>
  <c r="K12" i="3"/>
  <c r="P12" i="3"/>
  <c r="O12" i="3"/>
  <c r="T12" i="3"/>
  <c r="S12" i="3"/>
  <c r="AD12" i="3"/>
  <c r="AE12" i="3" s="1"/>
  <c r="X12" i="3"/>
  <c r="W12" i="3"/>
  <c r="AJ12" i="3"/>
  <c r="AI12" i="3"/>
  <c r="F11" i="1"/>
  <c r="B11" i="1"/>
  <c r="AA5" i="1"/>
  <c r="F5" i="1"/>
  <c r="I5" i="1"/>
  <c r="L5" i="1"/>
  <c r="O5" i="1"/>
  <c r="R5" i="1"/>
  <c r="U5" i="1"/>
  <c r="X5" i="1"/>
  <c r="E11" i="1"/>
  <c r="L10" i="1"/>
  <c r="I10" i="1"/>
  <c r="L8" i="1"/>
  <c r="I8" i="1"/>
  <c r="O4" i="1"/>
  <c r="L4" i="1"/>
  <c r="I4" i="1"/>
  <c r="O6" i="1"/>
  <c r="P6" i="1" s="1"/>
  <c r="P8" i="1"/>
  <c r="P10" i="1"/>
  <c r="R4" i="1"/>
  <c r="S10" i="1"/>
  <c r="S8" i="1"/>
  <c r="R6" i="1"/>
  <c r="S6" i="1" s="1"/>
  <c r="U4" i="1"/>
  <c r="X4" i="1"/>
  <c r="AA4" i="1"/>
  <c r="F4" i="1"/>
  <c r="F10" i="1"/>
  <c r="G10" i="1" s="1"/>
  <c r="F8" i="1"/>
  <c r="G8" i="1" s="1"/>
  <c r="F7" i="1"/>
  <c r="G7" i="1" s="1"/>
  <c r="J7" i="1"/>
  <c r="M7" i="1"/>
  <c r="P7" i="1"/>
  <c r="S7" i="1"/>
  <c r="V7" i="1"/>
  <c r="Y7" i="1"/>
  <c r="AB7" i="1"/>
  <c r="H12" i="2"/>
  <c r="M6" i="1"/>
  <c r="J6" i="1"/>
  <c r="J11" i="1"/>
  <c r="D11" i="1"/>
  <c r="P11" i="1"/>
  <c r="AA12" i="1"/>
  <c r="AA11" i="1" s="1"/>
  <c r="X9" i="2"/>
  <c r="X12" i="2" s="1"/>
  <c r="B12" i="2"/>
  <c r="C12" i="2"/>
  <c r="T12" i="2"/>
  <c r="U7" i="2"/>
  <c r="U9" i="2" s="1"/>
  <c r="V5" i="2"/>
  <c r="Y7" i="2"/>
  <c r="Z5" i="2"/>
  <c r="E7" i="2"/>
  <c r="G6" i="2"/>
  <c r="G7" i="2" s="1"/>
  <c r="S4" i="5" l="1"/>
  <c r="S8" i="5"/>
  <c r="S10" i="5"/>
  <c r="S12" i="5"/>
  <c r="S11" i="5"/>
  <c r="Q4" i="5"/>
  <c r="Q8" i="5"/>
  <c r="Q10" i="5"/>
  <c r="Q12" i="5"/>
  <c r="Q11" i="5"/>
  <c r="O4" i="5"/>
  <c r="O8" i="5"/>
  <c r="O10" i="5"/>
  <c r="O12" i="5"/>
  <c r="O11" i="5"/>
  <c r="M4" i="5"/>
  <c r="M8" i="5"/>
  <c r="M10" i="5"/>
  <c r="M12" i="5"/>
  <c r="M11" i="5"/>
  <c r="K4" i="5"/>
  <c r="K8" i="5"/>
  <c r="K10" i="5"/>
  <c r="K12" i="5"/>
  <c r="K11" i="5"/>
  <c r="I4" i="5"/>
  <c r="I8" i="5"/>
  <c r="I10" i="5"/>
  <c r="I12" i="5"/>
  <c r="I11" i="5"/>
  <c r="G4" i="5"/>
  <c r="G8" i="5"/>
  <c r="G10" i="5"/>
  <c r="G12" i="5"/>
  <c r="G11" i="5"/>
  <c r="E4" i="5"/>
  <c r="E6" i="5"/>
  <c r="E8" i="5"/>
  <c r="E10" i="5"/>
  <c r="E12" i="5"/>
  <c r="S5" i="5"/>
  <c r="Q5" i="5"/>
  <c r="O5" i="5"/>
  <c r="M5" i="5"/>
  <c r="K5" i="5"/>
  <c r="I5" i="5"/>
  <c r="G5" i="5"/>
  <c r="E5" i="5"/>
  <c r="S6" i="5"/>
  <c r="Q6" i="5"/>
  <c r="O6" i="5"/>
  <c r="M6" i="5"/>
  <c r="K6" i="5"/>
  <c r="I6" i="5"/>
  <c r="G6" i="5"/>
  <c r="S7" i="5"/>
  <c r="Q7" i="5"/>
  <c r="O7" i="5"/>
  <c r="M7" i="5"/>
  <c r="K7" i="5"/>
  <c r="I7" i="5"/>
  <c r="G7" i="5"/>
  <c r="E7" i="5"/>
  <c r="E11" i="5"/>
  <c r="AK4" i="4"/>
  <c r="AK6" i="4"/>
  <c r="AK8" i="4"/>
  <c r="AK10" i="4"/>
  <c r="AK12" i="4"/>
  <c r="AK11" i="4"/>
  <c r="AG4" i="4"/>
  <c r="AG6" i="4"/>
  <c r="AG8" i="4"/>
  <c r="AG10" i="4"/>
  <c r="AG12" i="4"/>
  <c r="AG11" i="4"/>
  <c r="AC4" i="4"/>
  <c r="AC6" i="4"/>
  <c r="AC8" i="4"/>
  <c r="AC10" i="4"/>
  <c r="AC12" i="4"/>
  <c r="AC11" i="4"/>
  <c r="Y4" i="4"/>
  <c r="Y6" i="4"/>
  <c r="Y8" i="4"/>
  <c r="Y10" i="4"/>
  <c r="Y12" i="4"/>
  <c r="Y11" i="4"/>
  <c r="U4" i="4"/>
  <c r="U6" i="4"/>
  <c r="U8" i="4"/>
  <c r="U10" i="4"/>
  <c r="U12" i="4"/>
  <c r="U11" i="4"/>
  <c r="Q4" i="4"/>
  <c r="Q6" i="4"/>
  <c r="Q8" i="4"/>
  <c r="Q10" i="4"/>
  <c r="Q12" i="4"/>
  <c r="Q11" i="4"/>
  <c r="M4" i="4"/>
  <c r="M6" i="4"/>
  <c r="M8" i="4"/>
  <c r="M10" i="4"/>
  <c r="M12" i="4"/>
  <c r="M11" i="4"/>
  <c r="I4" i="4"/>
  <c r="I6" i="4"/>
  <c r="I8" i="4"/>
  <c r="I10" i="4"/>
  <c r="I12" i="4"/>
  <c r="AK5" i="4"/>
  <c r="AG5" i="4"/>
  <c r="AC5" i="4"/>
  <c r="Y5" i="4"/>
  <c r="U5" i="4"/>
  <c r="Q5" i="4"/>
  <c r="M5" i="4"/>
  <c r="I5" i="4"/>
  <c r="AK7" i="4"/>
  <c r="AG7" i="4"/>
  <c r="AC7" i="4"/>
  <c r="Y7" i="4"/>
  <c r="U7" i="4"/>
  <c r="Q7" i="4"/>
  <c r="M7" i="4"/>
  <c r="I7" i="4"/>
  <c r="I11" i="4"/>
  <c r="C11" i="4"/>
  <c r="F11" i="4"/>
  <c r="G11" i="4" s="1"/>
  <c r="AK12" i="3"/>
  <c r="AJ11" i="3"/>
  <c r="AK11" i="3" s="1"/>
  <c r="AF12" i="3"/>
  <c r="Y12" i="3"/>
  <c r="X11" i="3"/>
  <c r="U12" i="3"/>
  <c r="T11" i="3"/>
  <c r="Q12" i="3"/>
  <c r="P11" i="3"/>
  <c r="M12" i="3"/>
  <c r="L11" i="3"/>
  <c r="AB12" i="3"/>
  <c r="H12" i="3"/>
  <c r="I12" i="3" s="1"/>
  <c r="E12" i="3"/>
  <c r="D11" i="3"/>
  <c r="I6" i="3"/>
  <c r="I4" i="3"/>
  <c r="AB5" i="1"/>
  <c r="Y5" i="1"/>
  <c r="V5" i="1"/>
  <c r="S5" i="1"/>
  <c r="P5" i="1"/>
  <c r="M5" i="1"/>
  <c r="J5" i="1"/>
  <c r="G5" i="1"/>
  <c r="G12" i="1"/>
  <c r="G4" i="1"/>
  <c r="G6" i="1"/>
  <c r="AB12" i="1"/>
  <c r="AB10" i="1"/>
  <c r="AB8" i="1"/>
  <c r="AB6" i="1"/>
  <c r="AB4" i="1"/>
  <c r="Y12" i="1"/>
  <c r="Y10" i="1"/>
  <c r="Y8" i="1"/>
  <c r="Y6" i="1"/>
  <c r="Y4" i="1"/>
  <c r="V12" i="1"/>
  <c r="V11" i="1"/>
  <c r="V10" i="1"/>
  <c r="V8" i="1"/>
  <c r="V6" i="1"/>
  <c r="V4" i="1"/>
  <c r="S12" i="1"/>
  <c r="S11" i="1"/>
  <c r="S4" i="1"/>
  <c r="J12" i="1"/>
  <c r="J4" i="1"/>
  <c r="M12" i="1"/>
  <c r="M4" i="1"/>
  <c r="P12" i="1"/>
  <c r="P4" i="1"/>
  <c r="J8" i="1"/>
  <c r="M8" i="1"/>
  <c r="J10" i="1"/>
  <c r="M10" i="1"/>
  <c r="G11" i="1"/>
  <c r="Y11" i="1"/>
  <c r="Z11" i="1"/>
  <c r="M11" i="1"/>
  <c r="G9" i="2"/>
  <c r="G12" i="2" s="1"/>
  <c r="E9" i="2"/>
  <c r="E12" i="2" s="1"/>
  <c r="Y9" i="2"/>
  <c r="Y12" i="2" s="1"/>
  <c r="Z7" i="2"/>
  <c r="AA5" i="2"/>
  <c r="AA7" i="2" s="1"/>
  <c r="AA9" i="2" s="1"/>
  <c r="V7" i="2"/>
  <c r="V9" i="2" s="1"/>
  <c r="W5" i="2"/>
  <c r="W7" i="2" s="1"/>
  <c r="W9" i="2" s="1"/>
  <c r="AA12" i="2"/>
  <c r="U12" i="2"/>
  <c r="V12" i="2"/>
  <c r="W12" i="2"/>
  <c r="W14" i="2"/>
  <c r="H11" i="3" l="1"/>
  <c r="I11" i="3" s="1"/>
  <c r="E11" i="3"/>
  <c r="B11" i="3"/>
  <c r="AC12" i="3"/>
  <c r="AB11" i="3"/>
  <c r="M11" i="3"/>
  <c r="J11" i="3"/>
  <c r="K11" i="3" s="1"/>
  <c r="Q11" i="3"/>
  <c r="N11" i="3"/>
  <c r="O11" i="3" s="1"/>
  <c r="U11" i="3"/>
  <c r="R11" i="3"/>
  <c r="S11" i="3" s="1"/>
  <c r="Y11" i="3"/>
  <c r="V11" i="3"/>
  <c r="W11" i="3" s="1"/>
  <c r="AG12" i="3"/>
  <c r="AF11" i="3"/>
  <c r="AB11" i="1"/>
  <c r="Z9" i="2"/>
  <c r="AG11" i="3" l="1"/>
  <c r="AD11" i="3"/>
  <c r="AE11" i="3" s="1"/>
  <c r="AC11" i="3"/>
  <c r="Z11" i="3"/>
  <c r="AA11" i="3" s="1"/>
  <c r="F11" i="3"/>
  <c r="G11" i="3" s="1"/>
  <c r="C11" i="3"/>
  <c r="AA14" i="2"/>
  <c r="Z12" i="2"/>
</calcChain>
</file>

<file path=xl/sharedStrings.xml><?xml version="1.0" encoding="utf-8"?>
<sst xmlns="http://schemas.openxmlformats.org/spreadsheetml/2006/main" count="320" uniqueCount="97">
  <si>
    <t>Market</t>
  </si>
  <si>
    <t>DL</t>
  </si>
  <si>
    <t>HR</t>
  </si>
  <si>
    <t>RJ</t>
  </si>
  <si>
    <t>UP E + C</t>
  </si>
  <si>
    <t>CH</t>
  </si>
  <si>
    <t>PB</t>
  </si>
  <si>
    <t>UK</t>
  </si>
  <si>
    <t>HP</t>
  </si>
  <si>
    <t>J&amp;K</t>
  </si>
  <si>
    <t>Distri- Delear ladder</t>
  </si>
  <si>
    <t>&lt;As on 9th Mar'26&gt;</t>
  </si>
  <si>
    <t>Distr. level</t>
  </si>
  <si>
    <t>Dealer level</t>
  </si>
  <si>
    <t>Gap with TSL</t>
  </si>
  <si>
    <t>NCR</t>
  </si>
  <si>
    <t>Rest</t>
  </si>
  <si>
    <t>TISCON</t>
  </si>
  <si>
    <t>Neo</t>
  </si>
  <si>
    <t>JSPL</t>
  </si>
  <si>
    <t>NA</t>
  </si>
  <si>
    <t>SAIL</t>
  </si>
  <si>
    <t>JSW One Fe 550D</t>
  </si>
  <si>
    <t>&lt;General SAIL position&gt;</t>
  </si>
  <si>
    <t>JSW One Fe 550</t>
  </si>
  <si>
    <t>Branded prem sec.</t>
  </si>
  <si>
    <t>Steelmint</t>
  </si>
  <si>
    <t>Fe 550 D (NCR, HR, UK, RJ, UP)</t>
  </si>
  <si>
    <t>Fe 550 (NCR, HR, UK, RJ, UP)</t>
  </si>
  <si>
    <t>Particulars</t>
  </si>
  <si>
    <t>Neo (RJ)</t>
  </si>
  <si>
    <t>Neo (NCR)</t>
  </si>
  <si>
    <t>TSL</t>
  </si>
  <si>
    <t>JSPL (NCR)</t>
  </si>
  <si>
    <t>JSPL (UP)</t>
  </si>
  <si>
    <t>SAIL (Stock)</t>
  </si>
  <si>
    <t>JSW One bend (B2S2)</t>
  </si>
  <si>
    <t>JSW One (B2S2)</t>
  </si>
  <si>
    <t>JSW One (Stock)</t>
  </si>
  <si>
    <t>JSW One bend (Stock)</t>
  </si>
  <si>
    <t>Form</t>
  </si>
  <si>
    <t>Straight</t>
  </si>
  <si>
    <t>Bend</t>
  </si>
  <si>
    <t>Handling/Bending</t>
  </si>
  <si>
    <t>ECP Provision</t>
  </si>
  <si>
    <t xml:space="preserve">freight to dealer </t>
  </si>
  <si>
    <t>Dist to dealer (incl generic cost to serve)</t>
  </si>
  <si>
    <t>Distributor margin + admin + inventory</t>
  </si>
  <si>
    <t>Dealer landed costing (incl generic cost + bend)</t>
  </si>
  <si>
    <t>Additional channel schemes</t>
  </si>
  <si>
    <t>Additional channel provision</t>
  </si>
  <si>
    <t>Dealer landed billing</t>
  </si>
  <si>
    <t>Sales split</t>
  </si>
  <si>
    <t>Effective dealer landed</t>
  </si>
  <si>
    <t>TSL - NCR</t>
  </si>
  <si>
    <t>UP</t>
  </si>
  <si>
    <t>Distributor margin</t>
  </si>
  <si>
    <t>Bending, bundling</t>
  </si>
  <si>
    <t>Admin cost</t>
  </si>
  <si>
    <t>Handling</t>
  </si>
  <si>
    <t>Dealer Loyalty</t>
  </si>
  <si>
    <t>Dist margin</t>
  </si>
  <si>
    <t>CD</t>
  </si>
  <si>
    <t>Inventory CC</t>
  </si>
  <si>
    <t>QD</t>
  </si>
  <si>
    <t>Shortage</t>
  </si>
  <si>
    <t>Frt to dealer</t>
  </si>
  <si>
    <t>BTL Provision</t>
  </si>
  <si>
    <t>Channel scheme</t>
  </si>
  <si>
    <t xml:space="preserve">Dealer meet provision </t>
  </si>
  <si>
    <t>Contractor loyalty</t>
  </si>
  <si>
    <t>Channel prov</t>
  </si>
  <si>
    <t>Contractor Meet provision</t>
  </si>
  <si>
    <t>Est cost</t>
  </si>
  <si>
    <t>ASO cost</t>
  </si>
  <si>
    <t>Bend cost</t>
  </si>
  <si>
    <t>Dealer loyalty</t>
  </si>
  <si>
    <t>Dealer meet</t>
  </si>
  <si>
    <t>Cons activity</t>
  </si>
  <si>
    <t>Influencer meet an</t>
  </si>
  <si>
    <t>Addl premium</t>
  </si>
  <si>
    <t>Total cost</t>
  </si>
  <si>
    <t>Co funded</t>
  </si>
  <si>
    <t>Samaan</t>
  </si>
  <si>
    <t xml:space="preserve">Provision for ILP </t>
  </si>
  <si>
    <t xml:space="preserve">Provision for DLP </t>
  </si>
  <si>
    <t>Haryana</t>
  </si>
  <si>
    <t>Jaipur</t>
  </si>
  <si>
    <t>Kanpur</t>
  </si>
  <si>
    <t>Chandigarh</t>
  </si>
  <si>
    <t>Ludhiana</t>
  </si>
  <si>
    <t>Dehradun</t>
  </si>
  <si>
    <t>Shimla</t>
  </si>
  <si>
    <t>Jammu</t>
  </si>
  <si>
    <t>Brand / Market</t>
  </si>
  <si>
    <t>UP E+C</t>
  </si>
  <si>
    <t>Branded Prem Sec.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</si>
</sst>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</font>
    <font>
      <sz val="9"/>
      <color theme="1"/>
      <name val="Calibri"/>
    </font>
    <font>
      <b/>
      <sz val="10"/>
      <color theme="1"/>
      <name val="Calibri"/>
    </font>
    <font>
      <sz val="9"/>
      <color rgb="FFFF0000"/>
      <name val="Calibri"/>
    </font>
    <font>
      <b/>
      <sz val="10"/>
      <color rgb="FF000000"/>
      <name val="Calibri"/>
    </font>
    <font>
      <sz val="11"/>
      <color theme="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8DB4E2"/>
      </left>
      <right style="thin">
        <color rgb="FF8DB4E2"/>
      </right>
      <top style="medium">
        <color rgb="FF8DB4E2"/>
      </top>
      <bottom style="medium">
        <color rgb="FF8DB4E2"/>
      </bottom>
      <diagonal/>
    </border>
    <border>
      <left style="thin">
        <color rgb="FF8DB4E2"/>
      </left>
      <right style="thin">
        <color rgb="FF8DB4E2"/>
      </right>
      <top style="medium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/>
      <bottom style="medium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double">
        <color rgb="FF2F5496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2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164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164" fontId="2" fillId="3" borderId="16" xfId="0" applyNumberFormat="1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 wrapText="1"/>
    </xf>
    <xf numFmtId="164" fontId="3" fillId="3" borderId="18" xfId="0" applyNumberFormat="1" applyFont="1" applyFill="1" applyBorder="1" applyAlignment="1">
      <alignment horizontal="center" vertical="center"/>
    </xf>
    <xf numFmtId="164" fontId="3" fillId="3" borderId="19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2" fillId="3" borderId="18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2" fillId="3" borderId="21" xfId="0" applyNumberFormat="1" applyFont="1" applyFill="1" applyBorder="1" applyAlignment="1">
      <alignment horizontal="center" vertical="center"/>
    </xf>
    <xf numFmtId="164" fontId="2" fillId="3" borderId="22" xfId="0" applyNumberFormat="1" applyFont="1" applyFill="1" applyBorder="1" applyAlignment="1">
      <alignment horizontal="center" vertical="center"/>
    </xf>
    <xf numFmtId="164" fontId="3" fillId="0" borderId="23" xfId="0" applyNumberFormat="1" applyFont="1" applyBorder="1"/>
    <xf numFmtId="164" fontId="3" fillId="0" borderId="24" xfId="0" applyNumberFormat="1" applyFont="1" applyBorder="1" applyAlignment="1">
      <alignment horizontal="center"/>
    </xf>
    <xf numFmtId="9" fontId="3" fillId="0" borderId="24" xfId="0" applyNumberFormat="1" applyFont="1" applyBorder="1" applyAlignment="1">
      <alignment horizontal="center"/>
    </xf>
    <xf numFmtId="9" fontId="3" fillId="0" borderId="23" xfId="0" applyNumberFormat="1" applyFont="1" applyBorder="1" applyAlignment="1">
      <alignment horizontal="center"/>
    </xf>
    <xf numFmtId="9" fontId="3" fillId="0" borderId="25" xfId="0" applyNumberFormat="1" applyFont="1" applyBorder="1" applyAlignment="1">
      <alignment horizontal="center"/>
    </xf>
    <xf numFmtId="164" fontId="3" fillId="0" borderId="26" xfId="0" applyNumberFormat="1" applyFont="1" applyBorder="1"/>
    <xf numFmtId="164" fontId="3" fillId="0" borderId="27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164" fontId="2" fillId="4" borderId="28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8" fillId="0" borderId="0" xfId="0" applyFont="1"/>
    <xf numFmtId="0" fontId="1" fillId="4" borderId="0" xfId="0" applyFont="1" applyFill="1"/>
    <xf numFmtId="0" fontId="9" fillId="4" borderId="0" xfId="0" applyFont="1" applyFill="1"/>
    <xf numFmtId="0" fontId="1" fillId="3" borderId="0" xfId="0" applyFont="1" applyFill="1"/>
    <xf numFmtId="164" fontId="1" fillId="7" borderId="2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9" fontId="0" fillId="0" borderId="0" xfId="0" applyNumberFormat="1"/>
    <xf numFmtId="164" fontId="0" fillId="2" borderId="1" xfId="0" applyNumberFormat="1" applyFill="1" applyBorder="1" applyAlignment="1">
      <alignment horizontal="right" vertical="center"/>
    </xf>
    <xf numFmtId="164" fontId="0" fillId="7" borderId="1" xfId="0" applyNumberFormat="1" applyFill="1" applyBorder="1" applyAlignment="1">
      <alignment horizontal="right" vertical="center"/>
    </xf>
    <xf numFmtId="0" fontId="6" fillId="3" borderId="29" xfId="0" applyFont="1" applyFill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0" fontId="0" fillId="4" borderId="0" xfId="0" applyFill="1"/>
    <xf numFmtId="164" fontId="0" fillId="0" borderId="0" xfId="0" applyNumberFormat="1" applyAlignment="1">
      <alignment horizontal="center"/>
    </xf>
    <xf numFmtId="0" fontId="10" fillId="0" borderId="0" xfId="0" applyFont="1"/>
    <xf numFmtId="0" fontId="1" fillId="8" borderId="1" xfId="0" applyFont="1" applyFill="1" applyBorder="1" applyAlignment="1">
      <alignment horizontal="left" vertical="center"/>
    </xf>
    <xf numFmtId="164" fontId="1" fillId="8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0" fillId="10" borderId="0" xfId="0" applyFill="1"/>
    <xf numFmtId="0" fontId="13" fillId="11" borderId="32" xfId="0" applyFont="1" applyFill="1" applyBorder="1"/>
    <xf numFmtId="3" fontId="7" fillId="11" borderId="32" xfId="0" applyNumberFormat="1" applyFont="1" applyFill="1" applyBorder="1" applyAlignment="1">
      <alignment horizontal="center"/>
    </xf>
    <xf numFmtId="0" fontId="13" fillId="10" borderId="32" xfId="0" applyFont="1" applyFill="1" applyBorder="1"/>
    <xf numFmtId="3" fontId="7" fillId="10" borderId="32" xfId="0" applyNumberFormat="1" applyFont="1" applyFill="1" applyBorder="1" applyAlignment="1">
      <alignment horizontal="center"/>
    </xf>
    <xf numFmtId="0" fontId="13" fillId="12" borderId="32" xfId="0" applyFont="1" applyFill="1" applyBorder="1"/>
    <xf numFmtId="3" fontId="13" fillId="12" borderId="32" xfId="0" applyNumberFormat="1" applyFont="1" applyFill="1" applyBorder="1" applyAlignment="1">
      <alignment horizontal="center"/>
    </xf>
    <xf numFmtId="0" fontId="13" fillId="10" borderId="33" xfId="0" applyFont="1" applyFill="1" applyBorder="1"/>
    <xf numFmtId="3" fontId="7" fillId="10" borderId="33" xfId="0" applyNumberFormat="1" applyFont="1" applyFill="1" applyBorder="1" applyAlignment="1">
      <alignment horizontal="center"/>
    </xf>
    <xf numFmtId="0" fontId="13" fillId="11" borderId="34" xfId="0" applyFont="1" applyFill="1" applyBorder="1"/>
    <xf numFmtId="3" fontId="7" fillId="11" borderId="34" xfId="0" applyNumberFormat="1" applyFont="1" applyFill="1" applyBorder="1" applyAlignment="1">
      <alignment horizontal="center"/>
    </xf>
    <xf numFmtId="0" fontId="12" fillId="9" borderId="35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" fillId="7" borderId="4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TMT Price Map — Dealer Level (₹/MT) as on 9th Mar'26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'Price Map'!$A$2</c:f>
              <c:strCache>
                <c:ptCount val="1"/>
                <c:pt idx="0">
                  <c:v>TISCON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Map'!$B$2:$J$2</c:f>
              <c:numCache>
                <c:formatCode>#,##0</c:formatCode>
                <c:ptCount val="9"/>
                <c:pt idx="0">
                  <c:v>65650</c:v>
                </c:pt>
                <c:pt idx="1">
                  <c:v>65650</c:v>
                </c:pt>
                <c:pt idx="2">
                  <c:v>66150</c:v>
                </c:pt>
                <c:pt idx="3">
                  <c:v>65150</c:v>
                </c:pt>
                <c:pt idx="4">
                  <c:v>66650</c:v>
                </c:pt>
                <c:pt idx="5">
                  <c:v>65650</c:v>
                </c:pt>
                <c:pt idx="6">
                  <c:v>66150</c:v>
                </c:pt>
                <c:pt idx="7">
                  <c:v>65650</c:v>
                </c:pt>
                <c:pt idx="8">
                  <c:v>66150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E8C-47CD-8C78-EAA76F02A1DF}"/>
            </c:ext>
          </c:extLst>
        </c:ser>
        <c:ser>
          <c:idx val="1"/>
          <c:order val="1"/>
          <c:tx>
            <c:strRef>
              <c:f>'Price Map'!$A$3</c:f>
              <c:strCache>
                <c:ptCount val="1"/>
                <c:pt idx="0">
                  <c:v>Neo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Map'!$B$3:$J$3</c:f>
              <c:numCache>
                <c:formatCode>#,##0</c:formatCode>
                <c:ptCount val="9"/>
                <c:pt idx="0">
                  <c:v>62850</c:v>
                </c:pt>
                <c:pt idx="1">
                  <c:v>62850</c:v>
                </c:pt>
                <c:pt idx="2">
                  <c:v>62850</c:v>
                </c:pt>
                <c:pt idx="3">
                  <c:v>62850</c:v>
                </c:pt>
                <c:pt idx="4">
                  <c:v>62850</c:v>
                </c:pt>
                <c:pt idx="5">
                  <c:v>62850</c:v>
                </c:pt>
                <c:pt idx="6">
                  <c:v>62850</c:v>
                </c:pt>
                <c:pt idx="7">
                  <c:v>63350</c:v>
                </c:pt>
                <c:pt idx="8">
                  <c:v>64350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E8C-47CD-8C78-EAA76F02A1DF}"/>
            </c:ext>
          </c:extLst>
        </c:ser>
        <c:ser>
          <c:idx val="2"/>
          <c:order val="2"/>
          <c:tx>
            <c:strRef>
              <c:f>'Price Map'!$A$4</c:f>
              <c:strCache>
                <c:ptCount val="1"/>
                <c:pt idx="0">
                  <c:v>JSPL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Map'!$B$4:$J$4</c:f>
              <c:numCache>
                <c:formatCode>#,##0</c:formatCode>
                <c:ptCount val="9"/>
                <c:pt idx="0">
                  <c:v>62100</c:v>
                </c:pt>
                <c:pt idx="1">
                  <c:v>58650</c:v>
                </c:pt>
                <c:pt idx="2">
                  <c:v>62600</c:v>
                </c:pt>
                <c:pt idx="3">
                  <c:v>61850</c:v>
                </c:pt>
                <c:pt idx="4">
                  <c:v>62850</c:v>
                </c:pt>
                <c:pt idx="5">
                  <c:v>62100</c:v>
                </c:pt>
                <c:pt idx="6">
                  <c:v>62850</c:v>
                </c:pt>
                <c:pt idx="7">
                  <c:v>62850</c:v>
                </c:pt>
                <c:pt idx="8">
                  <c:v>62850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E8C-47CD-8C78-EAA76F02A1DF}"/>
            </c:ext>
          </c:extLst>
        </c:ser>
        <c:ser>
          <c:idx val="3"/>
          <c:order val="3"/>
          <c:tx>
            <c:strRef>
              <c:f>'Price Map'!$A$5</c:f>
              <c:strCache>
                <c:ptCount val="1"/>
                <c:pt idx="0">
                  <c:v>SAIL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Map'!$B$5:$J$5</c:f>
              <c:numCache>
                <c:formatCode>#,##0</c:formatCode>
                <c:ptCount val="9"/>
                <c:pt idx="0">
                  <c:v>61750</c:v>
                </c:pt>
                <c:pt idx="1">
                  <c:v>61750</c:v>
                </c:pt>
                <c:pt idx="2">
                  <c:v>61500</c:v>
                </c:pt>
                <c:pt idx="3">
                  <c:v>61250</c:v>
                </c:pt>
                <c:pt idx="4">
                  <c:v>62250</c:v>
                </c:pt>
                <c:pt idx="5">
                  <c:v>61750</c:v>
                </c:pt>
                <c:pt idx="6">
                  <c:v>62250</c:v>
                </c:pt>
                <c:pt idx="7">
                  <c:v>62750</c:v>
                </c:pt>
                <c:pt idx="8">
                  <c:v>63750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E8C-47CD-8C78-EAA76F02A1DF}"/>
            </c:ext>
          </c:extLst>
        </c:ser>
        <c:ser>
          <c:idx val="4"/>
          <c:order val="4"/>
          <c:tx>
            <c:strRef>
              <c:f>'Price Map'!$A$6</c:f>
              <c:strCache>
                <c:ptCount val="1"/>
                <c:pt idx="0">
                  <c:v>JSW One Fe 550D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Map'!$B$6:$J$6</c:f>
              <c:numCache>
                <c:formatCode>#,##0</c:formatCode>
                <c:ptCount val="9"/>
                <c:pt idx="0">
                  <c:v>60700</c:v>
                </c:pt>
                <c:pt idx="1">
                  <c:v>60700</c:v>
                </c:pt>
                <c:pt idx="2">
                  <c:v>60700</c:v>
                </c:pt>
                <c:pt idx="3">
                  <c:v>60700</c:v>
                </c:pt>
                <c:pt idx="4">
                  <c:v>60950</c:v>
                </c:pt>
                <c:pt idx="5">
                  <c:v>60700</c:v>
                </c:pt>
                <c:pt idx="6">
                  <c:v>61200</c:v>
                </c:pt>
                <c:pt idx="7">
                  <c:v>61700</c:v>
                </c:pt>
                <c:pt idx="8">
                  <c:v>62700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E8C-47CD-8C78-EAA76F02A1DF}"/>
            </c:ext>
          </c:extLst>
        </c:ser>
        <c:ser>
          <c:idx val="5"/>
          <c:order val="5"/>
          <c:tx>
            <c:strRef>
              <c:f>'Price Map'!$A$7</c:f>
              <c:strCache>
                <c:ptCount val="1"/>
                <c:pt idx="0">
                  <c:v>JSW One Fe 550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Map'!$B$7:$J$7</c:f>
              <c:numCache>
                <c:formatCode>#,##0</c:formatCode>
                <c:ptCount val="9"/>
                <c:pt idx="0">
                  <c:v>59700</c:v>
                </c:pt>
                <c:pt idx="1">
                  <c:v>59700</c:v>
                </c:pt>
                <c:pt idx="2">
                  <c:v>59700</c:v>
                </c:pt>
                <c:pt idx="3">
                  <c:v>59700</c:v>
                </c:pt>
                <c:pt idx="4">
                  <c:v>59950</c:v>
                </c:pt>
                <c:pt idx="5">
                  <c:v>59700</c:v>
                </c:pt>
                <c:pt idx="6">
                  <c:v>59700</c:v>
                </c:pt>
                <c:pt idx="7">
                  <c:v>60200</c:v>
                </c:pt>
                <c:pt idx="8">
                  <c:v>61200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E8C-47CD-8C78-EAA76F02A1DF}"/>
            </c:ext>
          </c:extLst>
        </c:ser>
        <c:ser>
          <c:idx val="6"/>
          <c:order val="6"/>
          <c:tx>
            <c:strRef>
              <c:f>'Price Map'!$A$8</c:f>
              <c:strCache>
                <c:ptCount val="1"/>
                <c:pt idx="0">
                  <c:v>Branded Prem Sec.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Map'!$B$8:$J$8</c:f>
              <c:numCache>
                <c:formatCode>#,##0</c:formatCode>
                <c:ptCount val="9"/>
                <c:pt idx="0">
                  <c:v>52650</c:v>
                </c:pt>
                <c:pt idx="1">
                  <c:v>52650</c:v>
                </c:pt>
                <c:pt idx="2">
                  <c:v>49550</c:v>
                </c:pt>
                <c:pt idx="3">
                  <c:v>52150</c:v>
                </c:pt>
                <c:pt idx="4">
                  <c:v>50750</c:v>
                </c:pt>
                <c:pt idx="5">
                  <c:v>51250</c:v>
                </c:pt>
                <c:pt idx="6">
                  <c:v>52150</c:v>
                </c:pt>
                <c:pt idx="7">
                  <c:v>50750</c:v>
                </c:pt>
                <c:pt idx="8">
                  <c:v>51750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E8C-47CD-8C78-EAA76F02A1DF}"/>
            </c:ext>
          </c:extLst>
        </c:ser>
        <c:ser>
          <c:idx val="7"/>
          <c:order val="7"/>
          <c:tx>
            <c:strRef>
              <c:f>'Price Map'!$A$9</c:f>
              <c:strCache>
                <c:ptCount val="1"/>
                <c:pt idx="0">
                  <c:v>Steelmint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'Price Map'!$B$1:$J$1</c:f>
              <c:strCache>
                <c:ptCount val="9"/>
                <c:pt idx="0">
                  <c:v>DL</c:v>
                </c:pt>
                <c:pt idx="1">
                  <c:v>HR</c:v>
                </c:pt>
                <c:pt idx="2">
                  <c:v>RJ</c:v>
                </c:pt>
                <c:pt idx="3">
                  <c:v>UP E+C</c:v>
                </c:pt>
                <c:pt idx="4">
                  <c:v>CH</c:v>
                </c:pt>
                <c:pt idx="5">
                  <c:v>PB</c:v>
                </c:pt>
                <c:pt idx="6">
                  <c:v>UK</c:v>
                </c:pt>
                <c:pt idx="7">
                  <c:v>HP</c:v>
                </c:pt>
                <c:pt idx="8">
                  <c:v>J&amp;K</c:v>
                </c:pt>
              </c:strCache>
            </c:strRef>
          </c:cat>
          <c:val>
            <c:numRef>
              <c:f>'Price Map'!$B$9:$J$9</c:f>
              <c:numCache>
                <c:formatCode>#,##0</c:formatCode>
                <c:ptCount val="9"/>
                <c:pt idx="0">
                  <c:v>51650</c:v>
                </c:pt>
                <c:pt idx="1">
                  <c:v>51650</c:v>
                </c:pt>
                <c:pt idx="2">
                  <c:v>48550</c:v>
                </c:pt>
                <c:pt idx="3">
                  <c:v>51150</c:v>
                </c:pt>
                <c:pt idx="4">
                  <c:v>49750</c:v>
                </c:pt>
                <c:pt idx="5">
                  <c:v>49750</c:v>
                </c:pt>
                <c:pt idx="6">
                  <c:v>51650</c:v>
                </c:pt>
                <c:pt idx="7">
                  <c:v>49750</c:v>
                </c:pt>
                <c:pt idx="8">
                  <c:v>50750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E8C-47CD-8C78-EAA76F02A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9549960"/>
        <c:axId val="1839564808"/>
      </c:barChart>
      <c:catAx>
        <c:axId val="1839549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64808"/>
        <c:crosses val="autoZero"/>
        <c:auto val="1"/>
        <c:lblAlgn val="ctr"/>
        <c:lblOffset val="100"/>
        <c:noMultiLvlLbl val="0"/>
      </c:catAx>
      <c:valAx>
        <c:axId val="1839564808"/>
        <c:scaling>
          <c:orientation val="minMax"/>
          <c:max val="68000"/>
          <c:min val="4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₹ / 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4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1209675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B48CC-A250-08B9-3A9E-794D4947C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718B10-3413-42B2-95A6-EAB4D0BDCB81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4"/>
  <sheetViews>
    <sheetView workbookViewId="0">
      <pane xSplit="1" ySplit="2" topLeftCell="R3" activePane="bottomRight" state="frozen"/>
      <selection pane="bottomRight" activeCell="A2" sqref="A2:AB12"/>
      <selection pane="bottomLeft"/>
      <selection pane="topRight"/>
    </sheetView>
  </sheetViews>
  <sheetFormatPr defaultRowHeight="15"/>
  <cols>
    <col min="1" max="1" width="35.7109375" bestFit="1" customWidth="1"/>
    <col min="2" max="28" width="12.140625" customWidth="1"/>
    <col min="29" max="29" width="10" customWidth="1"/>
  </cols>
  <sheetData>
    <row r="1" spans="1:44">
      <c r="B1" s="1"/>
      <c r="C1" s="1"/>
      <c r="D1" s="1"/>
      <c r="E1" s="1"/>
      <c r="F1" s="1"/>
      <c r="G1" s="1"/>
      <c r="H1" s="2"/>
      <c r="I1" s="2"/>
      <c r="J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>
      <c r="A2" s="3" t="s">
        <v>0</v>
      </c>
      <c r="B2" s="85" t="s">
        <v>1</v>
      </c>
      <c r="C2" s="86"/>
      <c r="D2" s="87"/>
      <c r="E2" s="90" t="s">
        <v>2</v>
      </c>
      <c r="F2" s="91"/>
      <c r="G2" s="92"/>
      <c r="H2" s="85" t="s">
        <v>3</v>
      </c>
      <c r="I2" s="86"/>
      <c r="J2" s="87"/>
      <c r="K2" s="90" t="s">
        <v>4</v>
      </c>
      <c r="L2" s="91"/>
      <c r="M2" s="92"/>
      <c r="N2" s="85" t="s">
        <v>5</v>
      </c>
      <c r="O2" s="86"/>
      <c r="P2" s="87"/>
      <c r="Q2" s="90" t="s">
        <v>6</v>
      </c>
      <c r="R2" s="91"/>
      <c r="S2" s="92"/>
      <c r="T2" s="85" t="s">
        <v>7</v>
      </c>
      <c r="U2" s="86"/>
      <c r="V2" s="87"/>
      <c r="W2" s="90" t="s">
        <v>8</v>
      </c>
      <c r="X2" s="91"/>
      <c r="Y2" s="92"/>
      <c r="Z2" s="85" t="s">
        <v>9</v>
      </c>
      <c r="AA2" s="86"/>
      <c r="AB2" s="87"/>
      <c r="AC2" s="88" t="s">
        <v>10</v>
      </c>
      <c r="AD2" s="89"/>
    </row>
    <row r="3" spans="1:44">
      <c r="A3" s="3" t="s">
        <v>11</v>
      </c>
      <c r="B3" s="4" t="s">
        <v>12</v>
      </c>
      <c r="C3" s="4" t="s">
        <v>13</v>
      </c>
      <c r="D3" s="4" t="s">
        <v>14</v>
      </c>
      <c r="E3" s="58" t="s">
        <v>12</v>
      </c>
      <c r="F3" s="58" t="s">
        <v>13</v>
      </c>
      <c r="G3" s="58" t="s">
        <v>14</v>
      </c>
      <c r="H3" s="4" t="s">
        <v>12</v>
      </c>
      <c r="I3" s="4" t="s">
        <v>13</v>
      </c>
      <c r="J3" s="4" t="s">
        <v>14</v>
      </c>
      <c r="K3" s="58" t="s">
        <v>12</v>
      </c>
      <c r="L3" s="58" t="s">
        <v>13</v>
      </c>
      <c r="M3" s="58" t="s">
        <v>14</v>
      </c>
      <c r="N3" s="4" t="s">
        <v>12</v>
      </c>
      <c r="O3" s="4" t="s">
        <v>13</v>
      </c>
      <c r="P3" s="4" t="s">
        <v>14</v>
      </c>
      <c r="Q3" s="58" t="s">
        <v>12</v>
      </c>
      <c r="R3" s="58" t="s">
        <v>13</v>
      </c>
      <c r="S3" s="58" t="s">
        <v>14</v>
      </c>
      <c r="T3" s="4" t="s">
        <v>12</v>
      </c>
      <c r="U3" s="4" t="s">
        <v>13</v>
      </c>
      <c r="V3" s="4" t="s">
        <v>14</v>
      </c>
      <c r="W3" s="58" t="s">
        <v>12</v>
      </c>
      <c r="X3" s="58" t="s">
        <v>13</v>
      </c>
      <c r="Y3" s="58" t="s">
        <v>14</v>
      </c>
      <c r="Z3" s="4" t="s">
        <v>12</v>
      </c>
      <c r="AA3" s="4" t="s">
        <v>13</v>
      </c>
      <c r="AB3" s="4" t="s">
        <v>14</v>
      </c>
      <c r="AC3" s="69" t="s">
        <v>15</v>
      </c>
      <c r="AD3" s="69" t="s">
        <v>16</v>
      </c>
    </row>
    <row r="4" spans="1:44">
      <c r="A4" s="5" t="s">
        <v>17</v>
      </c>
      <c r="B4" s="62">
        <v>60000</v>
      </c>
      <c r="C4" s="62">
        <f>B4+AC4</f>
        <v>65650</v>
      </c>
      <c r="D4" s="62">
        <f>C4-C$4</f>
        <v>0</v>
      </c>
      <c r="E4" s="63">
        <f>B4</f>
        <v>60000</v>
      </c>
      <c r="F4" s="63">
        <f>E4+$AD4</f>
        <v>65650</v>
      </c>
      <c r="G4" s="63">
        <f>F4-F$4</f>
        <v>0</v>
      </c>
      <c r="H4" s="62">
        <f>B4+500</f>
        <v>60500</v>
      </c>
      <c r="I4" s="62">
        <f>H4+$AD4</f>
        <v>66150</v>
      </c>
      <c r="J4" s="62">
        <f>I4-I$4</f>
        <v>0</v>
      </c>
      <c r="K4" s="63">
        <f>B4-500</f>
        <v>59500</v>
      </c>
      <c r="L4" s="63">
        <f>K4+$AD4</f>
        <v>65150</v>
      </c>
      <c r="M4" s="63">
        <f>L4-L$4</f>
        <v>0</v>
      </c>
      <c r="N4" s="62">
        <f>B4+1000</f>
        <v>61000</v>
      </c>
      <c r="O4" s="62">
        <f>N4+$AD4</f>
        <v>66650</v>
      </c>
      <c r="P4" s="62">
        <f>O4-O$4</f>
        <v>0</v>
      </c>
      <c r="Q4" s="63">
        <f>B4+500</f>
        <v>60500</v>
      </c>
      <c r="R4" s="63">
        <f>Q4+AD4-500</f>
        <v>65650</v>
      </c>
      <c r="S4" s="63">
        <f>R4-R$4</f>
        <v>0</v>
      </c>
      <c r="T4" s="62">
        <f>B4+500</f>
        <v>60500</v>
      </c>
      <c r="U4" s="62">
        <f>T4+AD4</f>
        <v>66150</v>
      </c>
      <c r="V4" s="62">
        <f>U4-U$4</f>
        <v>0</v>
      </c>
      <c r="W4" s="63">
        <f>B4</f>
        <v>60000</v>
      </c>
      <c r="X4" s="63">
        <f>W4+AD4</f>
        <v>65650</v>
      </c>
      <c r="Y4" s="63">
        <f>X4-X$4</f>
        <v>0</v>
      </c>
      <c r="Z4" s="62">
        <f>B4+500</f>
        <v>60500</v>
      </c>
      <c r="AA4" s="62">
        <f>Z4+AD4</f>
        <v>66150</v>
      </c>
      <c r="AB4" s="62">
        <f>AA4-AA$4</f>
        <v>0</v>
      </c>
      <c r="AC4" s="69">
        <v>5650</v>
      </c>
      <c r="AD4" s="69">
        <f>AC4</f>
        <v>5650</v>
      </c>
    </row>
    <row r="5" spans="1:44">
      <c r="A5" s="5" t="s">
        <v>18</v>
      </c>
      <c r="B5" s="62">
        <v>59150</v>
      </c>
      <c r="C5" s="62">
        <f>B5+AC5</f>
        <v>62850</v>
      </c>
      <c r="D5" s="62">
        <f>C5-C$4</f>
        <v>-2800</v>
      </c>
      <c r="E5" s="63">
        <f>B5</f>
        <v>59150</v>
      </c>
      <c r="F5" s="63">
        <f>E5+$AD5</f>
        <v>62850</v>
      </c>
      <c r="G5" s="63">
        <f>F5-F$4</f>
        <v>-2800</v>
      </c>
      <c r="H5" s="62">
        <f>B5</f>
        <v>59150</v>
      </c>
      <c r="I5" s="62">
        <f>H5+$AD5</f>
        <v>62850</v>
      </c>
      <c r="J5" s="62">
        <f>I5-I$4</f>
        <v>-3300</v>
      </c>
      <c r="K5" s="63">
        <f>B5</f>
        <v>59150</v>
      </c>
      <c r="L5" s="63">
        <f>K5+$AD5</f>
        <v>62850</v>
      </c>
      <c r="M5" s="63">
        <f>L5-L$4</f>
        <v>-2300</v>
      </c>
      <c r="N5" s="62">
        <f>B5</f>
        <v>59150</v>
      </c>
      <c r="O5" s="62">
        <f>N5+$AD5</f>
        <v>62850</v>
      </c>
      <c r="P5" s="62">
        <f>O5-O$4</f>
        <v>-3800</v>
      </c>
      <c r="Q5" s="63">
        <f>B5+500</f>
        <v>59650</v>
      </c>
      <c r="R5" s="63">
        <f>Q5+AD5-500</f>
        <v>62850</v>
      </c>
      <c r="S5" s="63">
        <f>R5-R$4</f>
        <v>-2800</v>
      </c>
      <c r="T5" s="62">
        <f>B5</f>
        <v>59150</v>
      </c>
      <c r="U5" s="62">
        <f>T5+AD5</f>
        <v>62850</v>
      </c>
      <c r="V5" s="62">
        <f>U5-U$4</f>
        <v>-3300</v>
      </c>
      <c r="W5" s="63">
        <f>B5+500</f>
        <v>59650</v>
      </c>
      <c r="X5" s="63">
        <f>W5+AD5</f>
        <v>63350</v>
      </c>
      <c r="Y5" s="63">
        <f>X5-X$4</f>
        <v>-2300</v>
      </c>
      <c r="Z5" s="62">
        <f>B5+1500</f>
        <v>60650</v>
      </c>
      <c r="AA5" s="62">
        <f>Z5+AD5</f>
        <v>64350</v>
      </c>
      <c r="AB5" s="62">
        <f>AA5-AA$4</f>
        <v>-1800</v>
      </c>
      <c r="AC5" s="69">
        <v>3700</v>
      </c>
      <c r="AD5" s="69">
        <f>AC5</f>
        <v>3700</v>
      </c>
    </row>
    <row r="6" spans="1:44">
      <c r="A6" s="5" t="s">
        <v>19</v>
      </c>
      <c r="B6" s="62">
        <v>58500</v>
      </c>
      <c r="C6" s="62">
        <f>B6+AC6</f>
        <v>62100</v>
      </c>
      <c r="D6" s="62">
        <f>C6-C$4</f>
        <v>-3550</v>
      </c>
      <c r="E6" s="63" t="s">
        <v>20</v>
      </c>
      <c r="F6" s="63">
        <v>58650</v>
      </c>
      <c r="G6" s="63">
        <f>F6-F$4</f>
        <v>-7000</v>
      </c>
      <c r="H6" s="62">
        <f>B6+250</f>
        <v>58750</v>
      </c>
      <c r="I6" s="62">
        <f>H6+$AD6</f>
        <v>62600</v>
      </c>
      <c r="J6" s="62">
        <f>I6-I$4</f>
        <v>-3550</v>
      </c>
      <c r="K6" s="63">
        <f>B6-500</f>
        <v>58000</v>
      </c>
      <c r="L6" s="63">
        <f>K6+$AD6</f>
        <v>61850</v>
      </c>
      <c r="M6" s="63">
        <f>L6-L$4</f>
        <v>-3300</v>
      </c>
      <c r="N6" s="62">
        <f>B6+500</f>
        <v>59000</v>
      </c>
      <c r="O6" s="62">
        <f>N6+$AD6</f>
        <v>62850</v>
      </c>
      <c r="P6" s="62">
        <f>O6-O$4</f>
        <v>-3800</v>
      </c>
      <c r="Q6" s="63">
        <f>B6+250</f>
        <v>58750</v>
      </c>
      <c r="R6" s="63">
        <f>Q6+AD6-500</f>
        <v>62100</v>
      </c>
      <c r="S6" s="63">
        <f>R6-R$4</f>
        <v>-3550</v>
      </c>
      <c r="T6" s="62">
        <f>B6+500</f>
        <v>59000</v>
      </c>
      <c r="U6" s="62">
        <f>T6+AD6</f>
        <v>62850</v>
      </c>
      <c r="V6" s="62">
        <f>U6-U$4</f>
        <v>-3300</v>
      </c>
      <c r="W6" s="63">
        <f>B6+500</f>
        <v>59000</v>
      </c>
      <c r="X6" s="63">
        <f>W6+AD6</f>
        <v>62850</v>
      </c>
      <c r="Y6" s="63">
        <f>X6-X$4</f>
        <v>-2800</v>
      </c>
      <c r="Z6" s="62">
        <f>B6+500</f>
        <v>59000</v>
      </c>
      <c r="AA6" s="62">
        <f>Z6+AD6</f>
        <v>62850</v>
      </c>
      <c r="AB6" s="62">
        <f>AA6-AA$4</f>
        <v>-3300</v>
      </c>
      <c r="AC6" s="69">
        <v>3600</v>
      </c>
      <c r="AD6" s="69">
        <v>3850</v>
      </c>
    </row>
    <row r="7" spans="1:44">
      <c r="A7" s="5" t="s">
        <v>21</v>
      </c>
      <c r="B7" s="62">
        <v>59500</v>
      </c>
      <c r="C7" s="62">
        <f>B7+AC7</f>
        <v>61750</v>
      </c>
      <c r="D7" s="62">
        <f>C7-C$4</f>
        <v>-3900</v>
      </c>
      <c r="E7" s="63">
        <f>B7</f>
        <v>59500</v>
      </c>
      <c r="F7" s="63">
        <f>E7+$AD7</f>
        <v>61750</v>
      </c>
      <c r="G7" s="63">
        <f>F7-F$4</f>
        <v>-3900</v>
      </c>
      <c r="H7" s="62">
        <f>B7-250</f>
        <v>59250</v>
      </c>
      <c r="I7" s="62">
        <f>H7+$AD7</f>
        <v>61500</v>
      </c>
      <c r="J7" s="62">
        <f>I7-I$4</f>
        <v>-4650</v>
      </c>
      <c r="K7" s="63">
        <f>B7-500</f>
        <v>59000</v>
      </c>
      <c r="L7" s="63">
        <f>K7+$AD7</f>
        <v>61250</v>
      </c>
      <c r="M7" s="63">
        <f>L7-L$4</f>
        <v>-3900</v>
      </c>
      <c r="N7" s="62">
        <f>B7+500</f>
        <v>60000</v>
      </c>
      <c r="O7" s="62">
        <f>N7+$AD7</f>
        <v>62250</v>
      </c>
      <c r="P7" s="62">
        <f>O7-O$4</f>
        <v>-4400</v>
      </c>
      <c r="Q7" s="63">
        <f>B7+500</f>
        <v>60000</v>
      </c>
      <c r="R7" s="63">
        <f>Q7+AD7-500</f>
        <v>61750</v>
      </c>
      <c r="S7" s="63">
        <f>R7-R$4</f>
        <v>-3900</v>
      </c>
      <c r="T7" s="62">
        <f>B7+500</f>
        <v>60000</v>
      </c>
      <c r="U7" s="62">
        <f>T7+AD7</f>
        <v>62250</v>
      </c>
      <c r="V7" s="62">
        <f>U7-U$4</f>
        <v>-3900</v>
      </c>
      <c r="W7" s="63">
        <f>B7+1000</f>
        <v>60500</v>
      </c>
      <c r="X7" s="63">
        <f>W7+AD7</f>
        <v>62750</v>
      </c>
      <c r="Y7" s="63">
        <f>X7-X$4</f>
        <v>-2900</v>
      </c>
      <c r="Z7" s="62">
        <f>B7+2000</f>
        <v>61500</v>
      </c>
      <c r="AA7" s="62">
        <f>Z7+AD7</f>
        <v>63750</v>
      </c>
      <c r="AB7" s="62">
        <f>AA7-AA$4</f>
        <v>-2400</v>
      </c>
      <c r="AC7" s="69">
        <v>2250</v>
      </c>
      <c r="AD7" s="69">
        <f>AC7</f>
        <v>2250</v>
      </c>
    </row>
    <row r="8" spans="1:44" s="6" customFormat="1">
      <c r="A8" s="70" t="s">
        <v>22</v>
      </c>
      <c r="B8" s="71">
        <v>58400</v>
      </c>
      <c r="C8" s="71">
        <f>B8+AC8</f>
        <v>60700</v>
      </c>
      <c r="D8" s="71">
        <f t="shared" ref="D8:D10" si="0">C8-C$4</f>
        <v>-4950</v>
      </c>
      <c r="E8" s="71">
        <f>B8</f>
        <v>58400</v>
      </c>
      <c r="F8" s="71">
        <f>E8+$AD8</f>
        <v>60700</v>
      </c>
      <c r="G8" s="71">
        <f>F8-F$4</f>
        <v>-4950</v>
      </c>
      <c r="H8" s="71">
        <f>B8</f>
        <v>58400</v>
      </c>
      <c r="I8" s="71">
        <f>H8+$AD8</f>
        <v>60700</v>
      </c>
      <c r="J8" s="71">
        <f t="shared" ref="J8" si="1">I8-I$4</f>
        <v>-5450</v>
      </c>
      <c r="K8" s="71">
        <f>B8</f>
        <v>58400</v>
      </c>
      <c r="L8" s="71">
        <f>K8+$AD8</f>
        <v>60700</v>
      </c>
      <c r="M8" s="71">
        <f t="shared" ref="M8" si="2">L8-L$4</f>
        <v>-4450</v>
      </c>
      <c r="N8" s="71">
        <f>B8+250</f>
        <v>58650</v>
      </c>
      <c r="O8" s="71">
        <f>N8+$AD8</f>
        <v>60950</v>
      </c>
      <c r="P8" s="71">
        <f t="shared" ref="P8" si="3">O8-O$4</f>
        <v>-5700</v>
      </c>
      <c r="Q8" s="71">
        <f>B8+500</f>
        <v>58900</v>
      </c>
      <c r="R8" s="71">
        <f>Q8+AD8-500</f>
        <v>60700</v>
      </c>
      <c r="S8" s="71">
        <f t="shared" ref="S8" si="4">R8-R$4</f>
        <v>-4950</v>
      </c>
      <c r="T8" s="71">
        <f>B8+500</f>
        <v>58900</v>
      </c>
      <c r="U8" s="71">
        <f>T8+AD8</f>
        <v>61200</v>
      </c>
      <c r="V8" s="71">
        <f t="shared" ref="V8" si="5">U8-U$4</f>
        <v>-4950</v>
      </c>
      <c r="W8" s="71">
        <f>B8+1000</f>
        <v>59400</v>
      </c>
      <c r="X8" s="71">
        <f>W8+AD8</f>
        <v>61700</v>
      </c>
      <c r="Y8" s="71">
        <f t="shared" ref="Y8" si="6">X8-X$4</f>
        <v>-3950</v>
      </c>
      <c r="Z8" s="71">
        <f>B8+2000</f>
        <v>60400</v>
      </c>
      <c r="AA8" s="71">
        <f>Z8+AD8</f>
        <v>62700</v>
      </c>
      <c r="AB8" s="71">
        <f t="shared" ref="AB8" si="7">AA8-AA$4</f>
        <v>-3450</v>
      </c>
      <c r="AC8" s="69">
        <v>2300</v>
      </c>
      <c r="AD8" s="69">
        <v>2300</v>
      </c>
    </row>
    <row r="9" spans="1:44">
      <c r="A9" s="5" t="s">
        <v>23</v>
      </c>
      <c r="B9" s="62"/>
      <c r="C9" s="62"/>
      <c r="D9" s="62"/>
      <c r="E9" s="63"/>
      <c r="F9" s="63">
        <f>E9+$AD9</f>
        <v>0</v>
      </c>
      <c r="G9" s="63"/>
      <c r="H9" s="62"/>
      <c r="I9" s="62">
        <f>H9+$AD9</f>
        <v>0</v>
      </c>
      <c r="J9" s="62"/>
      <c r="K9" s="63"/>
      <c r="L9" s="63">
        <f>K9+$AD9</f>
        <v>0</v>
      </c>
      <c r="M9" s="63"/>
      <c r="N9" s="62"/>
      <c r="O9" s="62">
        <f>N9+$AD9</f>
        <v>0</v>
      </c>
      <c r="P9" s="62"/>
      <c r="Q9" s="63"/>
      <c r="R9" s="63"/>
      <c r="S9" s="63"/>
      <c r="T9" s="62"/>
      <c r="U9" s="62"/>
      <c r="V9" s="62"/>
      <c r="W9" s="63"/>
      <c r="X9" s="63">
        <f>W9+AD9</f>
        <v>0</v>
      </c>
      <c r="Y9" s="63"/>
      <c r="Z9" s="62"/>
      <c r="AA9" s="62">
        <f>Z9+AD9</f>
        <v>0</v>
      </c>
      <c r="AB9" s="62"/>
      <c r="AC9" s="69"/>
      <c r="AD9" s="69"/>
    </row>
    <row r="10" spans="1:44" s="6" customFormat="1">
      <c r="A10" s="70" t="s">
        <v>24</v>
      </c>
      <c r="B10" s="71">
        <v>57400</v>
      </c>
      <c r="C10" s="71">
        <f>B10+AC10</f>
        <v>59700</v>
      </c>
      <c r="D10" s="71">
        <f t="shared" si="0"/>
        <v>-5950</v>
      </c>
      <c r="E10" s="71">
        <f>B10</f>
        <v>57400</v>
      </c>
      <c r="F10" s="71">
        <f>E10+$AD10</f>
        <v>59700</v>
      </c>
      <c r="G10" s="71">
        <f>F10-F$4</f>
        <v>-5950</v>
      </c>
      <c r="H10" s="71">
        <f>B10</f>
        <v>57400</v>
      </c>
      <c r="I10" s="71">
        <f>H10+$AD10</f>
        <v>59700</v>
      </c>
      <c r="J10" s="71">
        <f t="shared" ref="J10" si="8">I10-I$4</f>
        <v>-6450</v>
      </c>
      <c r="K10" s="71">
        <f>B10</f>
        <v>57400</v>
      </c>
      <c r="L10" s="71">
        <f>K10+$AD10</f>
        <v>59700</v>
      </c>
      <c r="M10" s="71">
        <f t="shared" ref="M10" si="9">L10-L$4</f>
        <v>-5450</v>
      </c>
      <c r="N10" s="71">
        <f>B10+250</f>
        <v>57650</v>
      </c>
      <c r="O10" s="71">
        <f>N10+$AD10</f>
        <v>59950</v>
      </c>
      <c r="P10" s="71">
        <f t="shared" ref="P10" si="10">O10-O$4</f>
        <v>-6700</v>
      </c>
      <c r="Q10" s="71">
        <f>B10+500</f>
        <v>57900</v>
      </c>
      <c r="R10" s="71">
        <f>Q10+AD10-500</f>
        <v>59700</v>
      </c>
      <c r="S10" s="71">
        <f t="shared" ref="S10" si="11">R10-R$4</f>
        <v>-5950</v>
      </c>
      <c r="T10" s="71">
        <f>B10</f>
        <v>57400</v>
      </c>
      <c r="U10" s="71">
        <f>T10+AD10</f>
        <v>59700</v>
      </c>
      <c r="V10" s="71">
        <f t="shared" ref="V10" si="12">U10-U$4</f>
        <v>-6450</v>
      </c>
      <c r="W10" s="71">
        <f>B10+500</f>
        <v>57900</v>
      </c>
      <c r="X10" s="71">
        <f>W10+AD10</f>
        <v>60200</v>
      </c>
      <c r="Y10" s="71">
        <f t="shared" ref="Y10" si="13">X10-X$4</f>
        <v>-5450</v>
      </c>
      <c r="Z10" s="71">
        <f>B10+1500</f>
        <v>58900</v>
      </c>
      <c r="AA10" s="71">
        <f>Z10+AD10</f>
        <v>61200</v>
      </c>
      <c r="AB10" s="71">
        <f t="shared" ref="AB10" si="14">AA10-AA$4</f>
        <v>-4950</v>
      </c>
      <c r="AC10" s="69">
        <v>2300</v>
      </c>
      <c r="AD10" s="69">
        <v>2300</v>
      </c>
    </row>
    <row r="11" spans="1:44">
      <c r="A11" s="5" t="s">
        <v>25</v>
      </c>
      <c r="B11" s="62">
        <f>C11-250</f>
        <v>52400</v>
      </c>
      <c r="C11" s="62">
        <f>C12+1000</f>
        <v>52650</v>
      </c>
      <c r="D11" s="62">
        <f>C11-C$4</f>
        <v>-13000</v>
      </c>
      <c r="E11" s="63">
        <f>B11</f>
        <v>52400</v>
      </c>
      <c r="F11" s="63">
        <f>C11</f>
        <v>52650</v>
      </c>
      <c r="G11" s="63">
        <f>F11-F$4</f>
        <v>-13000</v>
      </c>
      <c r="H11" s="62">
        <f>I11-250</f>
        <v>49300</v>
      </c>
      <c r="I11" s="62">
        <f>I12+1000</f>
        <v>49550</v>
      </c>
      <c r="J11" s="62">
        <f t="shared" ref="J11" si="15">I11-I$4</f>
        <v>-16600</v>
      </c>
      <c r="K11" s="63">
        <f>L11-250</f>
        <v>51900</v>
      </c>
      <c r="L11" s="63">
        <f>L12+1000</f>
        <v>52150</v>
      </c>
      <c r="M11" s="63">
        <f t="shared" ref="M11" si="16">L11-L$4</f>
        <v>-13000</v>
      </c>
      <c r="N11" s="62">
        <f>O11-250</f>
        <v>50500</v>
      </c>
      <c r="O11" s="62">
        <f>O12+1000</f>
        <v>50750</v>
      </c>
      <c r="P11" s="62">
        <f t="shared" ref="P11" si="17">O11-O$4</f>
        <v>-15900</v>
      </c>
      <c r="Q11" s="63">
        <f>R11-250</f>
        <v>51000</v>
      </c>
      <c r="R11" s="63">
        <f>R12+1500</f>
        <v>51250</v>
      </c>
      <c r="S11" s="63">
        <f t="shared" ref="S11" si="18">R11-R$4</f>
        <v>-14400</v>
      </c>
      <c r="T11" s="62">
        <f>U11-250</f>
        <v>51900</v>
      </c>
      <c r="U11" s="62">
        <f>U12+500</f>
        <v>52150</v>
      </c>
      <c r="V11" s="62">
        <f t="shared" ref="V11" si="19">U11-U$4</f>
        <v>-14000</v>
      </c>
      <c r="W11" s="63">
        <f>X11-250</f>
        <v>50500</v>
      </c>
      <c r="X11" s="63">
        <f>X12+1000</f>
        <v>50750</v>
      </c>
      <c r="Y11" s="63">
        <f t="shared" ref="Y11" si="20">X11-X$4</f>
        <v>-14900</v>
      </c>
      <c r="Z11" s="62">
        <f>Z12+250+1500+1000</f>
        <v>53500</v>
      </c>
      <c r="AA11" s="62">
        <f>AA12+1000</f>
        <v>51750</v>
      </c>
      <c r="AB11" s="62">
        <f t="shared" ref="AB11" si="21">AA11-AA$4</f>
        <v>-14400</v>
      </c>
      <c r="AC11" s="69">
        <v>1450</v>
      </c>
      <c r="AD11" s="69">
        <v>1450</v>
      </c>
    </row>
    <row r="12" spans="1:44">
      <c r="A12" s="5" t="s">
        <v>26</v>
      </c>
      <c r="B12" s="62">
        <f>50400+250+1000</f>
        <v>51650</v>
      </c>
      <c r="C12" s="62">
        <f>B12</f>
        <v>51650</v>
      </c>
      <c r="D12" s="62">
        <f>C12-C$4</f>
        <v>-14000</v>
      </c>
      <c r="E12" s="63">
        <f>B12</f>
        <v>51650</v>
      </c>
      <c r="F12" s="63">
        <f>C12</f>
        <v>51650</v>
      </c>
      <c r="G12" s="63">
        <f>F12-F$4</f>
        <v>-14000</v>
      </c>
      <c r="H12" s="62">
        <f>47800+250+500</f>
        <v>48550</v>
      </c>
      <c r="I12" s="62">
        <f>H12</f>
        <v>48550</v>
      </c>
      <c r="J12" s="62">
        <f t="shared" ref="J12" si="22">I12-I$4</f>
        <v>-17600</v>
      </c>
      <c r="K12" s="63">
        <f>49400+250+1500</f>
        <v>51150</v>
      </c>
      <c r="L12" s="63">
        <f>K12</f>
        <v>51150</v>
      </c>
      <c r="M12" s="63">
        <f t="shared" ref="M12" si="23">L12-L$4</f>
        <v>-14000</v>
      </c>
      <c r="N12" s="62">
        <f>49000+250+500</f>
        <v>49750</v>
      </c>
      <c r="O12" s="62">
        <f>N12</f>
        <v>49750</v>
      </c>
      <c r="P12" s="62">
        <f t="shared" ref="P12" si="24">O12-O$4</f>
        <v>-16900</v>
      </c>
      <c r="Q12" s="63">
        <f>49000+250+500</f>
        <v>49750</v>
      </c>
      <c r="R12" s="63">
        <f>Q12</f>
        <v>49750</v>
      </c>
      <c r="S12" s="63">
        <f t="shared" ref="S12" si="25">R12-R$4</f>
        <v>-15900</v>
      </c>
      <c r="T12" s="62">
        <f>B12</f>
        <v>51650</v>
      </c>
      <c r="U12" s="62">
        <f>C12</f>
        <v>51650</v>
      </c>
      <c r="V12" s="62">
        <f t="shared" ref="V12" si="26">U12-U$4</f>
        <v>-14500</v>
      </c>
      <c r="W12" s="63">
        <f>Q12</f>
        <v>49750</v>
      </c>
      <c r="X12" s="63">
        <f>R12</f>
        <v>49750</v>
      </c>
      <c r="Y12" s="63">
        <f t="shared" ref="Y12" si="27">X12-X$4</f>
        <v>-15900</v>
      </c>
      <c r="Z12" s="62">
        <f>49000+250+1500</f>
        <v>50750</v>
      </c>
      <c r="AA12" s="62">
        <f>Z12</f>
        <v>50750</v>
      </c>
      <c r="AB12" s="62">
        <f t="shared" ref="AB12" si="28">AA12-AA$4</f>
        <v>-15400</v>
      </c>
      <c r="AC12" s="72"/>
      <c r="AD12" s="72"/>
    </row>
    <row r="13" spans="1:44">
      <c r="B13" s="1"/>
      <c r="C13" s="1"/>
      <c r="D13" s="1"/>
      <c r="E13" s="1"/>
      <c r="F13" s="1"/>
      <c r="G13" s="1"/>
      <c r="H13" s="2"/>
      <c r="I13" s="2"/>
      <c r="J13" s="2"/>
      <c r="AK13" s="2"/>
      <c r="AL13" s="2"/>
      <c r="AM13" s="2"/>
      <c r="AN13" s="2"/>
    </row>
    <row r="14" spans="1:44">
      <c r="B14" s="1"/>
      <c r="C14" s="68"/>
      <c r="D14" s="68"/>
      <c r="E14" s="1"/>
      <c r="F14" s="1"/>
      <c r="G14" s="1"/>
      <c r="H14" s="2"/>
      <c r="I14" s="2"/>
      <c r="J14" s="2"/>
      <c r="AK14" s="2"/>
      <c r="AL14" s="2"/>
      <c r="AM14" s="2"/>
      <c r="AN14" s="2"/>
    </row>
    <row r="15" spans="1:44">
      <c r="B15" s="1"/>
      <c r="C15" s="1"/>
      <c r="D15" s="1"/>
      <c r="E15" s="1"/>
      <c r="F15" s="1"/>
      <c r="G15" s="1"/>
      <c r="H15" s="2"/>
      <c r="I15" s="2"/>
      <c r="J15" s="2"/>
      <c r="AK15" s="2"/>
      <c r="AL15" s="2"/>
      <c r="AM15" s="2"/>
      <c r="AN15" s="2"/>
    </row>
    <row r="16" spans="1:44">
      <c r="B16" s="1"/>
      <c r="C16" s="1"/>
      <c r="D16" s="1"/>
      <c r="E16" s="1"/>
      <c r="F16" s="1"/>
      <c r="G16" s="1"/>
      <c r="H16" s="2"/>
      <c r="I16" s="2"/>
      <c r="J16" s="2"/>
      <c r="AK16" s="2"/>
      <c r="AL16" s="2"/>
      <c r="AM16" s="2"/>
      <c r="AN16" s="2"/>
    </row>
    <row r="17" spans="2:40">
      <c r="B17" s="1"/>
      <c r="C17" s="1"/>
      <c r="D17" s="1"/>
      <c r="E17" s="1"/>
      <c r="F17" s="1"/>
      <c r="G17" s="1"/>
      <c r="H17" s="2"/>
      <c r="I17" s="2"/>
      <c r="J17" s="2"/>
      <c r="AK17" s="2"/>
      <c r="AL17" s="2"/>
      <c r="AM17" s="2"/>
      <c r="AN17" s="2"/>
    </row>
    <row r="18" spans="2:40">
      <c r="B18" s="1"/>
      <c r="C18" s="1"/>
      <c r="D18" s="1"/>
      <c r="E18" s="1"/>
      <c r="F18" s="1"/>
      <c r="G18" s="1"/>
      <c r="H18" s="2"/>
      <c r="I18" s="2"/>
      <c r="J18" s="2"/>
      <c r="AK18" s="2"/>
      <c r="AL18" s="2"/>
      <c r="AM18" s="2"/>
      <c r="AN18" s="2"/>
    </row>
    <row r="19" spans="2:40">
      <c r="B19" s="1"/>
      <c r="C19" s="1"/>
      <c r="D19" s="1"/>
      <c r="E19" s="1"/>
      <c r="F19" s="1"/>
      <c r="G19" s="1"/>
      <c r="H19" s="2"/>
      <c r="I19" s="2"/>
      <c r="J19" s="2"/>
      <c r="AK19" s="2"/>
      <c r="AL19" s="2"/>
      <c r="AM19" s="2"/>
      <c r="AN19" s="2"/>
    </row>
    <row r="20" spans="2:40">
      <c r="B20" s="1"/>
      <c r="C20" s="1"/>
      <c r="D20" s="1"/>
      <c r="E20" s="1"/>
      <c r="F20" s="1"/>
      <c r="G20" s="1"/>
      <c r="H20" s="2"/>
      <c r="I20" s="2"/>
      <c r="J20" s="2"/>
      <c r="AK20" s="2"/>
      <c r="AL20" s="2"/>
      <c r="AM20" s="2"/>
      <c r="AN20" s="2"/>
    </row>
    <row r="21" spans="2:40">
      <c r="B21" s="1"/>
      <c r="C21" s="1"/>
      <c r="D21" s="1"/>
      <c r="E21" s="1"/>
      <c r="F21" s="1"/>
      <c r="G21" s="1"/>
      <c r="H21" s="2"/>
      <c r="I21" s="2"/>
      <c r="J21" s="2"/>
      <c r="AK21" s="2"/>
      <c r="AL21" s="2"/>
      <c r="AM21" s="2"/>
      <c r="AN21" s="2"/>
    </row>
    <row r="22" spans="2:40">
      <c r="B22" s="1"/>
      <c r="C22" s="1"/>
      <c r="D22" s="1"/>
      <c r="E22" s="1"/>
      <c r="F22" s="1"/>
      <c r="G22" s="1"/>
      <c r="H22" s="2"/>
      <c r="I22" s="2"/>
      <c r="J22" s="2"/>
      <c r="AK22" s="2"/>
      <c r="AL22" s="2"/>
      <c r="AM22" s="2"/>
      <c r="AN22" s="2"/>
    </row>
    <row r="23" spans="2:40">
      <c r="B23" s="1"/>
      <c r="C23" s="1"/>
      <c r="D23" s="1"/>
      <c r="E23" s="1"/>
      <c r="F23" s="1"/>
      <c r="G23" s="1"/>
      <c r="H23" s="2"/>
      <c r="I23" s="2"/>
      <c r="J23" s="2"/>
      <c r="AK23" s="2"/>
      <c r="AL23" s="2"/>
      <c r="AM23" s="2"/>
      <c r="AN23" s="2"/>
    </row>
    <row r="24" spans="2:40">
      <c r="B24" s="1"/>
      <c r="C24" s="1"/>
      <c r="D24" s="1"/>
      <c r="E24" s="1"/>
      <c r="F24" s="1"/>
      <c r="G24" s="1"/>
      <c r="H24" s="2"/>
      <c r="I24" s="2"/>
      <c r="J24" s="2"/>
      <c r="AK24" s="2"/>
      <c r="AL24" s="2"/>
      <c r="AM24" s="2"/>
      <c r="AN24" s="2"/>
    </row>
    <row r="25" spans="2:40">
      <c r="B25" s="1"/>
      <c r="C25" s="1"/>
      <c r="D25" s="1"/>
      <c r="E25" s="1"/>
      <c r="F25" s="1"/>
      <c r="G25" s="1"/>
      <c r="H25" s="2"/>
      <c r="I25" s="2"/>
      <c r="J25" s="2"/>
      <c r="AK25" s="2"/>
      <c r="AL25" s="2"/>
      <c r="AM25" s="2"/>
      <c r="AN25" s="2"/>
    </row>
    <row r="26" spans="2:40">
      <c r="B26" s="1"/>
      <c r="C26" s="1"/>
      <c r="D26" s="1"/>
      <c r="E26" s="1"/>
      <c r="F26" s="1"/>
      <c r="G26" s="1"/>
      <c r="H26" s="2"/>
      <c r="I26" s="2"/>
      <c r="J26" s="2"/>
      <c r="AK26" s="2"/>
      <c r="AL26" s="2"/>
      <c r="AM26" s="2"/>
      <c r="AN26" s="2"/>
    </row>
    <row r="27" spans="2:40">
      <c r="B27" s="1"/>
      <c r="C27" s="1"/>
      <c r="D27" s="1"/>
      <c r="E27" s="1"/>
      <c r="F27" s="1"/>
      <c r="G27" s="1"/>
      <c r="H27" s="2"/>
      <c r="I27" s="2"/>
      <c r="J27" s="2"/>
      <c r="AK27" s="2"/>
      <c r="AL27" s="2"/>
      <c r="AM27" s="2"/>
      <c r="AN27" s="2"/>
    </row>
    <row r="28" spans="2:40">
      <c r="B28" s="1"/>
      <c r="C28" s="1"/>
      <c r="D28" s="1"/>
      <c r="E28" s="1"/>
      <c r="F28" s="1"/>
      <c r="G28" s="1"/>
      <c r="H28" s="2"/>
      <c r="I28" s="2"/>
      <c r="J28" s="2"/>
      <c r="AK28" s="2"/>
      <c r="AL28" s="2"/>
      <c r="AM28" s="2"/>
      <c r="AN28" s="2"/>
    </row>
    <row r="29" spans="2:40">
      <c r="B29" s="1"/>
      <c r="C29" s="1"/>
      <c r="D29" s="1"/>
      <c r="E29" s="1"/>
      <c r="F29" s="1"/>
      <c r="G29" s="1"/>
      <c r="H29" s="2"/>
      <c r="I29" s="2"/>
      <c r="J29" s="2"/>
      <c r="AK29" s="2"/>
      <c r="AL29" s="2"/>
      <c r="AM29" s="2"/>
      <c r="AN29" s="2"/>
    </row>
    <row r="30" spans="2:40">
      <c r="B30" s="1"/>
      <c r="C30" s="1"/>
      <c r="D30" s="1"/>
      <c r="E30" s="1"/>
      <c r="F30" s="1"/>
      <c r="G30" s="1"/>
      <c r="H30" s="2"/>
      <c r="I30" s="2"/>
      <c r="J30" s="2"/>
      <c r="AK30" s="2"/>
      <c r="AL30" s="2"/>
      <c r="AM30" s="2"/>
      <c r="AN30" s="2"/>
    </row>
    <row r="31" spans="2:40">
      <c r="B31" s="1"/>
      <c r="C31" s="1"/>
      <c r="D31" s="1"/>
      <c r="E31" s="1"/>
      <c r="F31" s="1"/>
      <c r="G31" s="1"/>
      <c r="H31" s="2"/>
      <c r="I31" s="2"/>
      <c r="J31" s="2"/>
      <c r="AK31" s="2"/>
      <c r="AL31" s="2"/>
      <c r="AM31" s="2"/>
      <c r="AN31" s="2"/>
    </row>
    <row r="32" spans="2:40">
      <c r="B32" s="1"/>
      <c r="C32" s="1"/>
      <c r="D32" s="1"/>
      <c r="E32" s="1"/>
      <c r="F32" s="1"/>
      <c r="G32" s="1"/>
      <c r="H32" s="2"/>
      <c r="I32" s="2"/>
      <c r="J32" s="2"/>
      <c r="AK32" s="2"/>
      <c r="AL32" s="2"/>
      <c r="AM32" s="2"/>
      <c r="AN32" s="2"/>
    </row>
    <row r="33" spans="2:40">
      <c r="B33" s="1"/>
      <c r="C33" s="1"/>
      <c r="D33" s="1"/>
      <c r="E33" s="1"/>
      <c r="F33" s="1"/>
      <c r="G33" s="1"/>
      <c r="H33" s="2"/>
      <c r="I33" s="2"/>
      <c r="J33" s="2"/>
      <c r="AK33" s="2"/>
      <c r="AL33" s="2"/>
      <c r="AM33" s="2"/>
      <c r="AN33" s="2"/>
    </row>
    <row r="34" spans="2:40">
      <c r="B34" s="1"/>
      <c r="C34" s="1"/>
      <c r="D34" s="1"/>
      <c r="E34" s="1"/>
      <c r="F34" s="1"/>
      <c r="G34" s="1"/>
      <c r="H34" s="2"/>
      <c r="I34" s="2"/>
      <c r="J34" s="2"/>
    </row>
  </sheetData>
  <mergeCells count="10">
    <mergeCell ref="B2:D2"/>
    <mergeCell ref="AC2:AD2"/>
    <mergeCell ref="Z2:AB2"/>
    <mergeCell ref="H2:J2"/>
    <mergeCell ref="K2:M2"/>
    <mergeCell ref="N2:P2"/>
    <mergeCell ref="Q2:S2"/>
    <mergeCell ref="T2:V2"/>
    <mergeCell ref="W2:Y2"/>
    <mergeCell ref="E2:G2"/>
  </mergeCells>
  <dataValidations count="1">
    <dataValidation allowBlank="1" showInputMessage="1" showErrorMessage="1" sqref="W6 A6:B6 N6 H6 Z6 AC6:AD6" xr:uid="{56049300-B9B8-46F8-8400-F876E09690CB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484C-0631-4B9F-A5A4-E66DE158BCE1}">
  <dimension ref="A1:AA44"/>
  <sheetViews>
    <sheetView topLeftCell="A8" workbookViewId="0">
      <selection activeCell="E38" sqref="E38"/>
    </sheetView>
  </sheetViews>
  <sheetFormatPr defaultRowHeight="15"/>
  <cols>
    <col min="1" max="1" width="21.140625" customWidth="1"/>
    <col min="2" max="8" width="18" customWidth="1"/>
    <col min="9" max="9" width="12.140625" customWidth="1"/>
  </cols>
  <sheetData>
    <row r="1" spans="1:27">
      <c r="A1" s="16"/>
      <c r="B1" s="17"/>
      <c r="C1" s="17"/>
      <c r="D1" s="17"/>
      <c r="E1" s="17"/>
      <c r="F1" s="17"/>
      <c r="G1" s="17"/>
      <c r="H1" s="17"/>
      <c r="T1" s="93" t="s">
        <v>27</v>
      </c>
      <c r="U1" s="94"/>
      <c r="V1" s="94"/>
      <c r="W1" s="95"/>
      <c r="X1" s="96" t="s">
        <v>28</v>
      </c>
      <c r="Y1" s="97"/>
      <c r="Z1" s="97"/>
      <c r="AA1" s="98"/>
    </row>
    <row r="2" spans="1:27" ht="37.5">
      <c r="A2" s="7" t="s">
        <v>29</v>
      </c>
      <c r="B2" s="18" t="s">
        <v>30</v>
      </c>
      <c r="C2" s="18" t="s">
        <v>31</v>
      </c>
      <c r="D2" s="18" t="s">
        <v>32</v>
      </c>
      <c r="E2" s="19" t="s">
        <v>33</v>
      </c>
      <c r="F2" s="19" t="s">
        <v>34</v>
      </c>
      <c r="G2" s="20" t="s">
        <v>35</v>
      </c>
      <c r="H2" s="26" t="s">
        <v>36</v>
      </c>
      <c r="T2" s="21" t="s">
        <v>37</v>
      </c>
      <c r="U2" s="22" t="s">
        <v>38</v>
      </c>
      <c r="V2" s="22" t="s">
        <v>36</v>
      </c>
      <c r="W2" s="23" t="s">
        <v>39</v>
      </c>
      <c r="X2" s="24" t="s">
        <v>37</v>
      </c>
      <c r="Y2" s="25" t="s">
        <v>38</v>
      </c>
      <c r="Z2" s="25" t="s">
        <v>36</v>
      </c>
      <c r="AA2" s="26" t="s">
        <v>39</v>
      </c>
    </row>
    <row r="3" spans="1:27">
      <c r="A3" s="7" t="s">
        <v>40</v>
      </c>
      <c r="B3" s="8" t="s">
        <v>41</v>
      </c>
      <c r="C3" s="8" t="s">
        <v>41</v>
      </c>
      <c r="D3" s="8" t="s">
        <v>41</v>
      </c>
      <c r="E3" s="8" t="s">
        <v>41</v>
      </c>
      <c r="F3" s="8" t="s">
        <v>41</v>
      </c>
      <c r="G3" s="8" t="s">
        <v>41</v>
      </c>
      <c r="H3" s="28" t="s">
        <v>42</v>
      </c>
      <c r="T3" s="27" t="s">
        <v>41</v>
      </c>
      <c r="U3" s="8" t="s">
        <v>41</v>
      </c>
      <c r="V3" s="8" t="s">
        <v>42</v>
      </c>
      <c r="W3" s="28" t="s">
        <v>42</v>
      </c>
      <c r="X3" s="29" t="s">
        <v>41</v>
      </c>
      <c r="Y3" s="8" t="s">
        <v>41</v>
      </c>
      <c r="Z3" s="8" t="s">
        <v>42</v>
      </c>
      <c r="AA3" s="28" t="s">
        <v>42</v>
      </c>
    </row>
    <row r="4" spans="1:27">
      <c r="A4" s="10" t="s">
        <v>43</v>
      </c>
      <c r="B4" s="11">
        <v>500</v>
      </c>
      <c r="C4" s="11">
        <v>800</v>
      </c>
      <c r="D4" s="11">
        <v>1000</v>
      </c>
      <c r="E4" s="11">
        <v>600</v>
      </c>
      <c r="F4" s="11">
        <v>600</v>
      </c>
      <c r="G4" s="11">
        <v>500</v>
      </c>
      <c r="H4" s="34">
        <v>600</v>
      </c>
      <c r="T4" s="32">
        <v>0</v>
      </c>
      <c r="U4" s="11">
        <v>500</v>
      </c>
      <c r="V4" s="33">
        <v>0</v>
      </c>
      <c r="W4" s="34">
        <v>0</v>
      </c>
      <c r="X4" s="35">
        <v>0</v>
      </c>
      <c r="Y4" s="11">
        <v>500</v>
      </c>
      <c r="Z4" s="33">
        <v>0</v>
      </c>
      <c r="AA4" s="34">
        <v>0</v>
      </c>
    </row>
    <row r="5" spans="1:27">
      <c r="A5" s="10" t="s">
        <v>44</v>
      </c>
      <c r="B5" s="11">
        <f>30%*1500</f>
        <v>450</v>
      </c>
      <c r="C5" s="11">
        <f>30%*1500</f>
        <v>450</v>
      </c>
      <c r="D5" s="11"/>
      <c r="E5" s="11"/>
      <c r="F5" s="11"/>
      <c r="G5" s="11"/>
      <c r="H5" s="34">
        <v>450</v>
      </c>
      <c r="T5" s="36">
        <v>450</v>
      </c>
      <c r="U5" s="33">
        <f>T5</f>
        <v>450</v>
      </c>
      <c r="V5" s="33">
        <f>U5</f>
        <v>450</v>
      </c>
      <c r="W5" s="34">
        <f>V5</f>
        <v>450</v>
      </c>
      <c r="X5" s="37">
        <v>450</v>
      </c>
      <c r="Y5" s="33">
        <f>X5</f>
        <v>450</v>
      </c>
      <c r="Z5" s="33">
        <f>Y5</f>
        <v>450</v>
      </c>
      <c r="AA5" s="34">
        <f>Z5</f>
        <v>450</v>
      </c>
    </row>
    <row r="6" spans="1:27">
      <c r="A6" s="10" t="s">
        <v>45</v>
      </c>
      <c r="B6" s="11">
        <v>750</v>
      </c>
      <c r="C6" s="11">
        <f>B6</f>
        <v>750</v>
      </c>
      <c r="D6" s="11">
        <v>750</v>
      </c>
      <c r="E6" s="11">
        <f>C6</f>
        <v>750</v>
      </c>
      <c r="F6" s="11">
        <v>1000</v>
      </c>
      <c r="G6" s="11">
        <f>E6</f>
        <v>750</v>
      </c>
      <c r="H6" s="34"/>
      <c r="T6" s="32">
        <v>0</v>
      </c>
      <c r="U6" s="11">
        <f>B6</f>
        <v>750</v>
      </c>
      <c r="V6" s="33">
        <v>0</v>
      </c>
      <c r="W6" s="34">
        <f>B6</f>
        <v>750</v>
      </c>
      <c r="X6" s="35">
        <v>0</v>
      </c>
      <c r="Y6" s="11">
        <f>B6</f>
        <v>750</v>
      </c>
      <c r="Z6" s="33">
        <v>0</v>
      </c>
      <c r="AA6" s="34">
        <f>B6</f>
        <v>750</v>
      </c>
    </row>
    <row r="7" spans="1:27">
      <c r="A7" s="12" t="s">
        <v>46</v>
      </c>
      <c r="B7" s="13">
        <f>SUM(B4:B6)</f>
        <v>1700</v>
      </c>
      <c r="C7" s="13">
        <f>SUM(C4:C6)</f>
        <v>2000</v>
      </c>
      <c r="D7" s="13">
        <f>SUM(D4:D6)</f>
        <v>1750</v>
      </c>
      <c r="E7" s="13">
        <f>SUM(E4:E6)</f>
        <v>1350</v>
      </c>
      <c r="F7" s="13">
        <f>SUM(F4:F6)</f>
        <v>1600</v>
      </c>
      <c r="G7" s="13">
        <f>SUM(G4:G6)</f>
        <v>1250</v>
      </c>
      <c r="H7" s="31">
        <f>SUM(H4:H6)</f>
        <v>1050</v>
      </c>
      <c r="T7" s="30">
        <f>SUM(T4:T6)</f>
        <v>450</v>
      </c>
      <c r="U7" s="9">
        <f>SUM(U4:U6)</f>
        <v>1700</v>
      </c>
      <c r="V7" s="9">
        <f>SUM(V4:V6)</f>
        <v>450</v>
      </c>
      <c r="W7" s="31">
        <f>SUM(W4:W6)</f>
        <v>1200</v>
      </c>
      <c r="X7" s="38">
        <f>SUM(X4:X6)</f>
        <v>450</v>
      </c>
      <c r="Y7" s="9">
        <f>SUM(Y4:Y6)</f>
        <v>1700</v>
      </c>
      <c r="Z7" s="9">
        <f>SUM(Z4:Z6)</f>
        <v>450</v>
      </c>
      <c r="AA7" s="31">
        <f>SUM(AA4:AA6)</f>
        <v>1200</v>
      </c>
    </row>
    <row r="8" spans="1:27">
      <c r="A8" s="10" t="s">
        <v>47</v>
      </c>
      <c r="B8" s="11">
        <v>1000</v>
      </c>
      <c r="C8" s="11">
        <f>B8</f>
        <v>1000</v>
      </c>
      <c r="D8" s="11">
        <v>1000</v>
      </c>
      <c r="E8" s="11">
        <f>C8</f>
        <v>1000</v>
      </c>
      <c r="F8" s="11">
        <f>D8</f>
        <v>1000</v>
      </c>
      <c r="G8" s="11">
        <v>1000</v>
      </c>
      <c r="H8" s="39">
        <v>1000</v>
      </c>
      <c r="T8" s="32">
        <v>1000</v>
      </c>
      <c r="U8" s="11">
        <f>T8</f>
        <v>1000</v>
      </c>
      <c r="V8" s="11">
        <f>U8</f>
        <v>1000</v>
      </c>
      <c r="W8" s="39">
        <f>V8</f>
        <v>1000</v>
      </c>
      <c r="X8" s="35">
        <f>W8</f>
        <v>1000</v>
      </c>
      <c r="Y8" s="11">
        <f>X8</f>
        <v>1000</v>
      </c>
      <c r="Z8" s="11">
        <f>Y8</f>
        <v>1000</v>
      </c>
      <c r="AA8" s="39">
        <f>Z8</f>
        <v>1000</v>
      </c>
    </row>
    <row r="9" spans="1:27">
      <c r="A9" s="14" t="s">
        <v>48</v>
      </c>
      <c r="B9" s="15">
        <f>B7+B8</f>
        <v>2700</v>
      </c>
      <c r="C9" s="15">
        <f>C7+C8</f>
        <v>3000</v>
      </c>
      <c r="D9" s="15">
        <f t="shared" ref="C9:E9" si="0">D7+D8</f>
        <v>2750</v>
      </c>
      <c r="E9" s="15">
        <f t="shared" si="0"/>
        <v>2350</v>
      </c>
      <c r="F9" s="15">
        <f t="shared" ref="F9" si="1">F7+F8</f>
        <v>2600</v>
      </c>
      <c r="G9" s="15">
        <f>G7+G8</f>
        <v>2250</v>
      </c>
      <c r="H9" s="15">
        <f t="shared" ref="H9" si="2">H7+H8</f>
        <v>2050</v>
      </c>
      <c r="T9" s="15">
        <f>T7+T8</f>
        <v>1450</v>
      </c>
      <c r="U9" s="15">
        <f>U7+U8</f>
        <v>2700</v>
      </c>
      <c r="V9" s="15">
        <f>V7+V8</f>
        <v>1450</v>
      </c>
      <c r="W9" s="15">
        <f>W7+W8</f>
        <v>2200</v>
      </c>
      <c r="X9" s="15">
        <f>X7+X8</f>
        <v>1450</v>
      </c>
      <c r="Y9" s="15">
        <f>Y7+Y8</f>
        <v>2700</v>
      </c>
      <c r="Z9" s="15">
        <f>Z7+Z8</f>
        <v>1450</v>
      </c>
      <c r="AA9" s="15">
        <f>AA7+AA8</f>
        <v>2200</v>
      </c>
    </row>
    <row r="10" spans="1:27">
      <c r="A10" s="10" t="s">
        <v>49</v>
      </c>
      <c r="B10" s="11">
        <v>2500</v>
      </c>
      <c r="C10" s="11">
        <v>500</v>
      </c>
      <c r="D10" s="11">
        <v>1750</v>
      </c>
      <c r="E10" s="11">
        <v>250</v>
      </c>
      <c r="F10" s="11">
        <v>250</v>
      </c>
      <c r="G10" s="11">
        <v>0</v>
      </c>
      <c r="H10" s="39">
        <v>250</v>
      </c>
      <c r="T10" s="32">
        <v>150</v>
      </c>
      <c r="U10" s="11">
        <v>150</v>
      </c>
      <c r="V10" s="11">
        <v>150</v>
      </c>
      <c r="W10" s="39">
        <v>150</v>
      </c>
      <c r="X10" s="35">
        <v>150</v>
      </c>
      <c r="Y10" s="11">
        <v>150</v>
      </c>
      <c r="Z10" s="11">
        <v>150</v>
      </c>
      <c r="AA10" s="39">
        <v>150</v>
      </c>
    </row>
    <row r="11" spans="1:27">
      <c r="A11" s="10" t="s">
        <v>50</v>
      </c>
      <c r="B11" s="11">
        <v>1300</v>
      </c>
      <c r="C11" s="11">
        <f>650-450</f>
        <v>200</v>
      </c>
      <c r="D11" s="11">
        <v>1150</v>
      </c>
      <c r="E11" s="11">
        <v>500</v>
      </c>
      <c r="F11" s="11">
        <v>500</v>
      </c>
      <c r="G11" s="11">
        <v>0</v>
      </c>
      <c r="H11" s="39"/>
      <c r="T11" s="32">
        <f>150+100</f>
        <v>250</v>
      </c>
      <c r="U11" s="11">
        <f>150+100</f>
        <v>250</v>
      </c>
      <c r="V11" s="11">
        <f t="shared" ref="V11:AA11" si="3">150+100</f>
        <v>250</v>
      </c>
      <c r="W11" s="39">
        <f t="shared" si="3"/>
        <v>250</v>
      </c>
      <c r="X11" s="35">
        <f t="shared" si="3"/>
        <v>250</v>
      </c>
      <c r="Y11" s="11">
        <f t="shared" si="3"/>
        <v>250</v>
      </c>
      <c r="Z11" s="11">
        <f t="shared" si="3"/>
        <v>250</v>
      </c>
      <c r="AA11" s="39">
        <f t="shared" si="3"/>
        <v>250</v>
      </c>
    </row>
    <row r="12" spans="1:27">
      <c r="A12" s="12" t="s">
        <v>51</v>
      </c>
      <c r="B12" s="13">
        <f>B9+B10+B11</f>
        <v>6500</v>
      </c>
      <c r="C12" s="13">
        <f>C9+C10+C11</f>
        <v>3700</v>
      </c>
      <c r="D12" s="13">
        <f>D9+D10+D11</f>
        <v>5650</v>
      </c>
      <c r="E12" s="13">
        <f>E9+E10+E11</f>
        <v>3100</v>
      </c>
      <c r="F12" s="13">
        <f>F9+F10+F11</f>
        <v>3350</v>
      </c>
      <c r="G12" s="13">
        <f>G9+G10+G11</f>
        <v>2250</v>
      </c>
      <c r="H12" s="41">
        <f>H9+H10+H11</f>
        <v>2300</v>
      </c>
      <c r="T12" s="40">
        <f>T9+T10+T11</f>
        <v>1850</v>
      </c>
      <c r="U12" s="13">
        <f>U9+U10+U11</f>
        <v>3100</v>
      </c>
      <c r="V12" s="13">
        <f>V9+V10+V11</f>
        <v>1850</v>
      </c>
      <c r="W12" s="41">
        <f>W9+W10+W11</f>
        <v>2600</v>
      </c>
      <c r="X12" s="42">
        <f>X9+X10+X11</f>
        <v>1850</v>
      </c>
      <c r="Y12" s="13">
        <f>Y9+Y10+Y11</f>
        <v>3100</v>
      </c>
      <c r="Z12" s="13">
        <f>Z9+Z10+Z11</f>
        <v>1850</v>
      </c>
      <c r="AA12" s="41">
        <f>AA9+AA10+AA11</f>
        <v>2600</v>
      </c>
    </row>
    <row r="13" spans="1:27">
      <c r="A13" s="43"/>
      <c r="B13" s="44"/>
      <c r="C13" s="44"/>
      <c r="D13" s="44"/>
      <c r="E13" s="44"/>
      <c r="F13" s="44"/>
      <c r="G13" s="45"/>
      <c r="H13" s="47"/>
      <c r="S13" s="43" t="s">
        <v>52</v>
      </c>
      <c r="T13" s="46">
        <v>0.42</v>
      </c>
      <c r="U13" s="45">
        <v>0.26</v>
      </c>
      <c r="V13" s="45">
        <v>0.27</v>
      </c>
      <c r="W13" s="47">
        <v>0.05</v>
      </c>
      <c r="X13" s="45">
        <v>0.32</v>
      </c>
      <c r="Y13" s="45">
        <v>0.28999999999999998</v>
      </c>
      <c r="Z13" s="45">
        <v>0.28000000000000003</v>
      </c>
      <c r="AA13" s="47">
        <v>0.11</v>
      </c>
    </row>
    <row r="14" spans="1:27">
      <c r="A14" s="48"/>
      <c r="B14" s="49"/>
      <c r="C14" s="49"/>
      <c r="D14" s="49"/>
      <c r="E14" s="49"/>
      <c r="F14" s="49"/>
      <c r="G14" s="49"/>
      <c r="H14" s="51"/>
      <c r="S14" s="48" t="s">
        <v>53</v>
      </c>
      <c r="T14" s="50"/>
      <c r="U14" s="49"/>
      <c r="V14" s="49"/>
      <c r="W14" s="51">
        <f>SUMPRODUCT(T9:W9,T13:W13)</f>
        <v>1812.5</v>
      </c>
      <c r="X14" s="52"/>
      <c r="Y14" s="52"/>
      <c r="Z14" s="52"/>
      <c r="AA14" s="51">
        <f>SUMPRODUCT(X9:AA9,X13:AA13)</f>
        <v>1895</v>
      </c>
    </row>
    <row r="17" spans="1:9">
      <c r="C17" t="s">
        <v>18</v>
      </c>
      <c r="D17" t="s">
        <v>54</v>
      </c>
      <c r="E17" t="s">
        <v>15</v>
      </c>
      <c r="F17" t="s">
        <v>55</v>
      </c>
      <c r="H17" t="s">
        <v>15</v>
      </c>
      <c r="I17" s="64" t="s">
        <v>18</v>
      </c>
    </row>
    <row r="18" spans="1:9">
      <c r="A18" s="14" t="s">
        <v>43</v>
      </c>
      <c r="B18" s="59"/>
      <c r="C18" s="54">
        <f>C19+C20</f>
        <v>800</v>
      </c>
      <c r="D18" s="54">
        <f>D19+D20</f>
        <v>1000</v>
      </c>
      <c r="E18" s="54">
        <f>E19+E20</f>
        <v>600</v>
      </c>
      <c r="F18" s="54">
        <f>F19+F20</f>
        <v>600</v>
      </c>
      <c r="H18" s="65" t="s">
        <v>56</v>
      </c>
      <c r="I18" s="66">
        <v>700</v>
      </c>
    </row>
    <row r="19" spans="1:9">
      <c r="A19" s="53" t="s">
        <v>57</v>
      </c>
      <c r="B19" s="60"/>
      <c r="C19">
        <v>400</v>
      </c>
      <c r="D19">
        <v>500</v>
      </c>
      <c r="E19" s="53">
        <v>300</v>
      </c>
      <c r="F19" s="53">
        <v>300</v>
      </c>
      <c r="H19" s="65" t="s">
        <v>58</v>
      </c>
      <c r="I19" s="66">
        <v>250</v>
      </c>
    </row>
    <row r="20" spans="1:9">
      <c r="A20" s="53" t="s">
        <v>59</v>
      </c>
      <c r="B20" s="60"/>
      <c r="C20">
        <v>400</v>
      </c>
      <c r="D20">
        <v>500</v>
      </c>
      <c r="E20" s="53">
        <v>300</v>
      </c>
      <c r="F20" s="53">
        <v>300</v>
      </c>
      <c r="H20" s="65" t="s">
        <v>60</v>
      </c>
      <c r="I20" s="66"/>
    </row>
    <row r="21" spans="1:9">
      <c r="A21" s="54" t="s">
        <v>61</v>
      </c>
      <c r="B21" s="60"/>
      <c r="C21" s="54">
        <f>SUM(C22:C23)</f>
        <v>1000</v>
      </c>
      <c r="D21" s="54">
        <f>SUM(D22:D23)</f>
        <v>1000</v>
      </c>
      <c r="E21" s="54">
        <f>SUM(E22:E23)</f>
        <v>1000</v>
      </c>
      <c r="F21" s="54">
        <f>SUM(F22:F23)</f>
        <v>1000</v>
      </c>
      <c r="H21" s="65" t="s">
        <v>62</v>
      </c>
      <c r="I21" s="66"/>
    </row>
    <row r="22" spans="1:9">
      <c r="A22" s="53" t="s">
        <v>63</v>
      </c>
      <c r="B22" s="60"/>
      <c r="C22">
        <v>500</v>
      </c>
      <c r="D22">
        <v>500</v>
      </c>
      <c r="E22" s="53">
        <v>500</v>
      </c>
      <c r="F22" s="53">
        <v>500</v>
      </c>
      <c r="H22" s="65" t="s">
        <v>64</v>
      </c>
      <c r="I22" s="66">
        <v>500</v>
      </c>
    </row>
    <row r="23" spans="1:9">
      <c r="A23" s="53" t="s">
        <v>61</v>
      </c>
      <c r="B23" s="60"/>
      <c r="C23">
        <v>500</v>
      </c>
      <c r="D23">
        <v>500</v>
      </c>
      <c r="E23" s="53">
        <v>500</v>
      </c>
      <c r="F23" s="53">
        <v>500</v>
      </c>
      <c r="H23" s="65" t="s">
        <v>65</v>
      </c>
      <c r="I23" s="66">
        <v>150</v>
      </c>
    </row>
    <row r="24" spans="1:9">
      <c r="A24" s="55" t="s">
        <v>66</v>
      </c>
      <c r="B24" s="60"/>
      <c r="C24" s="55">
        <v>750</v>
      </c>
      <c r="D24" s="55">
        <v>750</v>
      </c>
      <c r="E24" s="55">
        <v>750</v>
      </c>
      <c r="F24" s="55">
        <v>1000</v>
      </c>
      <c r="H24" s="65" t="s">
        <v>67</v>
      </c>
      <c r="I24" s="66">
        <v>400</v>
      </c>
    </row>
    <row r="25" spans="1:9">
      <c r="B25" s="60"/>
      <c r="H25" s="65" t="s">
        <v>43</v>
      </c>
      <c r="I25" s="66">
        <v>800</v>
      </c>
    </row>
    <row r="26" spans="1:9">
      <c r="A26" s="55" t="s">
        <v>68</v>
      </c>
      <c r="B26" s="60"/>
      <c r="C26" s="54">
        <v>500</v>
      </c>
      <c r="D26" s="54">
        <v>1750</v>
      </c>
      <c r="E26" s="54">
        <v>250</v>
      </c>
      <c r="F26" s="54">
        <v>250</v>
      </c>
      <c r="H26" s="65" t="s">
        <v>44</v>
      </c>
      <c r="I26" s="66">
        <v>375</v>
      </c>
    </row>
    <row r="27" spans="1:9">
      <c r="B27" s="60"/>
      <c r="H27" s="65" t="s">
        <v>69</v>
      </c>
      <c r="I27" s="66">
        <v>200</v>
      </c>
    </row>
    <row r="28" spans="1:9">
      <c r="B28" s="60"/>
      <c r="H28" s="65" t="s">
        <v>70</v>
      </c>
      <c r="I28" s="66"/>
    </row>
    <row r="29" spans="1:9">
      <c r="A29" s="54" t="s">
        <v>71</v>
      </c>
      <c r="B29" s="60"/>
      <c r="C29" s="54">
        <f>SUM(C30:C38)</f>
        <v>650</v>
      </c>
      <c r="D29" s="54">
        <f>SUM(D30:D38)</f>
        <v>1150</v>
      </c>
      <c r="E29" s="54">
        <f>SUM(E30:E38)</f>
        <v>1000</v>
      </c>
      <c r="F29" s="54">
        <f>SUM(F30:F38)</f>
        <v>1000</v>
      </c>
      <c r="H29" s="65" t="s">
        <v>72</v>
      </c>
      <c r="I29" s="66"/>
    </row>
    <row r="30" spans="1:9">
      <c r="A30" s="53" t="s">
        <v>73</v>
      </c>
      <c r="B30" s="60"/>
      <c r="E30" s="53">
        <v>50</v>
      </c>
      <c r="F30" s="53">
        <v>50</v>
      </c>
      <c r="H30" s="65" t="s">
        <v>45</v>
      </c>
      <c r="I30" s="66">
        <v>750</v>
      </c>
    </row>
    <row r="31" spans="1:9">
      <c r="A31" s="53" t="s">
        <v>74</v>
      </c>
      <c r="B31" s="60"/>
      <c r="E31" s="53">
        <v>200</v>
      </c>
      <c r="F31" s="53">
        <v>200</v>
      </c>
      <c r="H31" s="67" t="s">
        <v>75</v>
      </c>
      <c r="I31" s="67">
        <f>ROUND(SUM(I18:I30)-I22,-2)</f>
        <v>3600</v>
      </c>
    </row>
    <row r="32" spans="1:9">
      <c r="A32" t="s">
        <v>76</v>
      </c>
      <c r="D32">
        <v>150</v>
      </c>
    </row>
    <row r="33" spans="1:6">
      <c r="A33" t="s">
        <v>77</v>
      </c>
      <c r="B33" s="61"/>
      <c r="C33">
        <v>200</v>
      </c>
      <c r="D33">
        <v>800</v>
      </c>
    </row>
    <row r="34" spans="1:6">
      <c r="A34" s="53" t="s">
        <v>78</v>
      </c>
      <c r="E34" s="53">
        <v>100</v>
      </c>
      <c r="F34" s="53">
        <v>100</v>
      </c>
    </row>
    <row r="35" spans="1:6">
      <c r="A35" s="53" t="s">
        <v>79</v>
      </c>
      <c r="D35">
        <v>100</v>
      </c>
      <c r="E35" s="53">
        <v>150</v>
      </c>
      <c r="F35" s="53">
        <v>150</v>
      </c>
    </row>
    <row r="36" spans="1:6">
      <c r="A36" t="s">
        <v>70</v>
      </c>
      <c r="D36">
        <v>100</v>
      </c>
    </row>
    <row r="37" spans="1:6">
      <c r="A37" t="s">
        <v>44</v>
      </c>
      <c r="C37">
        <v>450</v>
      </c>
    </row>
    <row r="38" spans="1:6">
      <c r="A38" t="s">
        <v>80</v>
      </c>
      <c r="E38">
        <v>500</v>
      </c>
      <c r="F38">
        <v>500</v>
      </c>
    </row>
    <row r="39" spans="1:6">
      <c r="A39" s="54" t="s">
        <v>81</v>
      </c>
      <c r="C39" s="54">
        <f>C18+C21+C24+C26+C29</f>
        <v>3700</v>
      </c>
      <c r="D39" s="54">
        <f>D18+D21+D24+D26+D29</f>
        <v>5650</v>
      </c>
      <c r="E39" s="54">
        <f>E18+E21+E24+E26+E29</f>
        <v>3600</v>
      </c>
      <c r="F39" s="54">
        <f>F18+F21+F24+F26+F29</f>
        <v>3850</v>
      </c>
    </row>
    <row r="41" spans="1:6">
      <c r="A41" s="56" t="s">
        <v>82</v>
      </c>
      <c r="E41" s="56">
        <f>E42+E43+E44</f>
        <v>830</v>
      </c>
      <c r="F41" s="56">
        <f>F42+F43+F44</f>
        <v>830</v>
      </c>
    </row>
    <row r="42" spans="1:6">
      <c r="A42" s="53" t="s">
        <v>83</v>
      </c>
      <c r="E42" s="53">
        <v>50</v>
      </c>
      <c r="F42" s="53">
        <v>50</v>
      </c>
    </row>
    <row r="43" spans="1:6">
      <c r="A43" t="s">
        <v>84</v>
      </c>
      <c r="E43">
        <v>320</v>
      </c>
      <c r="F43">
        <v>320</v>
      </c>
    </row>
    <row r="44" spans="1:6">
      <c r="A44" t="s">
        <v>85</v>
      </c>
      <c r="E44">
        <v>460</v>
      </c>
      <c r="F44">
        <v>460</v>
      </c>
    </row>
  </sheetData>
  <mergeCells count="2">
    <mergeCell ref="T1:W1"/>
    <mergeCell ref="X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2C07-1589-403C-A7FE-85C5AF2BE8E5}">
  <dimension ref="A1:BA34"/>
  <sheetViews>
    <sheetView workbookViewId="0">
      <pane xSplit="1" ySplit="2" topLeftCell="J3" activePane="bottomRight" state="frozen"/>
      <selection pane="bottomRight" activeCell="L4" sqref="L4"/>
      <selection pane="bottomLeft"/>
      <selection pane="topRight"/>
    </sheetView>
  </sheetViews>
  <sheetFormatPr defaultRowHeight="15"/>
  <cols>
    <col min="1" max="1" width="35.7109375" bestFit="1" customWidth="1"/>
    <col min="2" max="37" width="12.140625" customWidth="1"/>
    <col min="38" max="38" width="10" customWidth="1"/>
  </cols>
  <sheetData>
    <row r="1" spans="1:53"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3" t="s">
        <v>0</v>
      </c>
      <c r="B2" s="85" t="s">
        <v>1</v>
      </c>
      <c r="C2" s="86"/>
      <c r="D2" s="86"/>
      <c r="E2" s="87"/>
      <c r="F2" s="57"/>
      <c r="G2" s="57" t="s">
        <v>86</v>
      </c>
      <c r="H2" s="57"/>
      <c r="I2" s="57"/>
      <c r="J2" s="85" t="s">
        <v>87</v>
      </c>
      <c r="K2" s="86"/>
      <c r="L2" s="86"/>
      <c r="M2" s="87"/>
      <c r="N2" s="90" t="s">
        <v>88</v>
      </c>
      <c r="O2" s="91"/>
      <c r="P2" s="91"/>
      <c r="Q2" s="92"/>
      <c r="R2" s="85" t="s">
        <v>89</v>
      </c>
      <c r="S2" s="86"/>
      <c r="T2" s="86"/>
      <c r="U2" s="87"/>
      <c r="V2" s="90" t="s">
        <v>90</v>
      </c>
      <c r="W2" s="91"/>
      <c r="X2" s="91"/>
      <c r="Y2" s="92"/>
      <c r="Z2" s="85" t="s">
        <v>91</v>
      </c>
      <c r="AA2" s="86"/>
      <c r="AB2" s="86"/>
      <c r="AC2" s="87"/>
      <c r="AD2" s="90" t="s">
        <v>92</v>
      </c>
      <c r="AE2" s="91"/>
      <c r="AF2" s="91"/>
      <c r="AG2" s="92"/>
      <c r="AH2" s="85" t="s">
        <v>93</v>
      </c>
      <c r="AI2" s="86"/>
      <c r="AJ2" s="86"/>
      <c r="AK2" s="87"/>
      <c r="AL2" s="88" t="s">
        <v>10</v>
      </c>
      <c r="AM2" s="89"/>
    </row>
    <row r="3" spans="1:53">
      <c r="A3" s="3" t="s">
        <v>11</v>
      </c>
      <c r="B3" s="4" t="s">
        <v>12</v>
      </c>
      <c r="C3" s="4" t="s">
        <v>14</v>
      </c>
      <c r="D3" s="4" t="s">
        <v>13</v>
      </c>
      <c r="E3" s="4" t="s">
        <v>14</v>
      </c>
      <c r="F3" s="58" t="s">
        <v>12</v>
      </c>
      <c r="G3" s="58" t="s">
        <v>14</v>
      </c>
      <c r="H3" s="58" t="s">
        <v>13</v>
      </c>
      <c r="I3" s="58" t="s">
        <v>14</v>
      </c>
      <c r="J3" s="4" t="s">
        <v>12</v>
      </c>
      <c r="K3" s="4" t="s">
        <v>14</v>
      </c>
      <c r="L3" s="4" t="s">
        <v>13</v>
      </c>
      <c r="M3" s="4" t="s">
        <v>14</v>
      </c>
      <c r="N3" s="58" t="s">
        <v>12</v>
      </c>
      <c r="O3" s="58" t="s">
        <v>14</v>
      </c>
      <c r="P3" s="58" t="s">
        <v>13</v>
      </c>
      <c r="Q3" s="58" t="s">
        <v>14</v>
      </c>
      <c r="R3" s="4" t="s">
        <v>12</v>
      </c>
      <c r="S3" s="4" t="s">
        <v>14</v>
      </c>
      <c r="T3" s="4" t="s">
        <v>13</v>
      </c>
      <c r="U3" s="4" t="s">
        <v>14</v>
      </c>
      <c r="V3" s="58" t="s">
        <v>12</v>
      </c>
      <c r="W3" s="58" t="s">
        <v>14</v>
      </c>
      <c r="X3" s="58" t="s">
        <v>13</v>
      </c>
      <c r="Y3" s="58" t="s">
        <v>14</v>
      </c>
      <c r="Z3" s="4" t="s">
        <v>12</v>
      </c>
      <c r="AA3" s="4" t="s">
        <v>14</v>
      </c>
      <c r="AB3" s="4" t="s">
        <v>13</v>
      </c>
      <c r="AC3" s="4" t="s">
        <v>14</v>
      </c>
      <c r="AD3" s="58" t="s">
        <v>12</v>
      </c>
      <c r="AE3" s="58" t="s">
        <v>14</v>
      </c>
      <c r="AF3" s="58" t="s">
        <v>13</v>
      </c>
      <c r="AG3" s="58" t="s">
        <v>14</v>
      </c>
      <c r="AH3" s="4" t="s">
        <v>12</v>
      </c>
      <c r="AI3" s="4" t="s">
        <v>14</v>
      </c>
      <c r="AJ3" s="4" t="s">
        <v>13</v>
      </c>
      <c r="AK3" s="4" t="s">
        <v>14</v>
      </c>
      <c r="AL3" s="69" t="s">
        <v>15</v>
      </c>
      <c r="AM3" s="69" t="s">
        <v>16</v>
      </c>
    </row>
    <row r="4" spans="1:53">
      <c r="A4" s="5" t="s">
        <v>17</v>
      </c>
      <c r="B4" s="62">
        <v>60000</v>
      </c>
      <c r="C4" s="62">
        <f>B4-B$4</f>
        <v>0</v>
      </c>
      <c r="D4" s="62">
        <f>B4+AL4</f>
        <v>63900</v>
      </c>
      <c r="E4" s="62">
        <f>D4-D$4</f>
        <v>0</v>
      </c>
      <c r="F4" s="63">
        <f>B4</f>
        <v>60000</v>
      </c>
      <c r="G4" s="63">
        <f>F4-F$4</f>
        <v>0</v>
      </c>
      <c r="H4" s="63">
        <f>F4+$AM4</f>
        <v>63900</v>
      </c>
      <c r="I4" s="63">
        <f>H4-H$4</f>
        <v>0</v>
      </c>
      <c r="J4" s="62">
        <f>B4+500</f>
        <v>60500</v>
      </c>
      <c r="K4" s="62">
        <f>J4-J$4</f>
        <v>0</v>
      </c>
      <c r="L4" s="62">
        <f>J4+$AM4</f>
        <v>64400</v>
      </c>
      <c r="M4" s="62">
        <f>L4-L$4</f>
        <v>0</v>
      </c>
      <c r="N4" s="63">
        <f>B4-500</f>
        <v>59500</v>
      </c>
      <c r="O4" s="63">
        <f>N4-N$4</f>
        <v>0</v>
      </c>
      <c r="P4" s="63">
        <f>N4+$AM4</f>
        <v>63400</v>
      </c>
      <c r="Q4" s="63">
        <f>P4-P$4</f>
        <v>0</v>
      </c>
      <c r="R4" s="62">
        <f>B4+1000</f>
        <v>61000</v>
      </c>
      <c r="S4" s="62">
        <f>R4-R$4</f>
        <v>0</v>
      </c>
      <c r="T4" s="62">
        <f>R4+$AM4</f>
        <v>64900</v>
      </c>
      <c r="U4" s="62">
        <f>T4-T$4</f>
        <v>0</v>
      </c>
      <c r="V4" s="63">
        <f>B4+500</f>
        <v>60500</v>
      </c>
      <c r="W4" s="63">
        <f>V4-V$4</f>
        <v>0</v>
      </c>
      <c r="X4" s="63">
        <f>V4+AM4-500</f>
        <v>63900</v>
      </c>
      <c r="Y4" s="63">
        <f>X4-X$4</f>
        <v>0</v>
      </c>
      <c r="Z4" s="62">
        <f>B4+500</f>
        <v>60500</v>
      </c>
      <c r="AA4" s="62">
        <f>Z4-Z$4</f>
        <v>0</v>
      </c>
      <c r="AB4" s="62">
        <f>Z4+AM4</f>
        <v>64400</v>
      </c>
      <c r="AC4" s="62">
        <f>AB4-AB$4</f>
        <v>0</v>
      </c>
      <c r="AD4" s="63">
        <f>B4</f>
        <v>60000</v>
      </c>
      <c r="AE4" s="63">
        <f>AD4-AD$4</f>
        <v>0</v>
      </c>
      <c r="AF4" s="63">
        <f>AD4+AM4</f>
        <v>63900</v>
      </c>
      <c r="AG4" s="63">
        <f>AF4-AF$4</f>
        <v>0</v>
      </c>
      <c r="AH4" s="62">
        <f>B4+500</f>
        <v>60500</v>
      </c>
      <c r="AI4" s="62">
        <f>AH4-AH$4</f>
        <v>0</v>
      </c>
      <c r="AJ4" s="62">
        <f>AH4+AM4</f>
        <v>64400</v>
      </c>
      <c r="AK4" s="62">
        <f>AJ4-AJ$4</f>
        <v>0</v>
      </c>
      <c r="AL4">
        <f>5650-1750</f>
        <v>3900</v>
      </c>
      <c r="AM4">
        <f>AL4</f>
        <v>3900</v>
      </c>
    </row>
    <row r="5" spans="1:53">
      <c r="A5" s="5" t="s">
        <v>18</v>
      </c>
      <c r="B5" s="62">
        <v>59150</v>
      </c>
      <c r="C5" s="62">
        <f>B5-B$4</f>
        <v>-850</v>
      </c>
      <c r="D5" s="62">
        <f>B5+AL5</f>
        <v>62350</v>
      </c>
      <c r="E5" s="62">
        <f>D5-D$4</f>
        <v>-1550</v>
      </c>
      <c r="F5" s="63">
        <f>B5</f>
        <v>59150</v>
      </c>
      <c r="G5" s="63">
        <f>F5-F$4</f>
        <v>-850</v>
      </c>
      <c r="H5" s="63">
        <f>F5+$AM5</f>
        <v>62350</v>
      </c>
      <c r="I5" s="63">
        <f>H5-H$4</f>
        <v>-1550</v>
      </c>
      <c r="J5" s="62">
        <f>B5</f>
        <v>59150</v>
      </c>
      <c r="K5" s="62">
        <f>J5-J$4</f>
        <v>-1350</v>
      </c>
      <c r="L5" s="62">
        <f>J5+$AM5</f>
        <v>62350</v>
      </c>
      <c r="M5" s="62">
        <f>L5-L$4</f>
        <v>-2050</v>
      </c>
      <c r="N5" s="63">
        <f>B5</f>
        <v>59150</v>
      </c>
      <c r="O5" s="63">
        <f>N5-N$4</f>
        <v>-350</v>
      </c>
      <c r="P5" s="63">
        <f>N5+$AM5</f>
        <v>62350</v>
      </c>
      <c r="Q5" s="63">
        <f>P5-P$4</f>
        <v>-1050</v>
      </c>
      <c r="R5" s="62">
        <f>B5</f>
        <v>59150</v>
      </c>
      <c r="S5" s="62">
        <f>R5-R$4</f>
        <v>-1850</v>
      </c>
      <c r="T5" s="62">
        <f>R5+$AM5</f>
        <v>62350</v>
      </c>
      <c r="U5" s="62">
        <f>T5-T$4</f>
        <v>-2550</v>
      </c>
      <c r="V5" s="63">
        <f>B5+500</f>
        <v>59650</v>
      </c>
      <c r="W5" s="63">
        <f>V5-V$4</f>
        <v>-850</v>
      </c>
      <c r="X5" s="63">
        <f>V5+AM5-500</f>
        <v>62350</v>
      </c>
      <c r="Y5" s="63">
        <f>X5-X$4</f>
        <v>-1550</v>
      </c>
      <c r="Z5" s="62">
        <f>B5</f>
        <v>59150</v>
      </c>
      <c r="AA5" s="62">
        <f>Z5-Z$4</f>
        <v>-1350</v>
      </c>
      <c r="AB5" s="62">
        <f>Z5+AM5</f>
        <v>62350</v>
      </c>
      <c r="AC5" s="62">
        <f>AB5-AB$4</f>
        <v>-2050</v>
      </c>
      <c r="AD5" s="63">
        <f>B5+500</f>
        <v>59650</v>
      </c>
      <c r="AE5" s="63">
        <f>AD5-AD$4</f>
        <v>-350</v>
      </c>
      <c r="AF5" s="63">
        <f>AD5+AM5</f>
        <v>62850</v>
      </c>
      <c r="AG5" s="63">
        <f>AF5-AF$4</f>
        <v>-1050</v>
      </c>
      <c r="AH5" s="62">
        <f>B5+1500</f>
        <v>60650</v>
      </c>
      <c r="AI5" s="62">
        <f>AH5-AH$4</f>
        <v>150</v>
      </c>
      <c r="AJ5" s="62">
        <f>AH5+AM5</f>
        <v>63850</v>
      </c>
      <c r="AK5" s="62">
        <f>AJ5-AJ$4</f>
        <v>-550</v>
      </c>
      <c r="AL5">
        <f>3700-500</f>
        <v>3200</v>
      </c>
      <c r="AM5">
        <f>AL5</f>
        <v>3200</v>
      </c>
    </row>
    <row r="6" spans="1:53">
      <c r="A6" s="5" t="s">
        <v>19</v>
      </c>
      <c r="B6" s="62">
        <v>58500</v>
      </c>
      <c r="C6" s="62">
        <f>B6-B$4</f>
        <v>-1500</v>
      </c>
      <c r="D6" s="62">
        <f>B6+AL6</f>
        <v>61350</v>
      </c>
      <c r="E6" s="62">
        <f>D6-D$4</f>
        <v>-2550</v>
      </c>
      <c r="F6" s="63" t="s">
        <v>20</v>
      </c>
      <c r="G6" s="63" t="s">
        <v>20</v>
      </c>
      <c r="H6" s="63">
        <v>58650</v>
      </c>
      <c r="I6" s="63">
        <f>H6-H$4</f>
        <v>-5250</v>
      </c>
      <c r="J6" s="62">
        <f>B6+250</f>
        <v>58750</v>
      </c>
      <c r="K6" s="62">
        <f>J6-J$4</f>
        <v>-1750</v>
      </c>
      <c r="L6" s="62">
        <f>J6+$AM6</f>
        <v>61600</v>
      </c>
      <c r="M6" s="62">
        <f>L6-L$4</f>
        <v>-2800</v>
      </c>
      <c r="N6" s="63">
        <f>B6-500</f>
        <v>58000</v>
      </c>
      <c r="O6" s="63">
        <f>N6-N$4</f>
        <v>-1500</v>
      </c>
      <c r="P6" s="63">
        <f>N6+$AM6</f>
        <v>60850</v>
      </c>
      <c r="Q6" s="63">
        <f>P6-P$4</f>
        <v>-2550</v>
      </c>
      <c r="R6" s="62">
        <f>B6+500</f>
        <v>59000</v>
      </c>
      <c r="S6" s="62">
        <f>R6-R$4</f>
        <v>-2000</v>
      </c>
      <c r="T6" s="62">
        <f>R6+$AM6</f>
        <v>61850</v>
      </c>
      <c r="U6" s="62">
        <f>T6-T$4</f>
        <v>-3050</v>
      </c>
      <c r="V6" s="63">
        <f>B6+250</f>
        <v>58750</v>
      </c>
      <c r="W6" s="63">
        <f>V6-V$4</f>
        <v>-1750</v>
      </c>
      <c r="X6" s="63">
        <f>V6+AM6-500</f>
        <v>61100</v>
      </c>
      <c r="Y6" s="63">
        <f>X6-X$4</f>
        <v>-2800</v>
      </c>
      <c r="Z6" s="62">
        <f>B6+500</f>
        <v>59000</v>
      </c>
      <c r="AA6" s="62">
        <f>Z6-Z$4</f>
        <v>-1500</v>
      </c>
      <c r="AB6" s="62">
        <f>Z6+AM6</f>
        <v>61850</v>
      </c>
      <c r="AC6" s="62">
        <f>AB6-AB$4</f>
        <v>-2550</v>
      </c>
      <c r="AD6" s="63">
        <f>B6+500</f>
        <v>59000</v>
      </c>
      <c r="AE6" s="63">
        <f>AD6-AD$4</f>
        <v>-1000</v>
      </c>
      <c r="AF6" s="63">
        <f>AD6+AM6</f>
        <v>61850</v>
      </c>
      <c r="AG6" s="63">
        <f>AF6-AF$4</f>
        <v>-2050</v>
      </c>
      <c r="AH6" s="62">
        <f>B6+500</f>
        <v>59000</v>
      </c>
      <c r="AI6" s="62">
        <f>AH6-AH$4</f>
        <v>-1500</v>
      </c>
      <c r="AJ6" s="62">
        <f>AH6+AM6</f>
        <v>61850</v>
      </c>
      <c r="AK6" s="62">
        <f>AJ6-AJ$4</f>
        <v>-2550</v>
      </c>
      <c r="AL6">
        <f>3600-750</f>
        <v>2850</v>
      </c>
      <c r="AM6">
        <f>AL6</f>
        <v>2850</v>
      </c>
    </row>
    <row r="7" spans="1:53">
      <c r="A7" s="5" t="s">
        <v>21</v>
      </c>
      <c r="B7" s="62">
        <v>59500</v>
      </c>
      <c r="C7" s="62">
        <f>B7-B$4</f>
        <v>-500</v>
      </c>
      <c r="D7" s="62">
        <f>B7+AL7</f>
        <v>61750</v>
      </c>
      <c r="E7" s="62">
        <f>D7-D$4</f>
        <v>-2150</v>
      </c>
      <c r="F7" s="63">
        <f>B7</f>
        <v>59500</v>
      </c>
      <c r="G7" s="63">
        <f>F7-F$4</f>
        <v>-500</v>
      </c>
      <c r="H7" s="63">
        <f>F7+$AM7</f>
        <v>61750</v>
      </c>
      <c r="I7" s="63">
        <f>H7-H$4</f>
        <v>-2150</v>
      </c>
      <c r="J7" s="62">
        <f>B7-250</f>
        <v>59250</v>
      </c>
      <c r="K7" s="62">
        <f>J7-J$4</f>
        <v>-1250</v>
      </c>
      <c r="L7" s="62">
        <f>J7+$AM7</f>
        <v>61500</v>
      </c>
      <c r="M7" s="62">
        <f>L7-L$4</f>
        <v>-2900</v>
      </c>
      <c r="N7" s="63">
        <f>B7-500</f>
        <v>59000</v>
      </c>
      <c r="O7" s="63">
        <f>N7-N$4</f>
        <v>-500</v>
      </c>
      <c r="P7" s="63">
        <f>N7+$AM7</f>
        <v>61250</v>
      </c>
      <c r="Q7" s="63">
        <f>P7-P$4</f>
        <v>-2150</v>
      </c>
      <c r="R7" s="62">
        <f>B7+500</f>
        <v>60000</v>
      </c>
      <c r="S7" s="62">
        <f>R7-R$4</f>
        <v>-1000</v>
      </c>
      <c r="T7" s="62">
        <f>R7+$AM7</f>
        <v>62250</v>
      </c>
      <c r="U7" s="62">
        <f>T7-T$4</f>
        <v>-2650</v>
      </c>
      <c r="V7" s="63">
        <f>B7+500</f>
        <v>60000</v>
      </c>
      <c r="W7" s="63">
        <f>V7-V$4</f>
        <v>-500</v>
      </c>
      <c r="X7" s="63">
        <f>V7+AM7-500</f>
        <v>61750</v>
      </c>
      <c r="Y7" s="63">
        <f>X7-X$4</f>
        <v>-2150</v>
      </c>
      <c r="Z7" s="62">
        <f>B7+500</f>
        <v>60000</v>
      </c>
      <c r="AA7" s="62">
        <f>Z7-Z$4</f>
        <v>-500</v>
      </c>
      <c r="AB7" s="62">
        <f>Z7+AM7</f>
        <v>62250</v>
      </c>
      <c r="AC7" s="62">
        <f>AB7-AB$4</f>
        <v>-2150</v>
      </c>
      <c r="AD7" s="63">
        <f>B7+1000</f>
        <v>60500</v>
      </c>
      <c r="AE7" s="63">
        <f>AD7-AD$4</f>
        <v>500</v>
      </c>
      <c r="AF7" s="63">
        <f>AD7+AM7</f>
        <v>62750</v>
      </c>
      <c r="AG7" s="63">
        <f>AF7-AF$4</f>
        <v>-1150</v>
      </c>
      <c r="AH7" s="62">
        <f>B7+2000</f>
        <v>61500</v>
      </c>
      <c r="AI7" s="62">
        <f>AH7-AH$4</f>
        <v>1000</v>
      </c>
      <c r="AJ7" s="62">
        <f>AH7+AM7</f>
        <v>63750</v>
      </c>
      <c r="AK7" s="62">
        <f>AJ7-AJ$4</f>
        <v>-650</v>
      </c>
      <c r="AL7">
        <v>2250</v>
      </c>
      <c r="AM7">
        <f>AL7</f>
        <v>2250</v>
      </c>
    </row>
    <row r="8" spans="1:53" s="6" customFormat="1">
      <c r="A8" s="70" t="s">
        <v>22</v>
      </c>
      <c r="B8" s="71">
        <v>58400</v>
      </c>
      <c r="C8" s="71">
        <f t="shared" ref="C8:E10" si="0">B8-B$4</f>
        <v>-1600</v>
      </c>
      <c r="D8" s="71">
        <f>B8+AL8</f>
        <v>60700</v>
      </c>
      <c r="E8" s="71">
        <f t="shared" si="0"/>
        <v>-3200</v>
      </c>
      <c r="F8" s="71">
        <f>B8</f>
        <v>58400</v>
      </c>
      <c r="G8" s="71">
        <f>F8-F$4</f>
        <v>-1600</v>
      </c>
      <c r="H8" s="71">
        <f>F8+$AM8</f>
        <v>60700</v>
      </c>
      <c r="I8" s="71">
        <f>H8-H$4</f>
        <v>-3200</v>
      </c>
      <c r="J8" s="71">
        <f>B8</f>
        <v>58400</v>
      </c>
      <c r="K8" s="71">
        <f t="shared" ref="K8" si="1">J8-J$4</f>
        <v>-2100</v>
      </c>
      <c r="L8" s="71">
        <f>J8+$AM8</f>
        <v>60700</v>
      </c>
      <c r="M8" s="71">
        <f t="shared" ref="M8" si="2">L8-L$4</f>
        <v>-3700</v>
      </c>
      <c r="N8" s="71">
        <f>B8</f>
        <v>58400</v>
      </c>
      <c r="O8" s="71">
        <f t="shared" ref="O8" si="3">N8-N$4</f>
        <v>-1100</v>
      </c>
      <c r="P8" s="71">
        <f>N8+$AM8</f>
        <v>60700</v>
      </c>
      <c r="Q8" s="71">
        <f t="shared" ref="Q8" si="4">P8-P$4</f>
        <v>-2700</v>
      </c>
      <c r="R8" s="71">
        <f>B8+250</f>
        <v>58650</v>
      </c>
      <c r="S8" s="71">
        <f t="shared" ref="S8" si="5">R8-R$4</f>
        <v>-2350</v>
      </c>
      <c r="T8" s="71">
        <f>R8+$AM8</f>
        <v>60950</v>
      </c>
      <c r="U8" s="71">
        <f t="shared" ref="U8" si="6">T8-T$4</f>
        <v>-3950</v>
      </c>
      <c r="V8" s="71">
        <f>B8+500</f>
        <v>58900</v>
      </c>
      <c r="W8" s="71">
        <f t="shared" ref="W8" si="7">V8-V$4</f>
        <v>-1600</v>
      </c>
      <c r="X8" s="71">
        <f>V8+AM8-500</f>
        <v>60700</v>
      </c>
      <c r="Y8" s="71">
        <f t="shared" ref="Y8" si="8">X8-X$4</f>
        <v>-3200</v>
      </c>
      <c r="Z8" s="71">
        <f>B8+500</f>
        <v>58900</v>
      </c>
      <c r="AA8" s="71">
        <f t="shared" ref="AA8" si="9">Z8-Z$4</f>
        <v>-1600</v>
      </c>
      <c r="AB8" s="71">
        <f>Z8+AM8</f>
        <v>61200</v>
      </c>
      <c r="AC8" s="71">
        <f t="shared" ref="AC8" si="10">AB8-AB$4</f>
        <v>-3200</v>
      </c>
      <c r="AD8" s="71">
        <f>B8+1000</f>
        <v>59400</v>
      </c>
      <c r="AE8" s="71">
        <f t="shared" ref="AE8" si="11">AD8-AD$4</f>
        <v>-600</v>
      </c>
      <c r="AF8" s="71">
        <f>AD8+AM8</f>
        <v>61700</v>
      </c>
      <c r="AG8" s="71">
        <f t="shared" ref="AG8" si="12">AF8-AF$4</f>
        <v>-2200</v>
      </c>
      <c r="AH8" s="71">
        <f>B8+2000</f>
        <v>60400</v>
      </c>
      <c r="AI8" s="71">
        <f t="shared" ref="AI8" si="13">AH8-AH$4</f>
        <v>-100</v>
      </c>
      <c r="AJ8" s="71">
        <f>AH8+AM8</f>
        <v>62700</v>
      </c>
      <c r="AK8" s="71">
        <f t="shared" ref="AK8" si="14">AJ8-AJ$4</f>
        <v>-1700</v>
      </c>
      <c r="AL8">
        <v>2300</v>
      </c>
      <c r="AM8">
        <v>2300</v>
      </c>
    </row>
    <row r="9" spans="1:53">
      <c r="A9" s="5" t="s">
        <v>23</v>
      </c>
      <c r="B9" s="62"/>
      <c r="C9" s="62"/>
      <c r="D9" s="62"/>
      <c r="E9" s="62"/>
      <c r="F9" s="63"/>
      <c r="G9" s="63"/>
      <c r="H9" s="63">
        <f>F9+$AM9</f>
        <v>0</v>
      </c>
      <c r="I9" s="63"/>
      <c r="J9" s="62"/>
      <c r="K9" s="62"/>
      <c r="L9" s="62">
        <f>J9+$AM9</f>
        <v>0</v>
      </c>
      <c r="M9" s="62"/>
      <c r="N9" s="63"/>
      <c r="O9" s="63"/>
      <c r="P9" s="63">
        <f>N9+$AM9</f>
        <v>0</v>
      </c>
      <c r="Q9" s="63"/>
      <c r="R9" s="62"/>
      <c r="S9" s="62"/>
      <c r="T9" s="62">
        <f>R9+$AM9</f>
        <v>0</v>
      </c>
      <c r="U9" s="62"/>
      <c r="V9" s="63"/>
      <c r="W9" s="63"/>
      <c r="X9" s="63"/>
      <c r="Y9" s="63"/>
      <c r="Z9" s="62"/>
      <c r="AA9" s="62"/>
      <c r="AB9" s="62"/>
      <c r="AC9" s="62"/>
      <c r="AD9" s="63"/>
      <c r="AE9" s="63"/>
      <c r="AF9" s="63">
        <f>AD9+AM9</f>
        <v>0</v>
      </c>
      <c r="AG9" s="63"/>
      <c r="AH9" s="62"/>
      <c r="AI9" s="62"/>
      <c r="AJ9" s="62">
        <f>AH9+AM9</f>
        <v>0</v>
      </c>
      <c r="AK9" s="62"/>
    </row>
    <row r="10" spans="1:53" s="6" customFormat="1">
      <c r="A10" s="70" t="s">
        <v>24</v>
      </c>
      <c r="B10" s="71">
        <v>57400</v>
      </c>
      <c r="C10" s="71">
        <f t="shared" si="0"/>
        <v>-2600</v>
      </c>
      <c r="D10" s="71">
        <f>B10+AL10</f>
        <v>59700</v>
      </c>
      <c r="E10" s="71">
        <f t="shared" si="0"/>
        <v>-4200</v>
      </c>
      <c r="F10" s="71">
        <f>B10</f>
        <v>57400</v>
      </c>
      <c r="G10" s="71">
        <f>F10-F$4</f>
        <v>-2600</v>
      </c>
      <c r="H10" s="71">
        <f>F10+$AM10</f>
        <v>59700</v>
      </c>
      <c r="I10" s="71">
        <f>H10-H$4</f>
        <v>-4200</v>
      </c>
      <c r="J10" s="71">
        <f>B10</f>
        <v>57400</v>
      </c>
      <c r="K10" s="71">
        <f t="shared" ref="K10:K12" si="15">J10-J$4</f>
        <v>-3100</v>
      </c>
      <c r="L10" s="71">
        <f>J10+$AM10</f>
        <v>59700</v>
      </c>
      <c r="M10" s="71">
        <f t="shared" ref="M10:M12" si="16">L10-L$4</f>
        <v>-4700</v>
      </c>
      <c r="N10" s="71">
        <f>B10</f>
        <v>57400</v>
      </c>
      <c r="O10" s="71">
        <f t="shared" ref="O10:O12" si="17">N10-N$4</f>
        <v>-2100</v>
      </c>
      <c r="P10" s="71">
        <f>N10+$AM10</f>
        <v>59700</v>
      </c>
      <c r="Q10" s="71">
        <f t="shared" ref="Q10:Q12" si="18">P10-P$4</f>
        <v>-3700</v>
      </c>
      <c r="R10" s="71">
        <f>B10+250</f>
        <v>57650</v>
      </c>
      <c r="S10" s="71">
        <f t="shared" ref="S10:S12" si="19">R10-R$4</f>
        <v>-3350</v>
      </c>
      <c r="T10" s="71">
        <f>R10+$AM10</f>
        <v>59950</v>
      </c>
      <c r="U10" s="71">
        <f t="shared" ref="U10:U12" si="20">T10-T$4</f>
        <v>-4950</v>
      </c>
      <c r="V10" s="71">
        <f>B10+500</f>
        <v>57900</v>
      </c>
      <c r="W10" s="71">
        <f t="shared" ref="W10:W12" si="21">V10-V$4</f>
        <v>-2600</v>
      </c>
      <c r="X10" s="71">
        <f>V10+AM10-500</f>
        <v>59700</v>
      </c>
      <c r="Y10" s="71">
        <f t="shared" ref="Y10:Y12" si="22">X10-X$4</f>
        <v>-4200</v>
      </c>
      <c r="Z10" s="71">
        <f>B10</f>
        <v>57400</v>
      </c>
      <c r="AA10" s="71">
        <f t="shared" ref="AA10:AA12" si="23">Z10-Z$4</f>
        <v>-3100</v>
      </c>
      <c r="AB10" s="71">
        <f>Z10+AM10</f>
        <v>59700</v>
      </c>
      <c r="AC10" s="71">
        <f t="shared" ref="AC10:AC12" si="24">AB10-AB$4</f>
        <v>-4700</v>
      </c>
      <c r="AD10" s="71">
        <f>B10+500</f>
        <v>57900</v>
      </c>
      <c r="AE10" s="71">
        <f t="shared" ref="AE10:AE12" si="25">AD10-AD$4</f>
        <v>-2100</v>
      </c>
      <c r="AF10" s="71">
        <f>AD10+AM10</f>
        <v>60200</v>
      </c>
      <c r="AG10" s="71">
        <f t="shared" ref="AG10:AG12" si="26">AF10-AF$4</f>
        <v>-3700</v>
      </c>
      <c r="AH10" s="71">
        <f>B10+1500</f>
        <v>58900</v>
      </c>
      <c r="AI10" s="71">
        <f t="shared" ref="AI10:AI12" si="27">AH10-AH$4</f>
        <v>-1600</v>
      </c>
      <c r="AJ10" s="71">
        <f>AH10+AM10</f>
        <v>61200</v>
      </c>
      <c r="AK10" s="71">
        <f t="shared" ref="AK10:AK12" si="28">AJ10-AJ$4</f>
        <v>-3200</v>
      </c>
      <c r="AL10">
        <v>2300</v>
      </c>
      <c r="AM10">
        <v>2300</v>
      </c>
    </row>
    <row r="11" spans="1:53">
      <c r="A11" s="5" t="s">
        <v>25</v>
      </c>
      <c r="B11" s="62">
        <f>D11-250</f>
        <v>52400</v>
      </c>
      <c r="C11" s="62">
        <f>B11-B$4</f>
        <v>-7600</v>
      </c>
      <c r="D11" s="62">
        <f>D12+1000</f>
        <v>52650</v>
      </c>
      <c r="E11" s="62">
        <f>D11-D$4</f>
        <v>-11250</v>
      </c>
      <c r="F11" s="63">
        <f>B11</f>
        <v>52400</v>
      </c>
      <c r="G11" s="63">
        <f>F11-F$4</f>
        <v>-7600</v>
      </c>
      <c r="H11" s="63">
        <f>D11</f>
        <v>52650</v>
      </c>
      <c r="I11" s="63">
        <f>H11-H$4</f>
        <v>-11250</v>
      </c>
      <c r="J11" s="62">
        <f>L11-250</f>
        <v>49300</v>
      </c>
      <c r="K11" s="62">
        <f t="shared" si="15"/>
        <v>-11200</v>
      </c>
      <c r="L11" s="62">
        <f>L12+1000</f>
        <v>49550</v>
      </c>
      <c r="M11" s="62">
        <f t="shared" si="16"/>
        <v>-14850</v>
      </c>
      <c r="N11" s="63">
        <f>P11-250</f>
        <v>51900</v>
      </c>
      <c r="O11" s="63">
        <f t="shared" si="17"/>
        <v>-7600</v>
      </c>
      <c r="P11" s="63">
        <f>P12+1000</f>
        <v>52150</v>
      </c>
      <c r="Q11" s="63">
        <f t="shared" si="18"/>
        <v>-11250</v>
      </c>
      <c r="R11" s="62">
        <f>T11-250</f>
        <v>50500</v>
      </c>
      <c r="S11" s="62">
        <f t="shared" si="19"/>
        <v>-10500</v>
      </c>
      <c r="T11" s="62">
        <f>T12+1000</f>
        <v>50750</v>
      </c>
      <c r="U11" s="62">
        <f t="shared" si="20"/>
        <v>-14150</v>
      </c>
      <c r="V11" s="63">
        <f>X11-250</f>
        <v>51000</v>
      </c>
      <c r="W11" s="63">
        <f t="shared" si="21"/>
        <v>-9500</v>
      </c>
      <c r="X11" s="63">
        <f>X12+1500</f>
        <v>51250</v>
      </c>
      <c r="Y11" s="63">
        <f t="shared" si="22"/>
        <v>-12650</v>
      </c>
      <c r="Z11" s="62">
        <f>AB11-250</f>
        <v>51900</v>
      </c>
      <c r="AA11" s="62">
        <f t="shared" si="23"/>
        <v>-8600</v>
      </c>
      <c r="AB11" s="62">
        <f>AB12+500</f>
        <v>52150</v>
      </c>
      <c r="AC11" s="62">
        <f t="shared" si="24"/>
        <v>-12250</v>
      </c>
      <c r="AD11" s="63">
        <f>AF11-250</f>
        <v>50500</v>
      </c>
      <c r="AE11" s="63">
        <f t="shared" si="25"/>
        <v>-9500</v>
      </c>
      <c r="AF11" s="63">
        <f>AF12+1000</f>
        <v>50750</v>
      </c>
      <c r="AG11" s="63">
        <f t="shared" si="26"/>
        <v>-13150</v>
      </c>
      <c r="AH11" s="62">
        <f>AH12+250+1500+1000</f>
        <v>53500</v>
      </c>
      <c r="AI11" s="62">
        <f t="shared" si="27"/>
        <v>-7000</v>
      </c>
      <c r="AJ11" s="62">
        <f>AJ12+1000</f>
        <v>51750</v>
      </c>
      <c r="AK11" s="62">
        <f t="shared" si="28"/>
        <v>-12650</v>
      </c>
      <c r="AL11">
        <v>1450</v>
      </c>
      <c r="AM11">
        <v>1450</v>
      </c>
    </row>
    <row r="12" spans="1:53">
      <c r="A12" s="5" t="s">
        <v>26</v>
      </c>
      <c r="B12" s="62">
        <f>50400+250+1000</f>
        <v>51650</v>
      </c>
      <c r="C12" s="62">
        <f>B12-B$4</f>
        <v>-8350</v>
      </c>
      <c r="D12" s="62">
        <f>B12</f>
        <v>51650</v>
      </c>
      <c r="E12" s="62">
        <f>D12-D$4</f>
        <v>-12250</v>
      </c>
      <c r="F12" s="63">
        <f>B12</f>
        <v>51650</v>
      </c>
      <c r="G12" s="63">
        <f>F12-F$4</f>
        <v>-8350</v>
      </c>
      <c r="H12" s="63">
        <f>D12</f>
        <v>51650</v>
      </c>
      <c r="I12" s="63">
        <f>H12-H$4</f>
        <v>-12250</v>
      </c>
      <c r="J12" s="62">
        <f>47800+250+500</f>
        <v>48550</v>
      </c>
      <c r="K12" s="62">
        <f t="shared" si="15"/>
        <v>-11950</v>
      </c>
      <c r="L12" s="62">
        <f>J12</f>
        <v>48550</v>
      </c>
      <c r="M12" s="62">
        <f t="shared" si="16"/>
        <v>-15850</v>
      </c>
      <c r="N12" s="63">
        <f>49400+250+1500</f>
        <v>51150</v>
      </c>
      <c r="O12" s="63">
        <f t="shared" si="17"/>
        <v>-8350</v>
      </c>
      <c r="P12" s="63">
        <f>N12</f>
        <v>51150</v>
      </c>
      <c r="Q12" s="63">
        <f t="shared" si="18"/>
        <v>-12250</v>
      </c>
      <c r="R12" s="62">
        <f>49000+250+500</f>
        <v>49750</v>
      </c>
      <c r="S12" s="62">
        <f t="shared" si="19"/>
        <v>-11250</v>
      </c>
      <c r="T12" s="62">
        <f>R12</f>
        <v>49750</v>
      </c>
      <c r="U12" s="62">
        <f t="shared" si="20"/>
        <v>-15150</v>
      </c>
      <c r="V12" s="63">
        <f>49000+250+500</f>
        <v>49750</v>
      </c>
      <c r="W12" s="63">
        <f t="shared" si="21"/>
        <v>-10750</v>
      </c>
      <c r="X12" s="63">
        <f>V12</f>
        <v>49750</v>
      </c>
      <c r="Y12" s="63">
        <f t="shared" si="22"/>
        <v>-14150</v>
      </c>
      <c r="Z12" s="62">
        <f>B12</f>
        <v>51650</v>
      </c>
      <c r="AA12" s="62">
        <f t="shared" si="23"/>
        <v>-8850</v>
      </c>
      <c r="AB12" s="62">
        <f>D12</f>
        <v>51650</v>
      </c>
      <c r="AC12" s="62">
        <f t="shared" si="24"/>
        <v>-12750</v>
      </c>
      <c r="AD12" s="63">
        <f>V12</f>
        <v>49750</v>
      </c>
      <c r="AE12" s="63">
        <f t="shared" si="25"/>
        <v>-10250</v>
      </c>
      <c r="AF12" s="63">
        <f>X12</f>
        <v>49750</v>
      </c>
      <c r="AG12" s="63">
        <f t="shared" si="26"/>
        <v>-14150</v>
      </c>
      <c r="AH12" s="62">
        <f>49000+250+1500</f>
        <v>50750</v>
      </c>
      <c r="AI12" s="62">
        <f t="shared" si="27"/>
        <v>-9750</v>
      </c>
      <c r="AJ12" s="62">
        <f>AH12</f>
        <v>50750</v>
      </c>
      <c r="AK12" s="62">
        <f t="shared" si="28"/>
        <v>-13650</v>
      </c>
    </row>
    <row r="13" spans="1:53"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AT13" s="2"/>
      <c r="AU13" s="2"/>
      <c r="AV13" s="2"/>
      <c r="AW13" s="2"/>
    </row>
    <row r="14" spans="1:53">
      <c r="B14" s="1"/>
      <c r="C14" s="68"/>
      <c r="D14" s="68"/>
      <c r="E14" s="68"/>
      <c r="F14" s="1"/>
      <c r="G14" s="1"/>
      <c r="H14" s="1"/>
      <c r="I14" s="1"/>
      <c r="J14" s="2"/>
      <c r="K14" s="2"/>
      <c r="L14" s="2"/>
      <c r="M14" s="2"/>
      <c r="AT14" s="2"/>
      <c r="AU14" s="2"/>
      <c r="AV14" s="2"/>
      <c r="AW14" s="2"/>
    </row>
    <row r="15" spans="1:53"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AT15" s="2"/>
      <c r="AU15" s="2"/>
      <c r="AV15" s="2"/>
      <c r="AW15" s="2"/>
    </row>
    <row r="16" spans="1:53"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AT16" s="2"/>
      <c r="AU16" s="2"/>
      <c r="AV16" s="2"/>
      <c r="AW16" s="2"/>
    </row>
    <row r="17" spans="2:49"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AT17" s="2"/>
      <c r="AU17" s="2"/>
      <c r="AV17" s="2"/>
      <c r="AW17" s="2"/>
    </row>
    <row r="18" spans="2:49"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AT18" s="2"/>
      <c r="AU18" s="2"/>
      <c r="AV18" s="2"/>
      <c r="AW18" s="2"/>
    </row>
    <row r="19" spans="2:49"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AT19" s="2"/>
      <c r="AU19" s="2"/>
      <c r="AV19" s="2"/>
      <c r="AW19" s="2"/>
    </row>
    <row r="20" spans="2:49"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AT20" s="2"/>
      <c r="AU20" s="2"/>
      <c r="AV20" s="2"/>
      <c r="AW20" s="2"/>
    </row>
    <row r="21" spans="2:49"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AT21" s="2"/>
      <c r="AU21" s="2"/>
      <c r="AV21" s="2"/>
      <c r="AW21" s="2"/>
    </row>
    <row r="22" spans="2:49"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AT22" s="2"/>
      <c r="AU22" s="2"/>
      <c r="AV22" s="2"/>
      <c r="AW22" s="2"/>
    </row>
    <row r="23" spans="2:49"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AT23" s="2"/>
      <c r="AU23" s="2"/>
      <c r="AV23" s="2"/>
      <c r="AW23" s="2"/>
    </row>
    <row r="24" spans="2:49"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AT24" s="2"/>
      <c r="AU24" s="2"/>
      <c r="AV24" s="2"/>
      <c r="AW24" s="2"/>
    </row>
    <row r="25" spans="2:49"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AT25" s="2"/>
      <c r="AU25" s="2"/>
      <c r="AV25" s="2"/>
      <c r="AW25" s="2"/>
    </row>
    <row r="26" spans="2:49"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AT26" s="2"/>
      <c r="AU26" s="2"/>
      <c r="AV26" s="2"/>
      <c r="AW26" s="2"/>
    </row>
    <row r="27" spans="2:49"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AT27" s="2"/>
      <c r="AU27" s="2"/>
      <c r="AV27" s="2"/>
      <c r="AW27" s="2"/>
    </row>
    <row r="28" spans="2:49"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AT28" s="2"/>
      <c r="AU28" s="2"/>
      <c r="AV28" s="2"/>
      <c r="AW28" s="2"/>
    </row>
    <row r="29" spans="2:49"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AT29" s="2"/>
      <c r="AU29" s="2"/>
      <c r="AV29" s="2"/>
      <c r="AW29" s="2"/>
    </row>
    <row r="30" spans="2:49"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AT30" s="2"/>
      <c r="AU30" s="2"/>
      <c r="AV30" s="2"/>
      <c r="AW30" s="2"/>
    </row>
    <row r="31" spans="2:49"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AT31" s="2"/>
      <c r="AU31" s="2"/>
      <c r="AV31" s="2"/>
      <c r="AW31" s="2"/>
    </row>
    <row r="32" spans="2:49"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AT32" s="2"/>
      <c r="AU32" s="2"/>
      <c r="AV32" s="2"/>
      <c r="AW32" s="2"/>
    </row>
    <row r="33" spans="2:49"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AT33" s="2"/>
      <c r="AU33" s="2"/>
      <c r="AV33" s="2"/>
      <c r="AW33" s="2"/>
    </row>
    <row r="34" spans="2:49"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</row>
  </sheetData>
  <mergeCells count="9">
    <mergeCell ref="AD2:AG2"/>
    <mergeCell ref="AH2:AK2"/>
    <mergeCell ref="AL2:AM2"/>
    <mergeCell ref="B2:E2"/>
    <mergeCell ref="J2:M2"/>
    <mergeCell ref="N2:Q2"/>
    <mergeCell ref="R2:U2"/>
    <mergeCell ref="V2:Y2"/>
    <mergeCell ref="Z2:AC2"/>
  </mergeCells>
  <dataValidations count="1">
    <dataValidation allowBlank="1" showInputMessage="1" showErrorMessage="1" sqref="AD6 A6:B6 R6 J6 AH6 AL6:AM6" xr:uid="{9FDCD0CC-A00C-4C50-A42E-DE9AAB80102A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3934-D73F-43A1-9EC2-25F03794065A}">
  <dimension ref="A1:AI34"/>
  <sheetViews>
    <sheetView tabSelected="1" workbookViewId="0">
      <pane xSplit="1" ySplit="2" topLeftCell="B3" activePane="bottomRight" state="frozen"/>
      <selection pane="bottomRight" activeCell="J5" sqref="J5"/>
      <selection pane="bottomLeft"/>
      <selection pane="topRight"/>
    </sheetView>
  </sheetViews>
  <sheetFormatPr defaultRowHeight="15"/>
  <cols>
    <col min="1" max="1" width="35.7109375" bestFit="1" customWidth="1"/>
    <col min="2" max="19" width="12.140625" customWidth="1"/>
    <col min="20" max="20" width="10" customWidth="1"/>
  </cols>
  <sheetData>
    <row r="1" spans="1:35">
      <c r="B1" s="1"/>
      <c r="C1" s="1"/>
      <c r="D1" s="1"/>
      <c r="E1" s="1"/>
      <c r="F1" s="2"/>
      <c r="G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>
      <c r="A2" s="3" t="s">
        <v>0</v>
      </c>
      <c r="B2" s="86" t="s">
        <v>1</v>
      </c>
      <c r="C2" s="87"/>
      <c r="D2" s="90" t="s">
        <v>2</v>
      </c>
      <c r="E2" s="92"/>
      <c r="F2" s="86" t="s">
        <v>3</v>
      </c>
      <c r="G2" s="87"/>
      <c r="H2" s="91" t="s">
        <v>4</v>
      </c>
      <c r="I2" s="92"/>
      <c r="J2" s="86" t="s">
        <v>5</v>
      </c>
      <c r="K2" s="87"/>
      <c r="L2" s="91" t="s">
        <v>6</v>
      </c>
      <c r="M2" s="92"/>
      <c r="N2" s="86" t="s">
        <v>7</v>
      </c>
      <c r="O2" s="87"/>
      <c r="P2" s="91" t="s">
        <v>8</v>
      </c>
      <c r="Q2" s="92"/>
      <c r="R2" s="86" t="s">
        <v>93</v>
      </c>
      <c r="S2" s="87"/>
      <c r="T2" s="88" t="s">
        <v>10</v>
      </c>
      <c r="U2" s="89"/>
    </row>
    <row r="3" spans="1:35">
      <c r="A3" s="3" t="s">
        <v>11</v>
      </c>
      <c r="B3" s="4" t="s">
        <v>13</v>
      </c>
      <c r="C3" s="4" t="s">
        <v>14</v>
      </c>
      <c r="D3" s="58" t="s">
        <v>13</v>
      </c>
      <c r="E3" s="58" t="s">
        <v>14</v>
      </c>
      <c r="F3" s="4" t="s">
        <v>13</v>
      </c>
      <c r="G3" s="4" t="s">
        <v>14</v>
      </c>
      <c r="H3" s="58" t="s">
        <v>13</v>
      </c>
      <c r="I3" s="58" t="s">
        <v>14</v>
      </c>
      <c r="J3" s="4" t="s">
        <v>13</v>
      </c>
      <c r="K3" s="4" t="s">
        <v>14</v>
      </c>
      <c r="L3" s="58" t="s">
        <v>13</v>
      </c>
      <c r="M3" s="58" t="s">
        <v>14</v>
      </c>
      <c r="N3" s="4" t="s">
        <v>13</v>
      </c>
      <c r="O3" s="4" t="s">
        <v>14</v>
      </c>
      <c r="P3" s="58" t="s">
        <v>13</v>
      </c>
      <c r="Q3" s="58" t="s">
        <v>14</v>
      </c>
      <c r="R3" s="4" t="s">
        <v>13</v>
      </c>
      <c r="S3" s="4" t="s">
        <v>14</v>
      </c>
      <c r="T3" s="69" t="s">
        <v>15</v>
      </c>
      <c r="U3" s="69" t="s">
        <v>16</v>
      </c>
    </row>
    <row r="4" spans="1:35">
      <c r="A4" s="5" t="s">
        <v>17</v>
      </c>
      <c r="B4" s="62">
        <f>'3_Summary less QD'!D4-2000</f>
        <v>61900</v>
      </c>
      <c r="C4" s="62">
        <f>B4-B$4</f>
        <v>0</v>
      </c>
      <c r="D4" s="63">
        <f>'3_Summary less QD'!H4-2000</f>
        <v>61900</v>
      </c>
      <c r="E4" s="63">
        <f>D4-D$4</f>
        <v>0</v>
      </c>
      <c r="F4" s="62">
        <f>'3_Summary less QD'!L4-2000</f>
        <v>62400</v>
      </c>
      <c r="G4" s="62">
        <f>F4-F$4</f>
        <v>0</v>
      </c>
      <c r="H4" s="63">
        <f>'3_Summary less QD'!P4-2000</f>
        <v>61400</v>
      </c>
      <c r="I4" s="63">
        <f>H4-H$4</f>
        <v>0</v>
      </c>
      <c r="J4" s="62">
        <f>'3_Summary less QD'!T4-2000</f>
        <v>62900</v>
      </c>
      <c r="K4" s="62">
        <f>J4-J$4</f>
        <v>0</v>
      </c>
      <c r="L4" s="63" t="e">
        <f>#REF!+U4-500</f>
        <v>#REF!</v>
      </c>
      <c r="M4" s="63" t="e">
        <f>L4-L$4</f>
        <v>#REF!</v>
      </c>
      <c r="N4" s="62" t="e">
        <f>#REF!+U4</f>
        <v>#REF!</v>
      </c>
      <c r="O4" s="62" t="e">
        <f>N4-N$4</f>
        <v>#REF!</v>
      </c>
      <c r="P4" s="63" t="e">
        <f>#REF!+U4</f>
        <v>#REF!</v>
      </c>
      <c r="Q4" s="63" t="e">
        <f>P4-P$4</f>
        <v>#REF!</v>
      </c>
      <c r="R4" s="62" t="e">
        <f>#REF!+U4</f>
        <v>#REF!</v>
      </c>
      <c r="S4" s="62" t="e">
        <f>R4-R$4</f>
        <v>#REF!</v>
      </c>
      <c r="T4" s="69">
        <f>5650-1750</f>
        <v>3900</v>
      </c>
      <c r="U4" s="69">
        <f>T4</f>
        <v>3900</v>
      </c>
    </row>
    <row r="5" spans="1:35">
      <c r="A5" s="5" t="s">
        <v>18</v>
      </c>
      <c r="B5" s="62">
        <f>'3_Summary less QD'!D5-1000</f>
        <v>61350</v>
      </c>
      <c r="C5" s="62">
        <f>B5-B$4</f>
        <v>-550</v>
      </c>
      <c r="D5" s="63">
        <f>'3_Summary less QD'!H5-1000</f>
        <v>61350</v>
      </c>
      <c r="E5" s="63">
        <f>D5-D$4</f>
        <v>-550</v>
      </c>
      <c r="F5" s="62">
        <f>'3_Summary less QD'!L5-1000</f>
        <v>61350</v>
      </c>
      <c r="G5" s="62">
        <f>F5-F$4</f>
        <v>-1050</v>
      </c>
      <c r="H5" s="63">
        <f>'3_Summary less QD'!P5-1000</f>
        <v>61350</v>
      </c>
      <c r="I5" s="63">
        <f>H5-H$4</f>
        <v>-50</v>
      </c>
      <c r="J5" s="62">
        <f>'3_Summary less QD'!T5-1000</f>
        <v>61350</v>
      </c>
      <c r="K5" s="62">
        <f>J5-J$4</f>
        <v>-1550</v>
      </c>
      <c r="L5" s="63" t="e">
        <f>#REF!+U5-500</f>
        <v>#REF!</v>
      </c>
      <c r="M5" s="63" t="e">
        <f>L5-L$4</f>
        <v>#REF!</v>
      </c>
      <c r="N5" s="62" t="e">
        <f>#REF!+U5</f>
        <v>#REF!</v>
      </c>
      <c r="O5" s="62" t="e">
        <f>N5-N$4</f>
        <v>#REF!</v>
      </c>
      <c r="P5" s="63" t="e">
        <f>#REF!+U5</f>
        <v>#REF!</v>
      </c>
      <c r="Q5" s="63" t="e">
        <f>P5-P$4</f>
        <v>#REF!</v>
      </c>
      <c r="R5" s="62" t="e">
        <f>#REF!+U5</f>
        <v>#REF!</v>
      </c>
      <c r="S5" s="62" t="e">
        <f>R5-R$4</f>
        <v>#REF!</v>
      </c>
      <c r="T5" s="69">
        <f>3700-500</f>
        <v>3200</v>
      </c>
      <c r="U5" s="69">
        <f>T5</f>
        <v>3200</v>
      </c>
    </row>
    <row r="6" spans="1:35">
      <c r="A6" s="5" t="s">
        <v>19</v>
      </c>
      <c r="B6" s="62">
        <f>'3_Summary less QD'!D6-500</f>
        <v>60850</v>
      </c>
      <c r="C6" s="62">
        <f>B6-B$4</f>
        <v>-1050</v>
      </c>
      <c r="D6" s="63">
        <f>'3_Summary less QD'!H6-500</f>
        <v>58150</v>
      </c>
      <c r="E6" s="63">
        <f>D6-D$4</f>
        <v>-3750</v>
      </c>
      <c r="F6" s="62">
        <f>'3_Summary less QD'!L6-500</f>
        <v>61100</v>
      </c>
      <c r="G6" s="62">
        <f>F6-F$4</f>
        <v>-1300</v>
      </c>
      <c r="H6" s="63">
        <f>'3_Summary less QD'!P6-500</f>
        <v>60350</v>
      </c>
      <c r="I6" s="63">
        <f>H6-H$4</f>
        <v>-1050</v>
      </c>
      <c r="J6" s="62">
        <f>'3_Summary less QD'!T6-500</f>
        <v>61350</v>
      </c>
      <c r="K6" s="62">
        <f>J6-J$4</f>
        <v>-1550</v>
      </c>
      <c r="L6" s="63" t="e">
        <f>#REF!+U6-500</f>
        <v>#REF!</v>
      </c>
      <c r="M6" s="63" t="e">
        <f>L6-L$4</f>
        <v>#REF!</v>
      </c>
      <c r="N6" s="62" t="e">
        <f>#REF!+U6</f>
        <v>#REF!</v>
      </c>
      <c r="O6" s="62" t="e">
        <f>N6-N$4</f>
        <v>#REF!</v>
      </c>
      <c r="P6" s="63" t="e">
        <f>#REF!+U6</f>
        <v>#REF!</v>
      </c>
      <c r="Q6" s="63" t="e">
        <f>P6-P$4</f>
        <v>#REF!</v>
      </c>
      <c r="R6" s="62" t="e">
        <f>#REF!+U6</f>
        <v>#REF!</v>
      </c>
      <c r="S6" s="62" t="e">
        <f>R6-R$4</f>
        <v>#REF!</v>
      </c>
      <c r="T6" s="69">
        <f>3600-750</f>
        <v>2850</v>
      </c>
      <c r="U6" s="69">
        <f>T6</f>
        <v>2850</v>
      </c>
    </row>
    <row r="7" spans="1:35">
      <c r="A7" s="5" t="s">
        <v>21</v>
      </c>
      <c r="B7" s="62">
        <f>'3_Summary less QD'!D7-1500</f>
        <v>60250</v>
      </c>
      <c r="C7" s="62">
        <f>B7-B$4</f>
        <v>-1650</v>
      </c>
      <c r="D7" s="63">
        <f>'3_Summary less QD'!H7-1500</f>
        <v>60250</v>
      </c>
      <c r="E7" s="63">
        <f>D7-D$4</f>
        <v>-1650</v>
      </c>
      <c r="F7" s="62">
        <f>'3_Summary less QD'!L7-1500</f>
        <v>60000</v>
      </c>
      <c r="G7" s="62">
        <f>F7-F$4</f>
        <v>-2400</v>
      </c>
      <c r="H7" s="63">
        <f>'3_Summary less QD'!P7-1500</f>
        <v>59750</v>
      </c>
      <c r="I7" s="63">
        <f>H7-H$4</f>
        <v>-1650</v>
      </c>
      <c r="J7" s="62">
        <f>'3_Summary less QD'!T7-1500</f>
        <v>60750</v>
      </c>
      <c r="K7" s="62">
        <f>J7-J$4</f>
        <v>-2150</v>
      </c>
      <c r="L7" s="63" t="e">
        <f>#REF!+U7-500</f>
        <v>#REF!</v>
      </c>
      <c r="M7" s="63" t="e">
        <f>L7-L$4</f>
        <v>#REF!</v>
      </c>
      <c r="N7" s="62" t="e">
        <f>#REF!+U7</f>
        <v>#REF!</v>
      </c>
      <c r="O7" s="62" t="e">
        <f>N7-N$4</f>
        <v>#REF!</v>
      </c>
      <c r="P7" s="63" t="e">
        <f>#REF!+U7</f>
        <v>#REF!</v>
      </c>
      <c r="Q7" s="63" t="e">
        <f>P7-P$4</f>
        <v>#REF!</v>
      </c>
      <c r="R7" s="62" t="e">
        <f>#REF!+U7</f>
        <v>#REF!</v>
      </c>
      <c r="S7" s="62" t="e">
        <f>R7-R$4</f>
        <v>#REF!</v>
      </c>
      <c r="T7" s="69">
        <v>2250</v>
      </c>
      <c r="U7" s="69">
        <f>T7</f>
        <v>2250</v>
      </c>
    </row>
    <row r="8" spans="1:35" s="6" customFormat="1">
      <c r="A8" s="70" t="s">
        <v>22</v>
      </c>
      <c r="B8" s="71">
        <f>'3_Summary less QD'!D8</f>
        <v>60700</v>
      </c>
      <c r="C8" s="71">
        <f>B8-B$4</f>
        <v>-1200</v>
      </c>
      <c r="D8" s="71">
        <f>'3_Summary less QD'!H8</f>
        <v>60700</v>
      </c>
      <c r="E8" s="71">
        <f>D8-D$4</f>
        <v>-1200</v>
      </c>
      <c r="F8" s="71">
        <f>'3_Summary less QD'!L8</f>
        <v>60700</v>
      </c>
      <c r="G8" s="71">
        <f>F8-F$4</f>
        <v>-1700</v>
      </c>
      <c r="H8" s="63">
        <f>'3_Summary less QD'!P8</f>
        <v>60700</v>
      </c>
      <c r="I8" s="71">
        <f>H8-H$4</f>
        <v>-700</v>
      </c>
      <c r="J8" s="62">
        <f>'3_Summary less QD'!T8</f>
        <v>60950</v>
      </c>
      <c r="K8" s="71">
        <f>J8-J$4</f>
        <v>-1950</v>
      </c>
      <c r="L8" s="71" t="e">
        <f>#REF!+U8-500</f>
        <v>#REF!</v>
      </c>
      <c r="M8" s="71" t="e">
        <f>L8-L$4</f>
        <v>#REF!</v>
      </c>
      <c r="N8" s="71" t="e">
        <f>#REF!+U8</f>
        <v>#REF!</v>
      </c>
      <c r="O8" s="71" t="e">
        <f>N8-N$4</f>
        <v>#REF!</v>
      </c>
      <c r="P8" s="71" t="e">
        <f>#REF!+U8</f>
        <v>#REF!</v>
      </c>
      <c r="Q8" s="71" t="e">
        <f>P8-P$4</f>
        <v>#REF!</v>
      </c>
      <c r="R8" s="71" t="e">
        <f>#REF!+U8</f>
        <v>#REF!</v>
      </c>
      <c r="S8" s="71" t="e">
        <f>R8-R$4</f>
        <v>#REF!</v>
      </c>
      <c r="T8" s="69">
        <v>2300</v>
      </c>
      <c r="U8" s="69">
        <v>2300</v>
      </c>
    </row>
    <row r="9" spans="1:35">
      <c r="A9" s="5" t="s">
        <v>23</v>
      </c>
      <c r="B9" s="62"/>
      <c r="C9" s="62"/>
      <c r="D9" s="63"/>
      <c r="E9" s="63"/>
      <c r="F9" s="62"/>
      <c r="G9" s="62"/>
      <c r="H9" s="63">
        <f>'3_Summary less QD'!P9</f>
        <v>0</v>
      </c>
      <c r="I9" s="63"/>
      <c r="J9" s="62">
        <f>'3_Summary less QD'!T9</f>
        <v>0</v>
      </c>
      <c r="K9" s="62"/>
      <c r="L9" s="63"/>
      <c r="M9" s="63"/>
      <c r="N9" s="62"/>
      <c r="O9" s="62"/>
      <c r="P9" s="63" t="e">
        <f>#REF!+U9</f>
        <v>#REF!</v>
      </c>
      <c r="Q9" s="63"/>
      <c r="R9" s="62" t="e">
        <f>#REF!+U9</f>
        <v>#REF!</v>
      </c>
      <c r="S9" s="62"/>
      <c r="T9" s="69"/>
      <c r="U9" s="69"/>
    </row>
    <row r="10" spans="1:35" s="6" customFormat="1">
      <c r="A10" s="70" t="s">
        <v>24</v>
      </c>
      <c r="B10" s="71">
        <f>'3_Summary less QD'!D10</f>
        <v>59700</v>
      </c>
      <c r="C10" s="71">
        <f>B10-B$4</f>
        <v>-2200</v>
      </c>
      <c r="D10" s="71">
        <f>'3_Summary less QD'!H10</f>
        <v>59700</v>
      </c>
      <c r="E10" s="71">
        <f>D10-D$4</f>
        <v>-2200</v>
      </c>
      <c r="F10" s="71">
        <f>'3_Summary less QD'!L10</f>
        <v>59700</v>
      </c>
      <c r="G10" s="71">
        <f>F10-F$4</f>
        <v>-2700</v>
      </c>
      <c r="H10" s="63">
        <f>'3_Summary less QD'!P10</f>
        <v>59700</v>
      </c>
      <c r="I10" s="71">
        <f>H10-H$4</f>
        <v>-1700</v>
      </c>
      <c r="J10" s="62">
        <f>'3_Summary less QD'!T10</f>
        <v>59950</v>
      </c>
      <c r="K10" s="71">
        <f>J10-J$4</f>
        <v>-2950</v>
      </c>
      <c r="L10" s="71" t="e">
        <f>#REF!+U10-500</f>
        <v>#REF!</v>
      </c>
      <c r="M10" s="71" t="e">
        <f>L10-L$4</f>
        <v>#REF!</v>
      </c>
      <c r="N10" s="71" t="e">
        <f>#REF!+U10</f>
        <v>#REF!</v>
      </c>
      <c r="O10" s="71" t="e">
        <f>N10-N$4</f>
        <v>#REF!</v>
      </c>
      <c r="P10" s="71" t="e">
        <f>#REF!+U10</f>
        <v>#REF!</v>
      </c>
      <c r="Q10" s="71" t="e">
        <f>P10-P$4</f>
        <v>#REF!</v>
      </c>
      <c r="R10" s="71" t="e">
        <f>#REF!+U10</f>
        <v>#REF!</v>
      </c>
      <c r="S10" s="71" t="e">
        <f>R10-R$4</f>
        <v>#REF!</v>
      </c>
      <c r="T10" s="69">
        <v>2300</v>
      </c>
      <c r="U10" s="69">
        <v>2300</v>
      </c>
    </row>
    <row r="11" spans="1:35">
      <c r="A11" s="5" t="s">
        <v>25</v>
      </c>
      <c r="B11" s="62">
        <f>'3_Summary less QD'!D11</f>
        <v>52650</v>
      </c>
      <c r="C11" s="62">
        <f>B11-B$4</f>
        <v>-9250</v>
      </c>
      <c r="D11" s="63">
        <f>'3_Summary less QD'!H11</f>
        <v>52650</v>
      </c>
      <c r="E11" s="63">
        <f>D11-D$4</f>
        <v>-9250</v>
      </c>
      <c r="F11" s="62">
        <f>'3_Summary less QD'!L11</f>
        <v>49550</v>
      </c>
      <c r="G11" s="62">
        <f>F11-F$4</f>
        <v>-12850</v>
      </c>
      <c r="H11" s="63">
        <f>'3_Summary less QD'!P11</f>
        <v>52150</v>
      </c>
      <c r="I11" s="63">
        <f>H11-H$4</f>
        <v>-9250</v>
      </c>
      <c r="J11" s="62">
        <f>'3_Summary less QD'!T11</f>
        <v>50750</v>
      </c>
      <c r="K11" s="62">
        <f>J11-J$4</f>
        <v>-12150</v>
      </c>
      <c r="L11" s="63" t="e">
        <f>L12+1500</f>
        <v>#REF!</v>
      </c>
      <c r="M11" s="63" t="e">
        <f>L11-L$4</f>
        <v>#REF!</v>
      </c>
      <c r="N11" s="62">
        <f>N12+500</f>
        <v>52150</v>
      </c>
      <c r="O11" s="62" t="e">
        <f>N11-N$4</f>
        <v>#REF!</v>
      </c>
      <c r="P11" s="63" t="e">
        <f>P12+1000</f>
        <v>#REF!</v>
      </c>
      <c r="Q11" s="63" t="e">
        <f>P11-P$4</f>
        <v>#REF!</v>
      </c>
      <c r="R11" s="62" t="e">
        <f>R12+1000</f>
        <v>#REF!</v>
      </c>
      <c r="S11" s="62" t="e">
        <f>R11-R$4</f>
        <v>#REF!</v>
      </c>
      <c r="T11" s="69">
        <v>1450</v>
      </c>
      <c r="U11" s="69">
        <v>1450</v>
      </c>
    </row>
    <row r="12" spans="1:35">
      <c r="A12" s="5" t="s">
        <v>26</v>
      </c>
      <c r="B12" s="62">
        <f>'3_Summary less QD'!D12</f>
        <v>51650</v>
      </c>
      <c r="C12" s="62">
        <f>B12-B$4</f>
        <v>-10250</v>
      </c>
      <c r="D12" s="63">
        <f>'3_Summary less QD'!H12</f>
        <v>51650</v>
      </c>
      <c r="E12" s="63">
        <f>D12-D$4</f>
        <v>-10250</v>
      </c>
      <c r="F12" s="62">
        <f>'3_Summary less QD'!L12</f>
        <v>48550</v>
      </c>
      <c r="G12" s="62">
        <f>F12-F$4</f>
        <v>-13850</v>
      </c>
      <c r="H12" s="63">
        <f>'3_Summary less QD'!P12</f>
        <v>51150</v>
      </c>
      <c r="I12" s="63">
        <f>H12-H$4</f>
        <v>-10250</v>
      </c>
      <c r="J12" s="62">
        <f>'3_Summary less QD'!T12</f>
        <v>49750</v>
      </c>
      <c r="K12" s="62">
        <f>J12-J$4</f>
        <v>-13150</v>
      </c>
      <c r="L12" s="63" t="e">
        <f>#REF!</f>
        <v>#REF!</v>
      </c>
      <c r="M12" s="63" t="e">
        <f>L12-L$4</f>
        <v>#REF!</v>
      </c>
      <c r="N12" s="62">
        <f>B12</f>
        <v>51650</v>
      </c>
      <c r="O12" s="62" t="e">
        <f>N12-N$4</f>
        <v>#REF!</v>
      </c>
      <c r="P12" s="63" t="e">
        <f>L12</f>
        <v>#REF!</v>
      </c>
      <c r="Q12" s="63" t="e">
        <f>P12-P$4</f>
        <v>#REF!</v>
      </c>
      <c r="R12" s="62" t="e">
        <f>#REF!</f>
        <v>#REF!</v>
      </c>
      <c r="S12" s="62" t="e">
        <f>R12-R$4</f>
        <v>#REF!</v>
      </c>
      <c r="T12" s="69"/>
      <c r="U12" s="69"/>
    </row>
    <row r="13" spans="1:35">
      <c r="B13" s="1"/>
      <c r="C13" s="1"/>
      <c r="D13" s="1"/>
      <c r="E13" s="1"/>
      <c r="F13" s="2"/>
      <c r="G13" s="2"/>
      <c r="AB13" s="2"/>
      <c r="AC13" s="2"/>
      <c r="AD13" s="2"/>
      <c r="AE13" s="2"/>
    </row>
    <row r="14" spans="1:35">
      <c r="B14" s="68"/>
      <c r="C14" s="68"/>
      <c r="D14" s="1"/>
      <c r="E14" s="1"/>
      <c r="F14" s="2"/>
      <c r="G14" s="2"/>
      <c r="AB14" s="2"/>
      <c r="AC14" s="2"/>
      <c r="AD14" s="2"/>
      <c r="AE14" s="2"/>
    </row>
    <row r="15" spans="1:35">
      <c r="B15" s="1"/>
      <c r="C15" s="1"/>
      <c r="D15" s="1"/>
      <c r="E15" s="1"/>
      <c r="F15" s="2"/>
      <c r="G15" s="2"/>
      <c r="AB15" s="2"/>
      <c r="AC15" s="2"/>
      <c r="AD15" s="2"/>
      <c r="AE15" s="2"/>
    </row>
    <row r="16" spans="1:35">
      <c r="B16" s="1"/>
      <c r="C16" s="1"/>
      <c r="D16" s="1"/>
      <c r="E16" s="1"/>
      <c r="F16" s="2"/>
      <c r="G16" s="2"/>
      <c r="AB16" s="2"/>
      <c r="AC16" s="2"/>
      <c r="AD16" s="2"/>
      <c r="AE16" s="2"/>
    </row>
    <row r="17" spans="2:31">
      <c r="B17" s="1"/>
      <c r="C17" s="1"/>
      <c r="D17" s="1"/>
      <c r="E17" s="1"/>
      <c r="F17" s="2"/>
      <c r="G17" s="2"/>
      <c r="AB17" s="2"/>
      <c r="AC17" s="2"/>
      <c r="AD17" s="2"/>
      <c r="AE17" s="2"/>
    </row>
    <row r="18" spans="2:31">
      <c r="B18" s="1"/>
      <c r="C18" s="1"/>
      <c r="D18" s="1"/>
      <c r="E18" s="1"/>
      <c r="F18" s="2"/>
      <c r="G18" s="2"/>
      <c r="AB18" s="2"/>
      <c r="AC18" s="2"/>
      <c r="AD18" s="2"/>
      <c r="AE18" s="2"/>
    </row>
    <row r="19" spans="2:31">
      <c r="B19" s="1"/>
      <c r="C19" s="1"/>
      <c r="D19" s="1"/>
      <c r="E19" s="1"/>
      <c r="F19" s="2"/>
      <c r="G19" s="2"/>
      <c r="AB19" s="2"/>
      <c r="AC19" s="2"/>
      <c r="AD19" s="2"/>
      <c r="AE19" s="2"/>
    </row>
    <row r="20" spans="2:31">
      <c r="B20" s="1"/>
      <c r="C20" s="1"/>
      <c r="D20" s="1"/>
      <c r="E20" s="1"/>
      <c r="F20" s="2"/>
      <c r="G20" s="2"/>
      <c r="AB20" s="2"/>
      <c r="AC20" s="2"/>
      <c r="AD20" s="2"/>
      <c r="AE20" s="2"/>
    </row>
    <row r="21" spans="2:31">
      <c r="B21" s="1"/>
      <c r="C21" s="1"/>
      <c r="D21" s="1"/>
      <c r="E21" s="1"/>
      <c r="F21" s="2"/>
      <c r="G21" s="2"/>
      <c r="AB21" s="2"/>
      <c r="AC21" s="2"/>
      <c r="AD21" s="2"/>
      <c r="AE21" s="2"/>
    </row>
    <row r="22" spans="2:31">
      <c r="B22" s="1"/>
      <c r="C22" s="1"/>
      <c r="D22" s="1"/>
      <c r="E22" s="1"/>
      <c r="F22" s="2"/>
      <c r="G22" s="2"/>
      <c r="AB22" s="2"/>
      <c r="AC22" s="2"/>
      <c r="AD22" s="2"/>
      <c r="AE22" s="2"/>
    </row>
    <row r="23" spans="2:31">
      <c r="B23" s="1"/>
      <c r="C23" s="1"/>
      <c r="D23" s="1"/>
      <c r="E23" s="1"/>
      <c r="F23" s="2"/>
      <c r="G23" s="2"/>
      <c r="AB23" s="2"/>
      <c r="AC23" s="2"/>
      <c r="AD23" s="2"/>
      <c r="AE23" s="2"/>
    </row>
    <row r="24" spans="2:31">
      <c r="B24" s="1"/>
      <c r="C24" s="1"/>
      <c r="D24" s="1"/>
      <c r="E24" s="1"/>
      <c r="F24" s="2"/>
      <c r="G24" s="2"/>
      <c r="AB24" s="2"/>
      <c r="AC24" s="2"/>
      <c r="AD24" s="2"/>
      <c r="AE24" s="2"/>
    </row>
    <row r="25" spans="2:31">
      <c r="B25" s="1"/>
      <c r="C25" s="1"/>
      <c r="D25" s="1"/>
      <c r="E25" s="1"/>
      <c r="F25" s="2"/>
      <c r="G25" s="2"/>
      <c r="AB25" s="2"/>
      <c r="AC25" s="2"/>
      <c r="AD25" s="2"/>
      <c r="AE25" s="2"/>
    </row>
    <row r="26" spans="2:31">
      <c r="B26" s="1"/>
      <c r="C26" s="1"/>
      <c r="D26" s="1"/>
      <c r="E26" s="1"/>
      <c r="F26" s="2"/>
      <c r="G26" s="2"/>
      <c r="AB26" s="2"/>
      <c r="AC26" s="2"/>
      <c r="AD26" s="2"/>
      <c r="AE26" s="2"/>
    </row>
    <row r="27" spans="2:31">
      <c r="B27" s="1"/>
      <c r="C27" s="1"/>
      <c r="D27" s="1"/>
      <c r="E27" s="1"/>
      <c r="F27" s="2"/>
      <c r="G27" s="2"/>
      <c r="AB27" s="2"/>
      <c r="AC27" s="2"/>
      <c r="AD27" s="2"/>
      <c r="AE27" s="2"/>
    </row>
    <row r="28" spans="2:31">
      <c r="B28" s="1"/>
      <c r="C28" s="1"/>
      <c r="D28" s="1"/>
      <c r="E28" s="1"/>
      <c r="F28" s="2"/>
      <c r="G28" s="2"/>
      <c r="AB28" s="2"/>
      <c r="AC28" s="2"/>
      <c r="AD28" s="2"/>
      <c r="AE28" s="2"/>
    </row>
    <row r="29" spans="2:31">
      <c r="B29" s="1"/>
      <c r="C29" s="1"/>
      <c r="D29" s="1"/>
      <c r="E29" s="1"/>
      <c r="F29" s="2"/>
      <c r="G29" s="2"/>
      <c r="AB29" s="2"/>
      <c r="AC29" s="2"/>
      <c r="AD29" s="2"/>
      <c r="AE29" s="2"/>
    </row>
    <row r="30" spans="2:31">
      <c r="B30" s="1"/>
      <c r="C30" s="1"/>
      <c r="D30" s="1"/>
      <c r="E30" s="1"/>
      <c r="F30" s="2"/>
      <c r="G30" s="2"/>
      <c r="AB30" s="2"/>
      <c r="AC30" s="2"/>
      <c r="AD30" s="2"/>
      <c r="AE30" s="2"/>
    </row>
    <row r="31" spans="2:31">
      <c r="B31" s="1"/>
      <c r="C31" s="1"/>
      <c r="D31" s="1"/>
      <c r="E31" s="1"/>
      <c r="F31" s="2"/>
      <c r="G31" s="2"/>
      <c r="AB31" s="2"/>
      <c r="AC31" s="2"/>
      <c r="AD31" s="2"/>
      <c r="AE31" s="2"/>
    </row>
    <row r="32" spans="2:31">
      <c r="B32" s="1"/>
      <c r="C32" s="1"/>
      <c r="D32" s="1"/>
      <c r="E32" s="1"/>
      <c r="F32" s="2"/>
      <c r="G32" s="2"/>
      <c r="AB32" s="2"/>
      <c r="AC32" s="2"/>
      <c r="AD32" s="2"/>
      <c r="AE32" s="2"/>
    </row>
    <row r="33" spans="2:31">
      <c r="B33" s="1"/>
      <c r="C33" s="1"/>
      <c r="D33" s="1"/>
      <c r="E33" s="1"/>
      <c r="F33" s="2"/>
      <c r="G33" s="2"/>
      <c r="AB33" s="2"/>
      <c r="AC33" s="2"/>
      <c r="AD33" s="2"/>
      <c r="AE33" s="2"/>
    </row>
    <row r="34" spans="2:31">
      <c r="B34" s="1"/>
      <c r="C34" s="1"/>
      <c r="D34" s="1"/>
      <c r="E34" s="1"/>
      <c r="F34" s="2"/>
      <c r="G34" s="2"/>
    </row>
  </sheetData>
  <mergeCells count="10">
    <mergeCell ref="P2:Q2"/>
    <mergeCell ref="R2:S2"/>
    <mergeCell ref="T2:U2"/>
    <mergeCell ref="D2:E2"/>
    <mergeCell ref="B2:C2"/>
    <mergeCell ref="F2:G2"/>
    <mergeCell ref="H2:I2"/>
    <mergeCell ref="J2:K2"/>
    <mergeCell ref="L2:M2"/>
    <mergeCell ref="N2:O2"/>
  </mergeCells>
  <dataValidations count="1">
    <dataValidation allowBlank="1" showInputMessage="1" showErrorMessage="1" sqref="A6 T6:U6" xr:uid="{9BFD98A1-275E-4BC4-8769-AF673CC5E44D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4136-7E59-45DE-85AD-7D0EC675B612}">
  <dimension ref="A1:BA34"/>
  <sheetViews>
    <sheetView workbookViewId="0">
      <pane xSplit="1" ySplit="2" topLeftCell="B3" activePane="bottomRight" state="frozen"/>
      <selection pane="bottomRight" activeCell="D17" sqref="D17"/>
      <selection pane="bottomLeft"/>
      <selection pane="topRight"/>
    </sheetView>
  </sheetViews>
  <sheetFormatPr defaultRowHeight="15"/>
  <cols>
    <col min="1" max="1" width="35.7109375" bestFit="1" customWidth="1"/>
    <col min="2" max="37" width="12.140625" customWidth="1"/>
    <col min="38" max="38" width="10" customWidth="1"/>
  </cols>
  <sheetData>
    <row r="1" spans="1:53"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3" t="s">
        <v>0</v>
      </c>
      <c r="B2" s="85" t="s">
        <v>1</v>
      </c>
      <c r="C2" s="86"/>
      <c r="D2" s="86"/>
      <c r="E2" s="87"/>
      <c r="F2" s="57"/>
      <c r="G2" s="57" t="s">
        <v>86</v>
      </c>
      <c r="H2" s="57"/>
      <c r="I2" s="57"/>
      <c r="J2" s="85" t="s">
        <v>87</v>
      </c>
      <c r="K2" s="86"/>
      <c r="L2" s="86"/>
      <c r="M2" s="87"/>
      <c r="N2" s="90" t="s">
        <v>88</v>
      </c>
      <c r="O2" s="91"/>
      <c r="P2" s="91"/>
      <c r="Q2" s="92"/>
      <c r="R2" s="85" t="s">
        <v>89</v>
      </c>
      <c r="S2" s="86"/>
      <c r="T2" s="86"/>
      <c r="U2" s="87"/>
      <c r="V2" s="90" t="s">
        <v>90</v>
      </c>
      <c r="W2" s="91"/>
      <c r="X2" s="91"/>
      <c r="Y2" s="92"/>
      <c r="Z2" s="85" t="s">
        <v>91</v>
      </c>
      <c r="AA2" s="86"/>
      <c r="AB2" s="86"/>
      <c r="AC2" s="87"/>
      <c r="AD2" s="90" t="s">
        <v>92</v>
      </c>
      <c r="AE2" s="91"/>
      <c r="AF2" s="91"/>
      <c r="AG2" s="92"/>
      <c r="AH2" s="85" t="s">
        <v>93</v>
      </c>
      <c r="AI2" s="86"/>
      <c r="AJ2" s="86"/>
      <c r="AK2" s="87"/>
      <c r="AL2" s="88" t="s">
        <v>10</v>
      </c>
      <c r="AM2" s="89"/>
    </row>
    <row r="3" spans="1:53">
      <c r="A3" s="3" t="s">
        <v>11</v>
      </c>
      <c r="B3" s="4" t="s">
        <v>12</v>
      </c>
      <c r="C3" s="4" t="s">
        <v>14</v>
      </c>
      <c r="D3" s="4" t="s">
        <v>13</v>
      </c>
      <c r="E3" s="4" t="s">
        <v>14</v>
      </c>
      <c r="F3" s="58" t="s">
        <v>12</v>
      </c>
      <c r="G3" s="58" t="s">
        <v>14</v>
      </c>
      <c r="H3" s="58" t="s">
        <v>13</v>
      </c>
      <c r="I3" s="58" t="s">
        <v>14</v>
      </c>
      <c r="J3" s="4" t="s">
        <v>12</v>
      </c>
      <c r="K3" s="4" t="s">
        <v>14</v>
      </c>
      <c r="L3" s="4" t="s">
        <v>13</v>
      </c>
      <c r="M3" s="4" t="s">
        <v>14</v>
      </c>
      <c r="N3" s="58" t="s">
        <v>12</v>
      </c>
      <c r="O3" s="58" t="s">
        <v>14</v>
      </c>
      <c r="P3" s="58" t="s">
        <v>13</v>
      </c>
      <c r="Q3" s="58" t="s">
        <v>14</v>
      </c>
      <c r="R3" s="4" t="s">
        <v>12</v>
      </c>
      <c r="S3" s="4" t="s">
        <v>14</v>
      </c>
      <c r="T3" s="4" t="s">
        <v>13</v>
      </c>
      <c r="U3" s="4" t="s">
        <v>14</v>
      </c>
      <c r="V3" s="58" t="s">
        <v>12</v>
      </c>
      <c r="W3" s="58" t="s">
        <v>14</v>
      </c>
      <c r="X3" s="58" t="s">
        <v>13</v>
      </c>
      <c r="Y3" s="58" t="s">
        <v>14</v>
      </c>
      <c r="Z3" s="4" t="s">
        <v>12</v>
      </c>
      <c r="AA3" s="4" t="s">
        <v>14</v>
      </c>
      <c r="AB3" s="4" t="s">
        <v>13</v>
      </c>
      <c r="AC3" s="4" t="s">
        <v>14</v>
      </c>
      <c r="AD3" s="58" t="s">
        <v>12</v>
      </c>
      <c r="AE3" s="58" t="s">
        <v>14</v>
      </c>
      <c r="AF3" s="58" t="s">
        <v>13</v>
      </c>
      <c r="AG3" s="58" t="s">
        <v>14</v>
      </c>
      <c r="AH3" s="4" t="s">
        <v>12</v>
      </c>
      <c r="AI3" s="4" t="s">
        <v>14</v>
      </c>
      <c r="AJ3" s="4" t="s">
        <v>13</v>
      </c>
      <c r="AK3" s="4" t="s">
        <v>14</v>
      </c>
      <c r="AL3" s="69" t="s">
        <v>15</v>
      </c>
      <c r="AM3" s="69" t="s">
        <v>16</v>
      </c>
    </row>
    <row r="4" spans="1:53">
      <c r="A4" s="5" t="s">
        <v>17</v>
      </c>
      <c r="B4" s="62">
        <v>60000</v>
      </c>
      <c r="C4" s="62">
        <f>B4-B$4</f>
        <v>0</v>
      </c>
      <c r="D4" s="62">
        <f>B4+AL4</f>
        <v>65650</v>
      </c>
      <c r="E4" s="62">
        <f>D4-D$4</f>
        <v>0</v>
      </c>
      <c r="F4" s="63">
        <f>B4</f>
        <v>60000</v>
      </c>
      <c r="G4" s="63">
        <f>F4-F$4</f>
        <v>0</v>
      </c>
      <c r="H4" s="63">
        <f>F4+$AM4</f>
        <v>65650</v>
      </c>
      <c r="I4" s="63">
        <f>H4-H$4</f>
        <v>0</v>
      </c>
      <c r="J4" s="62">
        <f>B4+500</f>
        <v>60500</v>
      </c>
      <c r="K4" s="62">
        <f>J4-J$4</f>
        <v>0</v>
      </c>
      <c r="L4" s="62">
        <f>J4+$AM4</f>
        <v>66150</v>
      </c>
      <c r="M4" s="62">
        <f>L4-L$4</f>
        <v>0</v>
      </c>
      <c r="N4" s="63">
        <f>B4-500</f>
        <v>59500</v>
      </c>
      <c r="O4" s="63">
        <f>N4-N$4</f>
        <v>0</v>
      </c>
      <c r="P4" s="63">
        <f>N4+$AM4</f>
        <v>65150</v>
      </c>
      <c r="Q4" s="63">
        <f>P4-P$4</f>
        <v>0</v>
      </c>
      <c r="R4" s="62">
        <f>B4+1000</f>
        <v>61000</v>
      </c>
      <c r="S4" s="62">
        <f>R4-R$4</f>
        <v>0</v>
      </c>
      <c r="T4" s="62">
        <f>R4+$AM4</f>
        <v>66650</v>
      </c>
      <c r="U4" s="62">
        <f>T4-T$4</f>
        <v>0</v>
      </c>
      <c r="V4" s="63">
        <f>B4+500</f>
        <v>60500</v>
      </c>
      <c r="W4" s="63">
        <f>V4-V$4</f>
        <v>0</v>
      </c>
      <c r="X4" s="63">
        <f>V4+AM4-500</f>
        <v>65650</v>
      </c>
      <c r="Y4" s="63">
        <f>X4-X$4</f>
        <v>0</v>
      </c>
      <c r="Z4" s="62">
        <f>B4+500</f>
        <v>60500</v>
      </c>
      <c r="AA4" s="62">
        <f>Z4-Z$4</f>
        <v>0</v>
      </c>
      <c r="AB4" s="62">
        <f>Z4+AM4</f>
        <v>66150</v>
      </c>
      <c r="AC4" s="62">
        <f>AB4-AB$4</f>
        <v>0</v>
      </c>
      <c r="AD4" s="63">
        <f>B4</f>
        <v>60000</v>
      </c>
      <c r="AE4" s="63">
        <f>AD4-AD$4</f>
        <v>0</v>
      </c>
      <c r="AF4" s="63">
        <f>AD4+AM4</f>
        <v>65650</v>
      </c>
      <c r="AG4" s="63">
        <f>AF4-AF$4</f>
        <v>0</v>
      </c>
      <c r="AH4" s="62">
        <f>B4+500</f>
        <v>60500</v>
      </c>
      <c r="AI4" s="62">
        <f>AH4-AH$4</f>
        <v>0</v>
      </c>
      <c r="AJ4" s="62">
        <f>AH4+AM4</f>
        <v>66150</v>
      </c>
      <c r="AK4" s="62">
        <f>AJ4-AJ$4</f>
        <v>0</v>
      </c>
      <c r="AL4" s="69">
        <v>5650</v>
      </c>
      <c r="AM4" s="69">
        <f>AL4</f>
        <v>5650</v>
      </c>
    </row>
    <row r="5" spans="1:53">
      <c r="A5" s="5" t="s">
        <v>18</v>
      </c>
      <c r="B5" s="62">
        <v>59150</v>
      </c>
      <c r="C5" s="62">
        <f>B5-B$4</f>
        <v>-850</v>
      </c>
      <c r="D5" s="62">
        <f>B5+AL5</f>
        <v>62850</v>
      </c>
      <c r="E5" s="62">
        <f>D5-D$4</f>
        <v>-2800</v>
      </c>
      <c r="F5" s="63">
        <f>B5</f>
        <v>59150</v>
      </c>
      <c r="G5" s="63">
        <f>F5-F$4</f>
        <v>-850</v>
      </c>
      <c r="H5" s="63">
        <f>F5+$AM5</f>
        <v>62850</v>
      </c>
      <c r="I5" s="63">
        <f>H5-H$4</f>
        <v>-2800</v>
      </c>
      <c r="J5" s="62">
        <f>B5</f>
        <v>59150</v>
      </c>
      <c r="K5" s="62">
        <f>J5-J$4</f>
        <v>-1350</v>
      </c>
      <c r="L5" s="62">
        <f>J5+$AM5</f>
        <v>62850</v>
      </c>
      <c r="M5" s="62">
        <f>L5-L$4</f>
        <v>-3300</v>
      </c>
      <c r="N5" s="63">
        <f>B5</f>
        <v>59150</v>
      </c>
      <c r="O5" s="63">
        <f>N5-N$4</f>
        <v>-350</v>
      </c>
      <c r="P5" s="63">
        <f>N5+$AM5</f>
        <v>62850</v>
      </c>
      <c r="Q5" s="63">
        <f>P5-P$4</f>
        <v>-2300</v>
      </c>
      <c r="R5" s="62">
        <f>B5</f>
        <v>59150</v>
      </c>
      <c r="S5" s="62">
        <f>R5-R$4</f>
        <v>-1850</v>
      </c>
      <c r="T5" s="62">
        <f>R5+$AM5</f>
        <v>62850</v>
      </c>
      <c r="U5" s="62">
        <f>T5-T$4</f>
        <v>-3800</v>
      </c>
      <c r="V5" s="63">
        <f>B5+500</f>
        <v>59650</v>
      </c>
      <c r="W5" s="63">
        <f>V5-V$4</f>
        <v>-850</v>
      </c>
      <c r="X5" s="63">
        <f>V5+AM5-500</f>
        <v>62850</v>
      </c>
      <c r="Y5" s="63">
        <f>X5-X$4</f>
        <v>-2800</v>
      </c>
      <c r="Z5" s="62">
        <f>B5</f>
        <v>59150</v>
      </c>
      <c r="AA5" s="62">
        <f>Z5-Z$4</f>
        <v>-1350</v>
      </c>
      <c r="AB5" s="62">
        <f>Z5+AM5</f>
        <v>62850</v>
      </c>
      <c r="AC5" s="62">
        <f>AB5-AB$4</f>
        <v>-3300</v>
      </c>
      <c r="AD5" s="63">
        <f>B5+500</f>
        <v>59650</v>
      </c>
      <c r="AE5" s="63">
        <f>AD5-AD$4</f>
        <v>-350</v>
      </c>
      <c r="AF5" s="63">
        <f>AD5+AM5</f>
        <v>63350</v>
      </c>
      <c r="AG5" s="63">
        <f>AF5-AF$4</f>
        <v>-2300</v>
      </c>
      <c r="AH5" s="62">
        <f>B5+1500</f>
        <v>60650</v>
      </c>
      <c r="AI5" s="62">
        <f>AH5-AH$4</f>
        <v>150</v>
      </c>
      <c r="AJ5" s="62">
        <f>AH5+AM5</f>
        <v>64350</v>
      </c>
      <c r="AK5" s="62">
        <f>AJ5-AJ$4</f>
        <v>-1800</v>
      </c>
      <c r="AL5" s="69">
        <v>3700</v>
      </c>
      <c r="AM5" s="69">
        <f>AL5</f>
        <v>3700</v>
      </c>
    </row>
    <row r="6" spans="1:53">
      <c r="A6" s="5" t="s">
        <v>19</v>
      </c>
      <c r="B6" s="62">
        <v>58500</v>
      </c>
      <c r="C6" s="62">
        <f>B6-B$4</f>
        <v>-1500</v>
      </c>
      <c r="D6" s="62">
        <f>B6+AL6</f>
        <v>62100</v>
      </c>
      <c r="E6" s="62">
        <f>D6-D$4</f>
        <v>-3550</v>
      </c>
      <c r="F6" s="63" t="s">
        <v>20</v>
      </c>
      <c r="G6" s="63" t="s">
        <v>20</v>
      </c>
      <c r="H6" s="63">
        <v>58650</v>
      </c>
      <c r="I6" s="63">
        <f>H6-H$4</f>
        <v>-7000</v>
      </c>
      <c r="J6" s="62">
        <f>B6+250</f>
        <v>58750</v>
      </c>
      <c r="K6" s="62">
        <f>J6-J$4</f>
        <v>-1750</v>
      </c>
      <c r="L6" s="62">
        <f>J6+$AM6</f>
        <v>62600</v>
      </c>
      <c r="M6" s="62">
        <f>L6-L$4</f>
        <v>-3550</v>
      </c>
      <c r="N6" s="63">
        <f>B6-500</f>
        <v>58000</v>
      </c>
      <c r="O6" s="63">
        <f>N6-N$4</f>
        <v>-1500</v>
      </c>
      <c r="P6" s="63">
        <f>N6+$AM6</f>
        <v>61850</v>
      </c>
      <c r="Q6" s="63">
        <f>P6-P$4</f>
        <v>-3300</v>
      </c>
      <c r="R6" s="62">
        <f>B6+500</f>
        <v>59000</v>
      </c>
      <c r="S6" s="62">
        <f>R6-R$4</f>
        <v>-2000</v>
      </c>
      <c r="T6" s="62">
        <f>R6+$AM6</f>
        <v>62850</v>
      </c>
      <c r="U6" s="62">
        <f>T6-T$4</f>
        <v>-3800</v>
      </c>
      <c r="V6" s="63">
        <f>B6+250</f>
        <v>58750</v>
      </c>
      <c r="W6" s="63">
        <f>V6-V$4</f>
        <v>-1750</v>
      </c>
      <c r="X6" s="63">
        <f>V6+AM6-500</f>
        <v>62100</v>
      </c>
      <c r="Y6" s="63">
        <f>X6-X$4</f>
        <v>-3550</v>
      </c>
      <c r="Z6" s="62">
        <f>B6+500</f>
        <v>59000</v>
      </c>
      <c r="AA6" s="62">
        <f>Z6-Z$4</f>
        <v>-1500</v>
      </c>
      <c r="AB6" s="62">
        <f>Z6+AM6</f>
        <v>62850</v>
      </c>
      <c r="AC6" s="62">
        <f>AB6-AB$4</f>
        <v>-3300</v>
      </c>
      <c r="AD6" s="63">
        <f>B6+500</f>
        <v>59000</v>
      </c>
      <c r="AE6" s="63">
        <f>AD6-AD$4</f>
        <v>-1000</v>
      </c>
      <c r="AF6" s="63">
        <f>AD6+AM6</f>
        <v>62850</v>
      </c>
      <c r="AG6" s="63">
        <f>AF6-AF$4</f>
        <v>-2800</v>
      </c>
      <c r="AH6" s="62">
        <f>B6+500</f>
        <v>59000</v>
      </c>
      <c r="AI6" s="62">
        <f>AH6-AH$4</f>
        <v>-1500</v>
      </c>
      <c r="AJ6" s="62">
        <f>AH6+AM6</f>
        <v>62850</v>
      </c>
      <c r="AK6" s="62">
        <f>AJ6-AJ$4</f>
        <v>-3300</v>
      </c>
      <c r="AL6" s="69">
        <v>3600</v>
      </c>
      <c r="AM6" s="69">
        <v>3850</v>
      </c>
    </row>
    <row r="7" spans="1:53">
      <c r="A7" s="5" t="s">
        <v>21</v>
      </c>
      <c r="B7" s="62">
        <v>59500</v>
      </c>
      <c r="C7" s="62">
        <f>B7-B$4</f>
        <v>-500</v>
      </c>
      <c r="D7" s="62">
        <f>B7+AL7</f>
        <v>61750</v>
      </c>
      <c r="E7" s="62">
        <f>D7-D$4</f>
        <v>-3900</v>
      </c>
      <c r="F7" s="63">
        <f>B7</f>
        <v>59500</v>
      </c>
      <c r="G7" s="63">
        <f>F7-F$4</f>
        <v>-500</v>
      </c>
      <c r="H7" s="63">
        <f>F7+$AM7</f>
        <v>61750</v>
      </c>
      <c r="I7" s="63">
        <f>H7-H$4</f>
        <v>-3900</v>
      </c>
      <c r="J7" s="62">
        <f>B7-250</f>
        <v>59250</v>
      </c>
      <c r="K7" s="62">
        <f>J7-J$4</f>
        <v>-1250</v>
      </c>
      <c r="L7" s="62">
        <f>J7+$AM7</f>
        <v>61500</v>
      </c>
      <c r="M7" s="62">
        <f>L7-L$4</f>
        <v>-4650</v>
      </c>
      <c r="N7" s="63">
        <f>B7-500</f>
        <v>59000</v>
      </c>
      <c r="O7" s="63">
        <f>N7-N$4</f>
        <v>-500</v>
      </c>
      <c r="P7" s="63">
        <f>N7+$AM7</f>
        <v>61250</v>
      </c>
      <c r="Q7" s="63">
        <f>P7-P$4</f>
        <v>-3900</v>
      </c>
      <c r="R7" s="62">
        <f>B7+500</f>
        <v>60000</v>
      </c>
      <c r="S7" s="62">
        <f>R7-R$4</f>
        <v>-1000</v>
      </c>
      <c r="T7" s="62">
        <f>R7+$AM7</f>
        <v>62250</v>
      </c>
      <c r="U7" s="62">
        <f>T7-T$4</f>
        <v>-4400</v>
      </c>
      <c r="V7" s="63">
        <f>B7+500</f>
        <v>60000</v>
      </c>
      <c r="W7" s="63">
        <f>V7-V$4</f>
        <v>-500</v>
      </c>
      <c r="X7" s="63">
        <f>V7+AM7-500</f>
        <v>61750</v>
      </c>
      <c r="Y7" s="63">
        <f>X7-X$4</f>
        <v>-3900</v>
      </c>
      <c r="Z7" s="62">
        <f>B7+500</f>
        <v>60000</v>
      </c>
      <c r="AA7" s="62">
        <f>Z7-Z$4</f>
        <v>-500</v>
      </c>
      <c r="AB7" s="62">
        <f>Z7+AM7</f>
        <v>62250</v>
      </c>
      <c r="AC7" s="62">
        <f>AB7-AB$4</f>
        <v>-3900</v>
      </c>
      <c r="AD7" s="63">
        <f>B7+1000</f>
        <v>60500</v>
      </c>
      <c r="AE7" s="63">
        <f>AD7-AD$4</f>
        <v>500</v>
      </c>
      <c r="AF7" s="63">
        <f>AD7+AM7</f>
        <v>62750</v>
      </c>
      <c r="AG7" s="63">
        <f>AF7-AF$4</f>
        <v>-2900</v>
      </c>
      <c r="AH7" s="62">
        <f>B7+2000</f>
        <v>61500</v>
      </c>
      <c r="AI7" s="62">
        <f>AH7-AH$4</f>
        <v>1000</v>
      </c>
      <c r="AJ7" s="62">
        <f>AH7+AM7</f>
        <v>63750</v>
      </c>
      <c r="AK7" s="62">
        <f>AJ7-AJ$4</f>
        <v>-2400</v>
      </c>
      <c r="AL7" s="69">
        <v>2250</v>
      </c>
      <c r="AM7" s="69">
        <f>AL7</f>
        <v>2250</v>
      </c>
    </row>
    <row r="8" spans="1:53" s="6" customFormat="1">
      <c r="A8" s="70" t="s">
        <v>22</v>
      </c>
      <c r="B8" s="71">
        <v>58400</v>
      </c>
      <c r="C8" s="71">
        <f>B8-B$4</f>
        <v>-1600</v>
      </c>
      <c r="D8" s="71">
        <f>B8+AL8</f>
        <v>60700</v>
      </c>
      <c r="E8" s="71">
        <f>D8-D$4</f>
        <v>-4950</v>
      </c>
      <c r="F8" s="71">
        <f>B8</f>
        <v>58400</v>
      </c>
      <c r="G8" s="71">
        <f>F8-F$4</f>
        <v>-1600</v>
      </c>
      <c r="H8" s="71">
        <f>F8+$AM8</f>
        <v>60700</v>
      </c>
      <c r="I8" s="71">
        <f>H8-H$4</f>
        <v>-4950</v>
      </c>
      <c r="J8" s="71">
        <f>B8</f>
        <v>58400</v>
      </c>
      <c r="K8" s="71">
        <f>J8-J$4</f>
        <v>-2100</v>
      </c>
      <c r="L8" s="71">
        <f>J8+$AM8</f>
        <v>60700</v>
      </c>
      <c r="M8" s="71">
        <f>L8-L$4</f>
        <v>-5450</v>
      </c>
      <c r="N8" s="71">
        <f>B8</f>
        <v>58400</v>
      </c>
      <c r="O8" s="71">
        <f>N8-N$4</f>
        <v>-1100</v>
      </c>
      <c r="P8" s="71">
        <f>N8+$AM8</f>
        <v>60700</v>
      </c>
      <c r="Q8" s="71">
        <f>P8-P$4</f>
        <v>-4450</v>
      </c>
      <c r="R8" s="71">
        <f>B8+250</f>
        <v>58650</v>
      </c>
      <c r="S8" s="71">
        <f>R8-R$4</f>
        <v>-2350</v>
      </c>
      <c r="T8" s="71">
        <f>R8+$AM8</f>
        <v>60950</v>
      </c>
      <c r="U8" s="71">
        <f>T8-T$4</f>
        <v>-5700</v>
      </c>
      <c r="V8" s="71">
        <f>B8+500</f>
        <v>58900</v>
      </c>
      <c r="W8" s="71">
        <f>V8-V$4</f>
        <v>-1600</v>
      </c>
      <c r="X8" s="71">
        <f>V8+AM8-500</f>
        <v>60700</v>
      </c>
      <c r="Y8" s="71">
        <f>X8-X$4</f>
        <v>-4950</v>
      </c>
      <c r="Z8" s="71">
        <f>B8+500</f>
        <v>58900</v>
      </c>
      <c r="AA8" s="71">
        <f>Z8-Z$4</f>
        <v>-1600</v>
      </c>
      <c r="AB8" s="71">
        <f>Z8+AM8</f>
        <v>61200</v>
      </c>
      <c r="AC8" s="71">
        <f>AB8-AB$4</f>
        <v>-4950</v>
      </c>
      <c r="AD8" s="71">
        <f>B8+1000</f>
        <v>59400</v>
      </c>
      <c r="AE8" s="71">
        <f>AD8-AD$4</f>
        <v>-600</v>
      </c>
      <c r="AF8" s="71">
        <f>AD8+AM8</f>
        <v>61700</v>
      </c>
      <c r="AG8" s="71">
        <f>AF8-AF$4</f>
        <v>-3950</v>
      </c>
      <c r="AH8" s="71">
        <f>B8+2000</f>
        <v>60400</v>
      </c>
      <c r="AI8" s="71">
        <f>AH8-AH$4</f>
        <v>-100</v>
      </c>
      <c r="AJ8" s="71">
        <f>AH8+AM8</f>
        <v>62700</v>
      </c>
      <c r="AK8" s="71">
        <f>AJ8-AJ$4</f>
        <v>-3450</v>
      </c>
      <c r="AL8" s="69">
        <v>2300</v>
      </c>
      <c r="AM8" s="69">
        <v>2300</v>
      </c>
    </row>
    <row r="9" spans="1:53">
      <c r="A9" s="5" t="s">
        <v>23</v>
      </c>
      <c r="B9" s="62"/>
      <c r="C9" s="62"/>
      <c r="D9" s="62"/>
      <c r="E9" s="62"/>
      <c r="F9" s="63"/>
      <c r="G9" s="63"/>
      <c r="H9" s="63">
        <f>F9+$AM9</f>
        <v>0</v>
      </c>
      <c r="I9" s="63"/>
      <c r="J9" s="62"/>
      <c r="K9" s="62"/>
      <c r="L9" s="62">
        <f>J9+$AM9</f>
        <v>0</v>
      </c>
      <c r="M9" s="62"/>
      <c r="N9" s="63"/>
      <c r="O9" s="63"/>
      <c r="P9" s="63">
        <f>N9+$AM9</f>
        <v>0</v>
      </c>
      <c r="Q9" s="63"/>
      <c r="R9" s="62"/>
      <c r="S9" s="62"/>
      <c r="T9" s="62">
        <f>R9+$AM9</f>
        <v>0</v>
      </c>
      <c r="U9" s="62"/>
      <c r="V9" s="63"/>
      <c r="W9" s="63"/>
      <c r="X9" s="63"/>
      <c r="Y9" s="63"/>
      <c r="Z9" s="62"/>
      <c r="AA9" s="62"/>
      <c r="AB9" s="62"/>
      <c r="AC9" s="62"/>
      <c r="AD9" s="63"/>
      <c r="AE9" s="63"/>
      <c r="AF9" s="63">
        <f>AD9+AM9</f>
        <v>0</v>
      </c>
      <c r="AG9" s="63"/>
      <c r="AH9" s="62"/>
      <c r="AI9" s="62"/>
      <c r="AJ9" s="62">
        <f>AH9+AM9</f>
        <v>0</v>
      </c>
      <c r="AK9" s="62"/>
      <c r="AL9" s="69"/>
      <c r="AM9" s="69"/>
    </row>
    <row r="10" spans="1:53" s="6" customFormat="1">
      <c r="A10" s="70" t="s">
        <v>24</v>
      </c>
      <c r="B10" s="71">
        <v>57400</v>
      </c>
      <c r="C10" s="71">
        <f>B10-B$4</f>
        <v>-2600</v>
      </c>
      <c r="D10" s="71">
        <f>B10+AL10</f>
        <v>59700</v>
      </c>
      <c r="E10" s="71">
        <f>D10-D$4</f>
        <v>-5950</v>
      </c>
      <c r="F10" s="71">
        <f>B10</f>
        <v>57400</v>
      </c>
      <c r="G10" s="71">
        <f>F10-F$4</f>
        <v>-2600</v>
      </c>
      <c r="H10" s="71">
        <f>F10+$AM10</f>
        <v>59700</v>
      </c>
      <c r="I10" s="71">
        <f>H10-H$4</f>
        <v>-5950</v>
      </c>
      <c r="J10" s="71">
        <f>B10</f>
        <v>57400</v>
      </c>
      <c r="K10" s="71">
        <f>J10-J$4</f>
        <v>-3100</v>
      </c>
      <c r="L10" s="71">
        <f>J10+$AM10</f>
        <v>59700</v>
      </c>
      <c r="M10" s="71">
        <f>L10-L$4</f>
        <v>-6450</v>
      </c>
      <c r="N10" s="71">
        <f>B10</f>
        <v>57400</v>
      </c>
      <c r="O10" s="71">
        <f>N10-N$4</f>
        <v>-2100</v>
      </c>
      <c r="P10" s="71">
        <f>N10+$AM10</f>
        <v>59700</v>
      </c>
      <c r="Q10" s="71">
        <f>P10-P$4</f>
        <v>-5450</v>
      </c>
      <c r="R10" s="71">
        <f>B10+250</f>
        <v>57650</v>
      </c>
      <c r="S10" s="71">
        <f>R10-R$4</f>
        <v>-3350</v>
      </c>
      <c r="T10" s="71">
        <f>R10+$AM10</f>
        <v>59950</v>
      </c>
      <c r="U10" s="71">
        <f>T10-T$4</f>
        <v>-6700</v>
      </c>
      <c r="V10" s="71">
        <f>B10+500</f>
        <v>57900</v>
      </c>
      <c r="W10" s="71">
        <f>V10-V$4</f>
        <v>-2600</v>
      </c>
      <c r="X10" s="71">
        <f>V10+AM10-500</f>
        <v>59700</v>
      </c>
      <c r="Y10" s="71">
        <f>X10-X$4</f>
        <v>-5950</v>
      </c>
      <c r="Z10" s="71">
        <f>B10</f>
        <v>57400</v>
      </c>
      <c r="AA10" s="71">
        <f>Z10-Z$4</f>
        <v>-3100</v>
      </c>
      <c r="AB10" s="71">
        <f>Z10+AM10</f>
        <v>59700</v>
      </c>
      <c r="AC10" s="71">
        <f>AB10-AB$4</f>
        <v>-6450</v>
      </c>
      <c r="AD10" s="71">
        <f>B10+500</f>
        <v>57900</v>
      </c>
      <c r="AE10" s="71">
        <f>AD10-AD$4</f>
        <v>-2100</v>
      </c>
      <c r="AF10" s="71">
        <f>AD10+AM10</f>
        <v>60200</v>
      </c>
      <c r="AG10" s="71">
        <f>AF10-AF$4</f>
        <v>-5450</v>
      </c>
      <c r="AH10" s="71">
        <f>B10+1500</f>
        <v>58900</v>
      </c>
      <c r="AI10" s="71">
        <f>AH10-AH$4</f>
        <v>-1600</v>
      </c>
      <c r="AJ10" s="71">
        <f>AH10+AM10</f>
        <v>61200</v>
      </c>
      <c r="AK10" s="71">
        <f>AJ10-AJ$4</f>
        <v>-4950</v>
      </c>
      <c r="AL10" s="69">
        <v>2300</v>
      </c>
      <c r="AM10" s="69">
        <v>2300</v>
      </c>
    </row>
    <row r="11" spans="1:53">
      <c r="A11" s="5" t="s">
        <v>25</v>
      </c>
      <c r="B11" s="62">
        <f>D11-250</f>
        <v>52400</v>
      </c>
      <c r="C11" s="62">
        <f>B11-B$4</f>
        <v>-7600</v>
      </c>
      <c r="D11" s="62">
        <f>D12+1000</f>
        <v>52650</v>
      </c>
      <c r="E11" s="62">
        <f>D11-D$4</f>
        <v>-13000</v>
      </c>
      <c r="F11" s="63">
        <f>B11</f>
        <v>52400</v>
      </c>
      <c r="G11" s="63">
        <f>F11-F$4</f>
        <v>-7600</v>
      </c>
      <c r="H11" s="63">
        <f>D11</f>
        <v>52650</v>
      </c>
      <c r="I11" s="63">
        <f>H11-H$4</f>
        <v>-13000</v>
      </c>
      <c r="J11" s="62">
        <f>L11-250</f>
        <v>49300</v>
      </c>
      <c r="K11" s="62">
        <f>J11-J$4</f>
        <v>-11200</v>
      </c>
      <c r="L11" s="62">
        <f>L12+1000</f>
        <v>49550</v>
      </c>
      <c r="M11" s="62">
        <f>L11-L$4</f>
        <v>-16600</v>
      </c>
      <c r="N11" s="63">
        <f>P11-250</f>
        <v>51900</v>
      </c>
      <c r="O11" s="63">
        <f>N11-N$4</f>
        <v>-7600</v>
      </c>
      <c r="P11" s="63">
        <f>P12+1000</f>
        <v>52150</v>
      </c>
      <c r="Q11" s="63">
        <f>P11-P$4</f>
        <v>-13000</v>
      </c>
      <c r="R11" s="62">
        <f>T11-250</f>
        <v>50500</v>
      </c>
      <c r="S11" s="62">
        <f>R11-R$4</f>
        <v>-10500</v>
      </c>
      <c r="T11" s="62">
        <f>T12+1000</f>
        <v>50750</v>
      </c>
      <c r="U11" s="62">
        <f>T11-T$4</f>
        <v>-15900</v>
      </c>
      <c r="V11" s="63">
        <f>X11-250</f>
        <v>51000</v>
      </c>
      <c r="W11" s="63">
        <f>V11-V$4</f>
        <v>-9500</v>
      </c>
      <c r="X11" s="63">
        <f>X12+1500</f>
        <v>51250</v>
      </c>
      <c r="Y11" s="63">
        <f>X11-X$4</f>
        <v>-14400</v>
      </c>
      <c r="Z11" s="62">
        <f>AB11-250</f>
        <v>51900</v>
      </c>
      <c r="AA11" s="62">
        <f>Z11-Z$4</f>
        <v>-8600</v>
      </c>
      <c r="AB11" s="62">
        <f>AB12+500</f>
        <v>52150</v>
      </c>
      <c r="AC11" s="62">
        <f>AB11-AB$4</f>
        <v>-14000</v>
      </c>
      <c r="AD11" s="63">
        <f>AF11-250</f>
        <v>50500</v>
      </c>
      <c r="AE11" s="63">
        <f>AD11-AD$4</f>
        <v>-9500</v>
      </c>
      <c r="AF11" s="63">
        <f>AF12+1000</f>
        <v>50750</v>
      </c>
      <c r="AG11" s="63">
        <f>AF11-AF$4</f>
        <v>-14900</v>
      </c>
      <c r="AH11" s="62">
        <f>AH12+250+1500+1000</f>
        <v>53500</v>
      </c>
      <c r="AI11" s="62">
        <f>AH11-AH$4</f>
        <v>-7000</v>
      </c>
      <c r="AJ11" s="62">
        <f>AJ12+1000</f>
        <v>51750</v>
      </c>
      <c r="AK11" s="62">
        <f>AJ11-AJ$4</f>
        <v>-14400</v>
      </c>
      <c r="AL11" s="69">
        <v>1450</v>
      </c>
      <c r="AM11" s="69">
        <v>1450</v>
      </c>
    </row>
    <row r="12" spans="1:53">
      <c r="A12" s="5" t="s">
        <v>26</v>
      </c>
      <c r="B12" s="62">
        <f>50400+250+1000</f>
        <v>51650</v>
      </c>
      <c r="C12" s="62">
        <f>B12-B$4</f>
        <v>-8350</v>
      </c>
      <c r="D12" s="62">
        <f>B12</f>
        <v>51650</v>
      </c>
      <c r="E12" s="62">
        <f>D12-D$4</f>
        <v>-14000</v>
      </c>
      <c r="F12" s="63">
        <f>B12</f>
        <v>51650</v>
      </c>
      <c r="G12" s="63">
        <f>F12-F$4</f>
        <v>-8350</v>
      </c>
      <c r="H12" s="63">
        <f>D12</f>
        <v>51650</v>
      </c>
      <c r="I12" s="63">
        <f>H12-H$4</f>
        <v>-14000</v>
      </c>
      <c r="J12" s="62">
        <f>47800+250+500</f>
        <v>48550</v>
      </c>
      <c r="K12" s="62">
        <f>J12-J$4</f>
        <v>-11950</v>
      </c>
      <c r="L12" s="62">
        <f>J12</f>
        <v>48550</v>
      </c>
      <c r="M12" s="62">
        <f>L12-L$4</f>
        <v>-17600</v>
      </c>
      <c r="N12" s="63">
        <f>49400+250+1500</f>
        <v>51150</v>
      </c>
      <c r="O12" s="63">
        <f>N12-N$4</f>
        <v>-8350</v>
      </c>
      <c r="P12" s="63">
        <f>N12</f>
        <v>51150</v>
      </c>
      <c r="Q12" s="63">
        <f>P12-P$4</f>
        <v>-14000</v>
      </c>
      <c r="R12" s="62">
        <f>49000+250+500</f>
        <v>49750</v>
      </c>
      <c r="S12" s="62">
        <f>R12-R$4</f>
        <v>-11250</v>
      </c>
      <c r="T12" s="62">
        <f>R12</f>
        <v>49750</v>
      </c>
      <c r="U12" s="62">
        <f>T12-T$4</f>
        <v>-16900</v>
      </c>
      <c r="V12" s="63">
        <f>49000+250+500</f>
        <v>49750</v>
      </c>
      <c r="W12" s="63">
        <f>V12-V$4</f>
        <v>-10750</v>
      </c>
      <c r="X12" s="63">
        <f>V12</f>
        <v>49750</v>
      </c>
      <c r="Y12" s="63">
        <f>X12-X$4</f>
        <v>-15900</v>
      </c>
      <c r="Z12" s="62">
        <f>B12</f>
        <v>51650</v>
      </c>
      <c r="AA12" s="62">
        <f>Z12-Z$4</f>
        <v>-8850</v>
      </c>
      <c r="AB12" s="62">
        <f>D12</f>
        <v>51650</v>
      </c>
      <c r="AC12" s="62">
        <f>AB12-AB$4</f>
        <v>-14500</v>
      </c>
      <c r="AD12" s="63">
        <f>V12</f>
        <v>49750</v>
      </c>
      <c r="AE12" s="63">
        <f>AD12-AD$4</f>
        <v>-10250</v>
      </c>
      <c r="AF12" s="63">
        <f>X12</f>
        <v>49750</v>
      </c>
      <c r="AG12" s="63">
        <f>AF12-AF$4</f>
        <v>-15900</v>
      </c>
      <c r="AH12" s="62">
        <f>49000+250+1500</f>
        <v>50750</v>
      </c>
      <c r="AI12" s="62">
        <f>AH12-AH$4</f>
        <v>-9750</v>
      </c>
      <c r="AJ12" s="62">
        <f>AH12</f>
        <v>50750</v>
      </c>
      <c r="AK12" s="62">
        <f>AJ12-AJ$4</f>
        <v>-15400</v>
      </c>
      <c r="AL12" s="72"/>
      <c r="AM12" s="72"/>
    </row>
    <row r="13" spans="1:53"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AT13" s="2"/>
      <c r="AU13" s="2"/>
      <c r="AV13" s="2"/>
      <c r="AW13" s="2"/>
    </row>
    <row r="14" spans="1:53">
      <c r="B14" s="1"/>
      <c r="C14" s="68"/>
      <c r="D14" s="68"/>
      <c r="E14" s="68"/>
      <c r="F14" s="1"/>
      <c r="G14" s="1"/>
      <c r="H14" s="1"/>
      <c r="I14" s="1"/>
      <c r="J14" s="2"/>
      <c r="K14" s="2"/>
      <c r="L14" s="2"/>
      <c r="M14" s="2"/>
      <c r="AT14" s="2"/>
      <c r="AU14" s="2"/>
      <c r="AV14" s="2"/>
      <c r="AW14" s="2"/>
    </row>
    <row r="15" spans="1:53"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AT15" s="2"/>
      <c r="AU15" s="2"/>
      <c r="AV15" s="2"/>
      <c r="AW15" s="2"/>
    </row>
    <row r="16" spans="1:53"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AT16" s="2"/>
      <c r="AU16" s="2"/>
      <c r="AV16" s="2"/>
      <c r="AW16" s="2"/>
    </row>
    <row r="17" spans="2:49"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AT17" s="2"/>
      <c r="AU17" s="2"/>
      <c r="AV17" s="2"/>
      <c r="AW17" s="2"/>
    </row>
    <row r="18" spans="2:49"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AT18" s="2"/>
      <c r="AU18" s="2"/>
      <c r="AV18" s="2"/>
      <c r="AW18" s="2"/>
    </row>
    <row r="19" spans="2:49"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AT19" s="2"/>
      <c r="AU19" s="2"/>
      <c r="AV19" s="2"/>
      <c r="AW19" s="2"/>
    </row>
    <row r="20" spans="2:49"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AT20" s="2"/>
      <c r="AU20" s="2"/>
      <c r="AV20" s="2"/>
      <c r="AW20" s="2"/>
    </row>
    <row r="21" spans="2:49"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AT21" s="2"/>
      <c r="AU21" s="2"/>
      <c r="AV21" s="2"/>
      <c r="AW21" s="2"/>
    </row>
    <row r="22" spans="2:49"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AT22" s="2"/>
      <c r="AU22" s="2"/>
      <c r="AV22" s="2"/>
      <c r="AW22" s="2"/>
    </row>
    <row r="23" spans="2:49"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AT23" s="2"/>
      <c r="AU23" s="2"/>
      <c r="AV23" s="2"/>
      <c r="AW23" s="2"/>
    </row>
    <row r="24" spans="2:49"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AT24" s="2"/>
      <c r="AU24" s="2"/>
      <c r="AV24" s="2"/>
      <c r="AW24" s="2"/>
    </row>
    <row r="25" spans="2:49"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AT25" s="2"/>
      <c r="AU25" s="2"/>
      <c r="AV25" s="2"/>
      <c r="AW25" s="2"/>
    </row>
    <row r="26" spans="2:49"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AT26" s="2"/>
      <c r="AU26" s="2"/>
      <c r="AV26" s="2"/>
      <c r="AW26" s="2"/>
    </row>
    <row r="27" spans="2:49"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AT27" s="2"/>
      <c r="AU27" s="2"/>
      <c r="AV27" s="2"/>
      <c r="AW27" s="2"/>
    </row>
    <row r="28" spans="2:49"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AT28" s="2"/>
      <c r="AU28" s="2"/>
      <c r="AV28" s="2"/>
      <c r="AW28" s="2"/>
    </row>
    <row r="29" spans="2:49"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AT29" s="2"/>
      <c r="AU29" s="2"/>
      <c r="AV29" s="2"/>
      <c r="AW29" s="2"/>
    </row>
    <row r="30" spans="2:49"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AT30" s="2"/>
      <c r="AU30" s="2"/>
      <c r="AV30" s="2"/>
      <c r="AW30" s="2"/>
    </row>
    <row r="31" spans="2:49"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AT31" s="2"/>
      <c r="AU31" s="2"/>
      <c r="AV31" s="2"/>
      <c r="AW31" s="2"/>
    </row>
    <row r="32" spans="2:49"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AT32" s="2"/>
      <c r="AU32" s="2"/>
      <c r="AV32" s="2"/>
      <c r="AW32" s="2"/>
    </row>
    <row r="33" spans="2:49"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AT33" s="2"/>
      <c r="AU33" s="2"/>
      <c r="AV33" s="2"/>
      <c r="AW33" s="2"/>
    </row>
    <row r="34" spans="2:49"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</row>
  </sheetData>
  <mergeCells count="9">
    <mergeCell ref="AD2:AG2"/>
    <mergeCell ref="AH2:AK2"/>
    <mergeCell ref="AL2:AM2"/>
    <mergeCell ref="B2:E2"/>
    <mergeCell ref="J2:M2"/>
    <mergeCell ref="N2:Q2"/>
    <mergeCell ref="R2:U2"/>
    <mergeCell ref="V2:Y2"/>
    <mergeCell ref="Z2:AC2"/>
  </mergeCells>
  <dataValidations count="1">
    <dataValidation allowBlank="1" showInputMessage="1" showErrorMessage="1" sqref="AD6 A6:B6 R6 J6 AH6 AL6:AM6" xr:uid="{15C7A8A1-CB9A-4B26-BB7C-7813EA4B1DF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A7FA-5AB6-4261-8C05-1AC350647D1D}">
  <dimension ref="A1:K10"/>
  <sheetViews>
    <sheetView topLeftCell="A21" workbookViewId="0">
      <selection activeCell="A2" sqref="A2"/>
    </sheetView>
  </sheetViews>
  <sheetFormatPr defaultRowHeight="15"/>
  <cols>
    <col min="1" max="1" width="24.7109375" customWidth="1"/>
    <col min="2" max="11" width="19" customWidth="1"/>
  </cols>
  <sheetData>
    <row r="1" spans="1:11">
      <c r="A1" s="84" t="s">
        <v>94</v>
      </c>
      <c r="B1" s="84" t="s">
        <v>1</v>
      </c>
      <c r="C1" s="84" t="s">
        <v>2</v>
      </c>
      <c r="D1" s="84" t="s">
        <v>3</v>
      </c>
      <c r="E1" s="84" t="s">
        <v>95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73"/>
    </row>
    <row r="2" spans="1:11">
      <c r="A2" s="82" t="s">
        <v>17</v>
      </c>
      <c r="B2" s="83">
        <f>'1_Summary at PL'!C4</f>
        <v>65650</v>
      </c>
      <c r="C2" s="83">
        <f>'1_Summary at PL'!F4</f>
        <v>65650</v>
      </c>
      <c r="D2" s="83">
        <f>'1_Summary at PL'!I4</f>
        <v>66150</v>
      </c>
      <c r="E2" s="83">
        <f>'1_Summary at PL'!L4</f>
        <v>65150</v>
      </c>
      <c r="F2" s="83">
        <f>'1_Summary at PL'!O4</f>
        <v>66650</v>
      </c>
      <c r="G2" s="83">
        <f>'1_Summary at PL'!R4</f>
        <v>65650</v>
      </c>
      <c r="H2" s="83">
        <f>'1_Summary at PL'!U4</f>
        <v>66150</v>
      </c>
      <c r="I2" s="83">
        <f>'1_Summary at PL'!X4</f>
        <v>65650</v>
      </c>
      <c r="J2" s="83">
        <f>'1_Summary at PL'!AA4</f>
        <v>66150</v>
      </c>
      <c r="K2" s="73"/>
    </row>
    <row r="3" spans="1:11">
      <c r="A3" s="76" t="s">
        <v>18</v>
      </c>
      <c r="B3" s="77">
        <f>'1_Summary at PL'!C5</f>
        <v>62850</v>
      </c>
      <c r="C3" s="77">
        <f>'1_Summary at PL'!F5</f>
        <v>62850</v>
      </c>
      <c r="D3" s="77">
        <f>'1_Summary at PL'!I5</f>
        <v>62850</v>
      </c>
      <c r="E3" s="77">
        <f>'1_Summary at PL'!L5</f>
        <v>62850</v>
      </c>
      <c r="F3" s="77">
        <f>'1_Summary at PL'!O5</f>
        <v>62850</v>
      </c>
      <c r="G3" s="77">
        <f>'1_Summary at PL'!R5</f>
        <v>62850</v>
      </c>
      <c r="H3" s="77">
        <f>'1_Summary at PL'!U5</f>
        <v>62850</v>
      </c>
      <c r="I3" s="77">
        <f>'1_Summary at PL'!X5</f>
        <v>63350</v>
      </c>
      <c r="J3" s="77">
        <f>'1_Summary at PL'!AA5</f>
        <v>64350</v>
      </c>
      <c r="K3" s="73"/>
    </row>
    <row r="4" spans="1:11">
      <c r="A4" s="74" t="s">
        <v>19</v>
      </c>
      <c r="B4" s="75">
        <f>'1_Summary at PL'!C6</f>
        <v>62100</v>
      </c>
      <c r="C4" s="75">
        <f>'1_Summary at PL'!F6</f>
        <v>58650</v>
      </c>
      <c r="D4" s="75">
        <f>'1_Summary at PL'!I6</f>
        <v>62600</v>
      </c>
      <c r="E4" s="75">
        <f>'1_Summary at PL'!L6</f>
        <v>61850</v>
      </c>
      <c r="F4" s="75">
        <f>'1_Summary at PL'!O6</f>
        <v>62850</v>
      </c>
      <c r="G4" s="75">
        <f>'1_Summary at PL'!R6</f>
        <v>62100</v>
      </c>
      <c r="H4" s="75">
        <f>'1_Summary at PL'!U6</f>
        <v>62850</v>
      </c>
      <c r="I4" s="75">
        <f>'1_Summary at PL'!X6</f>
        <v>62850</v>
      </c>
      <c r="J4" s="75">
        <f>'1_Summary at PL'!AA6</f>
        <v>62850</v>
      </c>
      <c r="K4" s="73"/>
    </row>
    <row r="5" spans="1:11">
      <c r="A5" s="76" t="s">
        <v>21</v>
      </c>
      <c r="B5" s="77">
        <f>'1_Summary at PL'!C7</f>
        <v>61750</v>
      </c>
      <c r="C5" s="77">
        <f>'1_Summary at PL'!F7</f>
        <v>61750</v>
      </c>
      <c r="D5" s="77">
        <f>'1_Summary at PL'!I7</f>
        <v>61500</v>
      </c>
      <c r="E5" s="77">
        <f>'1_Summary at PL'!L7</f>
        <v>61250</v>
      </c>
      <c r="F5" s="77">
        <f>'1_Summary at PL'!O7</f>
        <v>62250</v>
      </c>
      <c r="G5" s="77">
        <f>'1_Summary at PL'!R7</f>
        <v>61750</v>
      </c>
      <c r="H5" s="77">
        <f>'1_Summary at PL'!U7</f>
        <v>62250</v>
      </c>
      <c r="I5" s="77">
        <f>'1_Summary at PL'!X7</f>
        <v>62750</v>
      </c>
      <c r="J5" s="77">
        <f>'1_Summary at PL'!AA7</f>
        <v>63750</v>
      </c>
      <c r="K5" s="73"/>
    </row>
    <row r="6" spans="1:11">
      <c r="A6" s="78" t="s">
        <v>22</v>
      </c>
      <c r="B6" s="79">
        <f>'1_Summary at PL'!C8</f>
        <v>60700</v>
      </c>
      <c r="C6" s="79">
        <f>'1_Summary at PL'!F8</f>
        <v>60700</v>
      </c>
      <c r="D6" s="79">
        <f>'1_Summary at PL'!I8</f>
        <v>60700</v>
      </c>
      <c r="E6" s="79">
        <f>'1_Summary at PL'!L8</f>
        <v>60700</v>
      </c>
      <c r="F6" s="79">
        <f>'1_Summary at PL'!O8</f>
        <v>60950</v>
      </c>
      <c r="G6" s="79">
        <f>'1_Summary at PL'!R8</f>
        <v>60700</v>
      </c>
      <c r="H6" s="79">
        <f>'1_Summary at PL'!U8</f>
        <v>61200</v>
      </c>
      <c r="I6" s="79">
        <f>'1_Summary at PL'!X8</f>
        <v>61700</v>
      </c>
      <c r="J6" s="79">
        <f>'1_Summary at PL'!AA8</f>
        <v>62700</v>
      </c>
      <c r="K6" s="73"/>
    </row>
    <row r="7" spans="1:11">
      <c r="A7" s="78" t="s">
        <v>24</v>
      </c>
      <c r="B7" s="79">
        <f>'1_Summary at PL'!C10</f>
        <v>59700</v>
      </c>
      <c r="C7" s="79">
        <f>'1_Summary at PL'!F10</f>
        <v>59700</v>
      </c>
      <c r="D7" s="79">
        <f>'1_Summary at PL'!I10</f>
        <v>59700</v>
      </c>
      <c r="E7" s="79">
        <f>'1_Summary at PL'!L10</f>
        <v>59700</v>
      </c>
      <c r="F7" s="79">
        <f>'1_Summary at PL'!O10</f>
        <v>59950</v>
      </c>
      <c r="G7" s="79">
        <f>'1_Summary at PL'!R10</f>
        <v>59700</v>
      </c>
      <c r="H7" s="79">
        <f>'1_Summary at PL'!U10</f>
        <v>59700</v>
      </c>
      <c r="I7" s="79">
        <f>'1_Summary at PL'!X10</f>
        <v>60200</v>
      </c>
      <c r="J7" s="79">
        <f>'1_Summary at PL'!AA10</f>
        <v>61200</v>
      </c>
      <c r="K7" s="73"/>
    </row>
    <row r="8" spans="1:11">
      <c r="A8" s="74" t="s">
        <v>96</v>
      </c>
      <c r="B8" s="75">
        <f>'1_Summary at PL'!C11</f>
        <v>52650</v>
      </c>
      <c r="C8" s="75">
        <f>'1_Summary at PL'!F11</f>
        <v>52650</v>
      </c>
      <c r="D8" s="75">
        <f>'1_Summary at PL'!I11</f>
        <v>49550</v>
      </c>
      <c r="E8" s="75">
        <f>'1_Summary at PL'!L11</f>
        <v>52150</v>
      </c>
      <c r="F8" s="75">
        <f>'1_Summary at PL'!O11</f>
        <v>50750</v>
      </c>
      <c r="G8" s="75">
        <f>'1_Summary at PL'!R11</f>
        <v>51250</v>
      </c>
      <c r="H8" s="75">
        <f>'1_Summary at PL'!U11</f>
        <v>52150</v>
      </c>
      <c r="I8" s="75">
        <f>'1_Summary at PL'!X11</f>
        <v>50750</v>
      </c>
      <c r="J8" s="75">
        <f>'1_Summary at PL'!AA11</f>
        <v>51750</v>
      </c>
      <c r="K8" s="73"/>
    </row>
    <row r="9" spans="1:11">
      <c r="A9" s="80" t="s">
        <v>26</v>
      </c>
      <c r="B9" s="81">
        <f>'1_Summary at PL'!C12</f>
        <v>51650</v>
      </c>
      <c r="C9" s="81">
        <f>'1_Summary at PL'!F12</f>
        <v>51650</v>
      </c>
      <c r="D9" s="81">
        <f>'1_Summary at PL'!I12</f>
        <v>48550</v>
      </c>
      <c r="E9" s="81">
        <f>'1_Summary at PL'!L12</f>
        <v>51150</v>
      </c>
      <c r="F9" s="81">
        <f>'1_Summary at PL'!O12</f>
        <v>49750</v>
      </c>
      <c r="G9" s="81">
        <f>'1_Summary at PL'!R12</f>
        <v>49750</v>
      </c>
      <c r="H9" s="81">
        <f>'1_Summary at PL'!U12</f>
        <v>51650</v>
      </c>
      <c r="I9" s="81">
        <f>'1_Summary at PL'!X12</f>
        <v>49750</v>
      </c>
      <c r="J9" s="81">
        <f>'1_Summary at PL'!AA12</f>
        <v>50750</v>
      </c>
      <c r="K9" s="73"/>
    </row>
    <row r="10" spans="1:1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F868649F798439A3CFEC3346B2416" ma:contentTypeVersion="4" ma:contentTypeDescription="Create a new document." ma:contentTypeScope="" ma:versionID="cfdafb41ebbc8511b97b9f39e46f05d2">
  <xsd:schema xmlns:xsd="http://www.w3.org/2001/XMLSchema" xmlns:xs="http://www.w3.org/2001/XMLSchema" xmlns:p="http://schemas.microsoft.com/office/2006/metadata/properties" xmlns:ns2="5da9c72a-7fd0-4e3d-b06d-9997d20ea30f" targetNamespace="http://schemas.microsoft.com/office/2006/metadata/properties" ma:root="true" ma:fieldsID="903146a611de93bd119f6c448220dd01" ns2:_="">
    <xsd:import namespace="5da9c72a-7fd0-4e3d-b06d-9997d20ea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9c72a-7fd0-4e3d-b06d-9997d20ea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A0B3E9-40E3-41D8-A51C-8418003BFCE1}"/>
</file>

<file path=customXml/itemProps2.xml><?xml version="1.0" encoding="utf-8"?>
<ds:datastoreItem xmlns:ds="http://schemas.openxmlformats.org/officeDocument/2006/customXml" ds:itemID="{ECDFA4D6-1AA3-4879-AB97-0EDAEB4BCE9E}"/>
</file>

<file path=customXml/itemProps3.xml><?xml version="1.0" encoding="utf-8"?>
<ds:datastoreItem xmlns:ds="http://schemas.openxmlformats.org/officeDocument/2006/customXml" ds:itemID="{424DB1FD-E680-4605-932D-EC65753B6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2026-03-09T16:47:19Z</dcterms:created>
  <dcterms:modified xsi:type="dcterms:W3CDTF">2026-03-10T04:55:13Z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0x010100FE0F868649F798439A3CFEC3346B2416</vt:lpwstr>
  </property>
</Properties>
</file>