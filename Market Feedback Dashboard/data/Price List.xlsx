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750933\Downloads\"/>
    </mc:Choice>
  </mc:AlternateContent>
  <xr:revisionPtr revIDLastSave="0" documentId="8_{B5B9AFCC-47C6-4943-AFB4-13C0FBB4DD89}" xr6:coauthVersionLast="47" xr6:coauthVersionMax="47" xr10:uidLastSave="{00000000-0000-0000-0000-000000000000}"/>
  <bookViews>
    <workbookView xWindow="120" yWindow="20" windowWidth="18960" windowHeight="11330" firstSheet="11" activeTab="11" xr2:uid="{00000000-000D-0000-FFFF-FFFF00000000}"/>
  </bookViews>
  <sheets>
    <sheet name="16th Jan-26" sheetId="4" r:id="rId1"/>
    <sheet name="19th Jan-26" sheetId="5" r:id="rId2"/>
    <sheet name="21st Jan-26" sheetId="6" r:id="rId3"/>
    <sheet name="24th Jan-26" sheetId="7" r:id="rId4"/>
    <sheet name="28th Jan-26" sheetId="8" r:id="rId5"/>
    <sheet name="01st Feb-26" sheetId="9" r:id="rId6"/>
    <sheet name="05th Feb-26" sheetId="10" r:id="rId7"/>
    <sheet name="07th Feb -26" sheetId="11" r:id="rId8"/>
    <sheet name="16th Feb - 26" sheetId="12" r:id="rId9"/>
    <sheet name="2nd Mar-26" sheetId="13" r:id="rId10"/>
    <sheet name="5th Mar-26" sheetId="14" r:id="rId11"/>
    <sheet name="16th Mar-26" sheetId="15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5" l="1"/>
  <c r="F9" i="15"/>
  <c r="J8" i="15"/>
  <c r="F8" i="15"/>
  <c r="J7" i="15"/>
  <c r="F7" i="15"/>
  <c r="J6" i="15"/>
  <c r="F6" i="15"/>
  <c r="J5" i="15"/>
  <c r="F5" i="15"/>
  <c r="J4" i="15"/>
  <c r="F4" i="15"/>
  <c r="J3" i="15"/>
  <c r="F3" i="15"/>
  <c r="J16" i="9"/>
  <c r="J24" i="4"/>
  <c r="J24" i="5"/>
  <c r="J24" i="6"/>
  <c r="J24" i="7"/>
  <c r="J24" i="8"/>
  <c r="J24" i="9"/>
  <c r="J24" i="10"/>
  <c r="J24" i="11"/>
  <c r="J24" i="12"/>
  <c r="J24" i="13"/>
  <c r="J24" i="14"/>
  <c r="J9" i="14"/>
  <c r="F9" i="14"/>
  <c r="J8" i="14"/>
  <c r="F8" i="14"/>
  <c r="J7" i="14"/>
  <c r="F7" i="14"/>
  <c r="J6" i="14"/>
  <c r="F6" i="14"/>
  <c r="J5" i="14"/>
  <c r="F5" i="14"/>
  <c r="J4" i="14"/>
  <c r="F4" i="14"/>
  <c r="J3" i="14"/>
  <c r="F3" i="14"/>
  <c r="J9" i="13"/>
  <c r="F9" i="13"/>
  <c r="J8" i="13"/>
  <c r="F8" i="13"/>
  <c r="J7" i="13"/>
  <c r="F7" i="13"/>
  <c r="J6" i="13"/>
  <c r="F6" i="13"/>
  <c r="J5" i="13"/>
  <c r="F5" i="13"/>
  <c r="J4" i="13"/>
  <c r="F4" i="13"/>
  <c r="J3" i="13"/>
  <c r="F3" i="13"/>
  <c r="J9" i="12"/>
  <c r="F9" i="12"/>
  <c r="J8" i="12"/>
  <c r="F8" i="12"/>
  <c r="J7" i="12"/>
  <c r="F7" i="12"/>
  <c r="J6" i="12"/>
  <c r="F6" i="12"/>
  <c r="J5" i="12"/>
  <c r="F5" i="12"/>
  <c r="J4" i="12"/>
  <c r="F4" i="12"/>
  <c r="J3" i="12"/>
  <c r="F3" i="12"/>
  <c r="J9" i="11"/>
  <c r="F9" i="11"/>
  <c r="J8" i="11"/>
  <c r="F8" i="11"/>
  <c r="J7" i="11"/>
  <c r="F7" i="11"/>
  <c r="J6" i="11"/>
  <c r="F6" i="11"/>
  <c r="J5" i="11"/>
  <c r="F5" i="11"/>
  <c r="J4" i="11"/>
  <c r="F4" i="11"/>
  <c r="J3" i="11"/>
  <c r="F3" i="11"/>
  <c r="F9" i="10"/>
  <c r="J9" i="10"/>
  <c r="J8" i="10"/>
  <c r="F8" i="10"/>
  <c r="J7" i="10"/>
  <c r="F7" i="10"/>
  <c r="J6" i="10"/>
  <c r="F6" i="10"/>
  <c r="J5" i="10"/>
  <c r="F5" i="10"/>
  <c r="J4" i="10"/>
  <c r="F4" i="10"/>
  <c r="J3" i="10"/>
  <c r="F3" i="10"/>
  <c r="J9" i="9"/>
  <c r="F9" i="9"/>
  <c r="J8" i="9"/>
  <c r="F8" i="9"/>
  <c r="J7" i="9"/>
  <c r="F7" i="9"/>
  <c r="J6" i="9"/>
  <c r="F6" i="9"/>
  <c r="J5" i="9"/>
  <c r="F5" i="9"/>
  <c r="J4" i="9"/>
  <c r="F4" i="9"/>
  <c r="J3" i="9"/>
  <c r="F3" i="9"/>
  <c r="J9" i="8"/>
  <c r="F9" i="8"/>
  <c r="J8" i="8"/>
  <c r="F8" i="8"/>
  <c r="J7" i="8"/>
  <c r="F7" i="8"/>
  <c r="J6" i="8"/>
  <c r="F6" i="8"/>
  <c r="J5" i="8"/>
  <c r="F5" i="8"/>
  <c r="J4" i="8"/>
  <c r="F4" i="8"/>
  <c r="J3" i="8"/>
  <c r="F3" i="8"/>
  <c r="F9" i="7"/>
  <c r="J9" i="7"/>
  <c r="J8" i="7"/>
  <c r="F8" i="7"/>
  <c r="J7" i="7"/>
  <c r="F7" i="7"/>
  <c r="J6" i="7"/>
  <c r="F6" i="7"/>
  <c r="J5" i="7"/>
  <c r="F5" i="7"/>
  <c r="J4" i="7"/>
  <c r="F4" i="7"/>
  <c r="J3" i="7"/>
  <c r="F3" i="7"/>
  <c r="F9" i="6"/>
  <c r="J9" i="6"/>
  <c r="J8" i="6"/>
  <c r="F8" i="6"/>
  <c r="J7" i="6"/>
  <c r="F7" i="6"/>
  <c r="J6" i="6"/>
  <c r="F6" i="6"/>
  <c r="J5" i="6"/>
  <c r="F5" i="6"/>
  <c r="J4" i="6"/>
  <c r="F4" i="6"/>
  <c r="J3" i="6"/>
  <c r="F3" i="6"/>
  <c r="J9" i="5"/>
  <c r="J16" i="5"/>
  <c r="J15" i="5"/>
  <c r="J13" i="5"/>
  <c r="J12" i="5"/>
  <c r="J11" i="5"/>
  <c r="J10" i="5"/>
  <c r="F9" i="5"/>
  <c r="J8" i="5"/>
  <c r="F8" i="5"/>
  <c r="J7" i="5"/>
  <c r="F7" i="5"/>
  <c r="J6" i="5"/>
  <c r="F6" i="5"/>
  <c r="J5" i="5"/>
  <c r="F5" i="5"/>
  <c r="J4" i="5"/>
  <c r="F4" i="5"/>
  <c r="J3" i="5"/>
  <c r="F3" i="5"/>
  <c r="F9" i="4"/>
  <c r="F25" i="4"/>
  <c r="F24" i="4"/>
  <c r="F22" i="4"/>
  <c r="F21" i="4"/>
  <c r="F20" i="4"/>
  <c r="F19" i="4"/>
  <c r="J16" i="4"/>
  <c r="F16" i="4"/>
  <c r="J15" i="4"/>
  <c r="F15" i="4"/>
  <c r="J13" i="4"/>
  <c r="F13" i="4"/>
  <c r="J12" i="4"/>
  <c r="F12" i="4"/>
  <c r="J11" i="4"/>
  <c r="F11" i="4"/>
  <c r="J10" i="4"/>
  <c r="F10" i="4"/>
  <c r="J8" i="4"/>
  <c r="F8" i="4"/>
  <c r="J7" i="4"/>
  <c r="F7" i="4"/>
  <c r="J6" i="4"/>
  <c r="J5" i="4"/>
  <c r="F5" i="4"/>
  <c r="J4" i="4"/>
  <c r="F4" i="4"/>
  <c r="J3" i="4"/>
  <c r="F3" i="4"/>
  <c r="F25" i="15" l="1"/>
  <c r="F24" i="15"/>
  <c r="F22" i="15"/>
  <c r="F21" i="15"/>
  <c r="F20" i="15"/>
  <c r="F19" i="15"/>
  <c r="F18" i="15"/>
  <c r="F16" i="15"/>
  <c r="F15" i="15"/>
  <c r="F13" i="15"/>
  <c r="F12" i="15"/>
  <c r="F11" i="15"/>
  <c r="F10" i="15"/>
  <c r="J24" i="15"/>
  <c r="J16" i="15"/>
  <c r="J15" i="15"/>
  <c r="J13" i="15"/>
  <c r="J12" i="15"/>
  <c r="J11" i="15"/>
  <c r="J10" i="15"/>
  <c r="F25" i="14"/>
  <c r="F24" i="14"/>
  <c r="F22" i="14"/>
  <c r="F21" i="14"/>
  <c r="F20" i="14"/>
  <c r="F19" i="14"/>
  <c r="F18" i="14"/>
  <c r="F16" i="14"/>
  <c r="F15" i="14"/>
  <c r="F13" i="14"/>
  <c r="F12" i="14"/>
  <c r="F11" i="14"/>
  <c r="F10" i="14"/>
  <c r="J16" i="14"/>
  <c r="J15" i="14"/>
  <c r="J13" i="14"/>
  <c r="J12" i="14"/>
  <c r="J11" i="14"/>
  <c r="J10" i="14"/>
  <c r="F25" i="13"/>
  <c r="F24" i="13"/>
  <c r="F22" i="13"/>
  <c r="F21" i="13"/>
  <c r="F20" i="13"/>
  <c r="F19" i="13"/>
  <c r="F18" i="13"/>
  <c r="F16" i="13"/>
  <c r="F15" i="13"/>
  <c r="F13" i="13"/>
  <c r="F12" i="13"/>
  <c r="F11" i="13"/>
  <c r="F10" i="13"/>
  <c r="J16" i="13"/>
  <c r="J15" i="13"/>
  <c r="J13" i="13"/>
  <c r="J12" i="13"/>
  <c r="J11" i="13"/>
  <c r="J10" i="13"/>
  <c r="F25" i="12"/>
  <c r="F24" i="12"/>
  <c r="F22" i="12"/>
  <c r="F21" i="12"/>
  <c r="F20" i="12"/>
  <c r="F19" i="12"/>
  <c r="F18" i="12"/>
  <c r="F16" i="12"/>
  <c r="F15" i="12"/>
  <c r="F13" i="12"/>
  <c r="F12" i="12"/>
  <c r="F11" i="12"/>
  <c r="F10" i="12"/>
  <c r="J16" i="12"/>
  <c r="J15" i="12"/>
  <c r="J13" i="12"/>
  <c r="J12" i="12"/>
  <c r="J11" i="12"/>
  <c r="J10" i="12"/>
  <c r="F25" i="11"/>
  <c r="F24" i="11"/>
  <c r="F22" i="11"/>
  <c r="F21" i="11"/>
  <c r="F20" i="11"/>
  <c r="F19" i="11"/>
  <c r="F18" i="11"/>
  <c r="F16" i="11"/>
  <c r="F15" i="11"/>
  <c r="F13" i="11"/>
  <c r="F12" i="11"/>
  <c r="F11" i="11"/>
  <c r="F10" i="11"/>
  <c r="J16" i="11"/>
  <c r="J15" i="11"/>
  <c r="J13" i="11"/>
  <c r="J12" i="11"/>
  <c r="J11" i="11"/>
  <c r="J10" i="11"/>
  <c r="F25" i="10"/>
  <c r="F24" i="10"/>
  <c r="F22" i="10"/>
  <c r="F21" i="10"/>
  <c r="F20" i="10"/>
  <c r="F19" i="10"/>
  <c r="F18" i="10"/>
  <c r="F16" i="10"/>
  <c r="F15" i="10"/>
  <c r="F13" i="10"/>
  <c r="F12" i="10"/>
  <c r="F11" i="10"/>
  <c r="F10" i="10"/>
  <c r="J16" i="10"/>
  <c r="J15" i="10"/>
  <c r="J13" i="10"/>
  <c r="J12" i="10"/>
  <c r="J11" i="10"/>
  <c r="J10" i="10"/>
  <c r="F25" i="9"/>
  <c r="F24" i="9"/>
  <c r="F22" i="9"/>
  <c r="F21" i="9"/>
  <c r="F20" i="9"/>
  <c r="F19" i="9"/>
  <c r="F18" i="9"/>
  <c r="F16" i="9"/>
  <c r="F15" i="9"/>
  <c r="F13" i="9"/>
  <c r="F12" i="9"/>
  <c r="F11" i="9"/>
  <c r="F10" i="9"/>
  <c r="J15" i="9"/>
  <c r="J13" i="9"/>
  <c r="J12" i="9"/>
  <c r="J11" i="9"/>
  <c r="J10" i="9"/>
  <c r="F25" i="8"/>
  <c r="F24" i="8"/>
  <c r="F22" i="8"/>
  <c r="F21" i="8"/>
  <c r="F20" i="8"/>
  <c r="F19" i="8"/>
  <c r="F18" i="8"/>
  <c r="F16" i="8"/>
  <c r="F15" i="8"/>
  <c r="F13" i="8"/>
  <c r="F12" i="8"/>
  <c r="F11" i="8"/>
  <c r="F10" i="8"/>
  <c r="J16" i="8"/>
  <c r="J15" i="8"/>
  <c r="J13" i="8"/>
  <c r="J12" i="8"/>
  <c r="J11" i="8"/>
  <c r="J10" i="8"/>
  <c r="F25" i="7"/>
  <c r="F24" i="7"/>
  <c r="F22" i="7"/>
  <c r="F21" i="7"/>
  <c r="F20" i="7"/>
  <c r="F19" i="7"/>
  <c r="F18" i="7"/>
  <c r="F16" i="7"/>
  <c r="F15" i="7"/>
  <c r="F13" i="7"/>
  <c r="F12" i="7"/>
  <c r="F11" i="7"/>
  <c r="F10" i="7"/>
  <c r="J16" i="7"/>
  <c r="J15" i="7"/>
  <c r="J13" i="7"/>
  <c r="J12" i="7"/>
  <c r="J11" i="7"/>
  <c r="J10" i="7"/>
  <c r="F25" i="6"/>
  <c r="F24" i="6"/>
  <c r="F22" i="6"/>
  <c r="F21" i="6"/>
  <c r="F20" i="6"/>
  <c r="F19" i="6"/>
  <c r="F18" i="6"/>
  <c r="F16" i="6"/>
  <c r="F15" i="6"/>
  <c r="F13" i="6"/>
  <c r="F12" i="6"/>
  <c r="F11" i="6"/>
  <c r="F10" i="6"/>
  <c r="J16" i="6"/>
  <c r="J15" i="6"/>
  <c r="J13" i="6"/>
  <c r="J12" i="6"/>
  <c r="J11" i="6"/>
  <c r="J10" i="6"/>
  <c r="F25" i="5"/>
  <c r="F24" i="5"/>
  <c r="F22" i="5"/>
  <c r="F21" i="5"/>
  <c r="F20" i="5"/>
  <c r="F19" i="5"/>
  <c r="F18" i="5"/>
  <c r="F16" i="5"/>
  <c r="F15" i="5"/>
  <c r="F13" i="5"/>
  <c r="F12" i="5"/>
  <c r="F11" i="5"/>
  <c r="F10" i="5"/>
  <c r="F18" i="4"/>
  <c r="F6" i="4"/>
</calcChain>
</file>

<file path=xl/sharedStrings.xml><?xml version="1.0" encoding="utf-8"?>
<sst xmlns="http://schemas.openxmlformats.org/spreadsheetml/2006/main" count="720" uniqueCount="139">
  <si>
    <t>Reference JODL/ TMT / Jan/ 2025-26/M6</t>
  </si>
  <si>
    <r>
      <rPr>
        <sz val="8"/>
        <color rgb="FF000000"/>
        <rFont val="Verdana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b/>
        <sz val="8"/>
        <color rgb="FF000000"/>
        <rFont val="Verdana"/>
      </rPr>
      <t xml:space="preserve">Annexure - 1
JSW ONE DISTRIBUTION LIMITED TMT
('IS 1786 </t>
    </r>
    <r>
      <rPr>
        <b/>
        <sz val="8"/>
        <color rgb="FFFF0000"/>
        <rFont val="Verdana"/>
      </rPr>
      <t>Gr. Fe-550 / Fe-500D ... 12-32 mm ... TMT Bend Lengths</t>
    </r>
    <r>
      <rPr>
        <b/>
        <sz val="8"/>
        <color rgb="FF000000"/>
        <rFont val="Verdana"/>
      </rPr>
      <t xml:space="preserve"> in conformance to  the Quality Order Norms issued by Ministry of Steel)
DOMESTIC SALES: RETAIL/OEM
Validity: 16th to 31st Jan’26
Previous Price Guideline: Reference JODL/ TMT / Jan 2025-26</t>
    </r>
  </si>
  <si>
    <t>Date:-16-01-2026</t>
  </si>
  <si>
    <r>
      <rPr>
        <b/>
        <sz val="7"/>
        <rFont val="Verdana"/>
        <family val="2"/>
      </rPr>
      <t>Sr No</t>
    </r>
  </si>
  <si>
    <r>
      <rPr>
        <b/>
        <sz val="7"/>
        <rFont val="Verdana"/>
        <family val="2"/>
      </rPr>
      <t>State</t>
    </r>
  </si>
  <si>
    <r>
      <rPr>
        <b/>
        <sz val="7"/>
        <rFont val="Verdana"/>
        <family val="2"/>
      </rPr>
      <t>Major city</t>
    </r>
  </si>
  <si>
    <t>Basic price + Frt:  Gr. FE-550 12 mm to 32 mm: (excludes GST)</t>
  </si>
  <si>
    <r>
      <rPr>
        <b/>
        <sz val="7"/>
        <rFont val="Verdana"/>
        <family val="2"/>
      </rPr>
      <t>Fe 550D</t>
    </r>
  </si>
  <si>
    <r>
      <rPr>
        <sz val="8"/>
        <rFont val="Verdana"/>
        <family val="2"/>
      </rPr>
      <t>Kashmir</t>
    </r>
  </si>
  <si>
    <r>
      <rPr>
        <sz val="8"/>
        <rFont val="Verdana"/>
        <family val="2"/>
      </rPr>
      <t>Srinagar</t>
    </r>
  </si>
  <si>
    <r>
      <rPr>
        <sz val="8"/>
        <rFont val="Verdana"/>
        <family val="2"/>
      </rPr>
      <t>Jammu</t>
    </r>
  </si>
  <si>
    <r>
      <rPr>
        <sz val="8"/>
        <rFont val="Verdana"/>
        <family val="2"/>
      </rPr>
      <t>Chandigarh</t>
    </r>
  </si>
  <si>
    <r>
      <rPr>
        <sz val="8"/>
        <rFont val="Verdana"/>
        <family val="2"/>
      </rPr>
      <t>Himachal Pradesh</t>
    </r>
  </si>
  <si>
    <r>
      <rPr>
        <sz val="8"/>
        <rFont val="Verdana"/>
        <family val="2"/>
      </rPr>
      <t>Shimla</t>
    </r>
  </si>
  <si>
    <r>
      <rPr>
        <sz val="8"/>
        <rFont val="Verdana"/>
        <family val="2"/>
      </rPr>
      <t>Uttarakhand</t>
    </r>
  </si>
  <si>
    <r>
      <rPr>
        <sz val="8"/>
        <rFont val="Verdana"/>
        <family val="2"/>
      </rPr>
      <t>Dehradun</t>
    </r>
  </si>
  <si>
    <r>
      <rPr>
        <sz val="8"/>
        <rFont val="Verdana"/>
        <family val="2"/>
      </rPr>
      <t>Punjab</t>
    </r>
  </si>
  <si>
    <r>
      <rPr>
        <sz val="8"/>
        <rFont val="Verdana"/>
        <family val="2"/>
      </rPr>
      <t>Ludhiana</t>
    </r>
  </si>
  <si>
    <r>
      <rPr>
        <sz val="8"/>
        <rFont val="Verdana"/>
        <family val="2"/>
      </rPr>
      <t>Delhi</t>
    </r>
  </si>
  <si>
    <r>
      <rPr>
        <sz val="8"/>
        <rFont val="Verdana"/>
        <family val="2"/>
      </rPr>
      <t>New Delhi</t>
    </r>
  </si>
  <si>
    <r>
      <rPr>
        <sz val="8"/>
        <rFont val="Verdana"/>
        <family val="2"/>
      </rPr>
      <t>Haryana</t>
    </r>
  </si>
  <si>
    <r>
      <rPr>
        <sz val="8"/>
        <rFont val="Verdana"/>
        <family val="2"/>
      </rPr>
      <t>Faridabad</t>
    </r>
  </si>
  <si>
    <r>
      <rPr>
        <sz val="8"/>
        <rFont val="Verdana"/>
        <family val="2"/>
      </rPr>
      <t>Rajasthan</t>
    </r>
  </si>
  <si>
    <r>
      <rPr>
        <sz val="8"/>
        <rFont val="Verdana"/>
        <family val="2"/>
      </rPr>
      <t>Jaipur</t>
    </r>
  </si>
  <si>
    <r>
      <rPr>
        <sz val="8"/>
        <rFont val="Verdana"/>
        <family val="2"/>
      </rPr>
      <t>Uttar Pradesh (West)</t>
    </r>
  </si>
  <si>
    <r>
      <rPr>
        <sz val="8"/>
        <rFont val="Verdana"/>
        <family val="2"/>
      </rPr>
      <t>Ghaziabad</t>
    </r>
  </si>
  <si>
    <r>
      <rPr>
        <sz val="8"/>
        <rFont val="Verdana"/>
        <family val="2"/>
      </rPr>
      <t>Uttar Pradesh (E+C)</t>
    </r>
  </si>
  <si>
    <r>
      <rPr>
        <sz val="8"/>
        <rFont val="Verdana"/>
        <family val="2"/>
      </rPr>
      <t>Kanpur</t>
    </r>
  </si>
  <si>
    <r>
      <rPr>
        <sz val="8"/>
        <rFont val="Verdana"/>
        <family val="2"/>
      </rPr>
      <t>Chhattisgarh</t>
    </r>
  </si>
  <si>
    <r>
      <rPr>
        <sz val="8"/>
        <rFont val="Verdana"/>
        <family val="2"/>
      </rPr>
      <t>Raipur</t>
    </r>
  </si>
  <si>
    <r>
      <rPr>
        <sz val="8"/>
        <rFont val="Verdana"/>
        <family val="2"/>
      </rPr>
      <t>Madhya Pradesh</t>
    </r>
  </si>
  <si>
    <r>
      <rPr>
        <sz val="8"/>
        <rFont val="Verdana"/>
        <family val="2"/>
      </rPr>
      <t>Indore</t>
    </r>
  </si>
  <si>
    <r>
      <rPr>
        <sz val="8"/>
        <rFont val="Verdana"/>
        <family val="2"/>
      </rPr>
      <t>Odisha</t>
    </r>
  </si>
  <si>
    <r>
      <rPr>
        <sz val="8"/>
        <rFont val="Verdana"/>
        <family val="2"/>
      </rPr>
      <t>Bhubaneshwar</t>
    </r>
  </si>
  <si>
    <r>
      <rPr>
        <sz val="8"/>
        <rFont val="Verdana"/>
        <family val="2"/>
      </rPr>
      <t>Jharkhand</t>
    </r>
  </si>
  <si>
    <r>
      <rPr>
        <sz val="8"/>
        <rFont val="Verdana"/>
        <family val="2"/>
      </rPr>
      <t>Ranchi</t>
    </r>
  </si>
  <si>
    <r>
      <rPr>
        <sz val="8"/>
        <rFont val="Verdana"/>
        <family val="2"/>
      </rPr>
      <t>Bihar</t>
    </r>
  </si>
  <si>
    <r>
      <rPr>
        <sz val="8"/>
        <rFont val="Verdana"/>
        <family val="2"/>
      </rPr>
      <t>Patna</t>
    </r>
  </si>
  <si>
    <r>
      <rPr>
        <sz val="8"/>
        <rFont val="Verdana"/>
        <family val="2"/>
      </rPr>
      <t>West Bengal</t>
    </r>
  </si>
  <si>
    <r>
      <rPr>
        <sz val="8"/>
        <rFont val="Verdana"/>
        <family val="2"/>
      </rPr>
      <t>Siliguri, Jalpaiguri, Cooch behar</t>
    </r>
  </si>
  <si>
    <r>
      <rPr>
        <sz val="8"/>
        <rFont val="Verdana"/>
        <family val="2"/>
      </rPr>
      <t>Durgapur</t>
    </r>
  </si>
  <si>
    <t>Gujarat</t>
  </si>
  <si>
    <r>
      <rPr>
        <sz val="8"/>
        <rFont val="Verdana"/>
        <family val="2"/>
      </rPr>
      <t>Ahmedabad</t>
    </r>
  </si>
  <si>
    <r>
      <rPr>
        <sz val="8"/>
        <rFont val="Verdana"/>
        <family val="2"/>
      </rPr>
      <t>Maharashtra</t>
    </r>
  </si>
  <si>
    <r>
      <rPr>
        <sz val="8"/>
        <rFont val="Verdana"/>
        <family val="2"/>
      </rPr>
      <t>Vidharbha</t>
    </r>
  </si>
  <si>
    <r>
      <rPr>
        <b/>
        <sz val="8"/>
        <rFont val="Verdana"/>
        <family val="2"/>
      </rPr>
      <t>Grade/ Dia/ Form extras</t>
    </r>
  </si>
  <si>
    <t>Applicable on above stated TMT Prices. Bend extra Rs 600/MT.</t>
  </si>
  <si>
    <r>
      <rPr>
        <b/>
        <sz val="8"/>
        <rFont val="Verdana"/>
        <family val="2"/>
      </rPr>
      <t>Dia</t>
    </r>
  </si>
  <si>
    <r>
      <rPr>
        <b/>
        <sz val="8"/>
        <rFont val="Verdana"/>
        <family val="2"/>
      </rPr>
      <t>Rs/MT</t>
    </r>
  </si>
  <si>
    <r>
      <rPr>
        <sz val="8"/>
        <rFont val="Verdana"/>
        <family val="2"/>
      </rPr>
      <t>8 mm</t>
    </r>
  </si>
  <si>
    <r>
      <rPr>
        <sz val="8"/>
        <rFont val="Verdana"/>
        <family val="2"/>
      </rPr>
      <t>+2500 (for projects)/ +3500 (for retail)</t>
    </r>
  </si>
  <si>
    <r>
      <rPr>
        <sz val="8"/>
        <rFont val="Verdana"/>
        <family val="2"/>
      </rPr>
      <t>10 mm</t>
    </r>
  </si>
  <si>
    <r>
      <rPr>
        <sz val="8"/>
        <rFont val="Verdana"/>
        <family val="2"/>
      </rPr>
      <t>+1000 (for projects)/ + 2250 (for retail)</t>
    </r>
  </si>
  <si>
    <t xml:space="preserve">
……………………………………
Product Marketing Head
 Private Brands, JODL</t>
  </si>
  <si>
    <t xml:space="preserve">
……………………………………
Business Head/Director
Private Brands, JODL</t>
  </si>
  <si>
    <t xml:space="preserve">
……………………………………
Director
Private Brands, JODL</t>
  </si>
  <si>
    <t xml:space="preserve"> </t>
  </si>
  <si>
    <t>Reference JODL/ TMT / Jan/ 2025-26/M7</t>
  </si>
  <si>
    <r>
      <rPr>
        <sz val="11"/>
        <color rgb="FF000000"/>
        <rFont val="Verdana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b/>
        <sz val="11"/>
        <color rgb="FF000000"/>
        <rFont val="Verdana"/>
      </rPr>
      <t xml:space="preserve">Annexure - 1
JSW ONE DISTRIBUTION LIMITED TMT
('IS 1786 </t>
    </r>
    <r>
      <rPr>
        <b/>
        <sz val="11"/>
        <color rgb="FFFF0000"/>
        <rFont val="Verdana"/>
      </rPr>
      <t>Gr. Fe-550 / Fe-500D ... 12-32 mm ... TMT Bend Lengths</t>
    </r>
    <r>
      <rPr>
        <b/>
        <sz val="11"/>
        <color rgb="FF000000"/>
        <rFont val="Verdana"/>
      </rPr>
      <t xml:space="preserve"> in conformance to  the Quality Order Norms issued by Ministry of Steel)
DOMESTIC SALES: RETAIL/OEM
Validity: 19th to 31st Jan’26
Previous Price Guideline: Reference JODL/ TMT / Jan 2025-26</t>
    </r>
  </si>
  <si>
    <t>Date:-19-01-2026</t>
  </si>
  <si>
    <r>
      <rPr>
        <b/>
        <sz val="11"/>
        <rFont val="Verdana"/>
        <family val="2"/>
      </rPr>
      <t>Sr No</t>
    </r>
  </si>
  <si>
    <r>
      <rPr>
        <b/>
        <sz val="11"/>
        <rFont val="Verdana"/>
        <family val="2"/>
      </rPr>
      <t>State</t>
    </r>
  </si>
  <si>
    <r>
      <rPr>
        <b/>
        <sz val="11"/>
        <rFont val="Verdana"/>
        <family val="2"/>
      </rPr>
      <t>Major city</t>
    </r>
  </si>
  <si>
    <r>
      <rPr>
        <b/>
        <sz val="11"/>
        <rFont val="Verdana"/>
        <family val="2"/>
      </rPr>
      <t>Fe 550D</t>
    </r>
  </si>
  <si>
    <r>
      <rPr>
        <sz val="11"/>
        <rFont val="Verdana"/>
        <family val="2"/>
      </rPr>
      <t>Kashmir</t>
    </r>
  </si>
  <si>
    <r>
      <rPr>
        <sz val="11"/>
        <rFont val="Verdana"/>
        <family val="2"/>
      </rPr>
      <t>Srinagar</t>
    </r>
  </si>
  <si>
    <r>
      <rPr>
        <sz val="11"/>
        <rFont val="Verdana"/>
        <family val="2"/>
      </rPr>
      <t>Jammu</t>
    </r>
  </si>
  <si>
    <r>
      <rPr>
        <sz val="11"/>
        <rFont val="Verdana"/>
        <family val="2"/>
      </rPr>
      <t>Chandigarh</t>
    </r>
  </si>
  <si>
    <r>
      <rPr>
        <sz val="11"/>
        <rFont val="Verdana"/>
        <family val="2"/>
      </rPr>
      <t>Himachal Pradesh</t>
    </r>
  </si>
  <si>
    <r>
      <rPr>
        <sz val="11"/>
        <rFont val="Verdana"/>
        <family val="2"/>
      </rPr>
      <t>Shimla</t>
    </r>
  </si>
  <si>
    <r>
      <rPr>
        <sz val="11"/>
        <rFont val="Verdana"/>
        <family val="2"/>
      </rPr>
      <t>Uttarakhand</t>
    </r>
  </si>
  <si>
    <r>
      <rPr>
        <sz val="11"/>
        <rFont val="Verdana"/>
        <family val="2"/>
      </rPr>
      <t>Dehradun</t>
    </r>
  </si>
  <si>
    <r>
      <rPr>
        <sz val="11"/>
        <rFont val="Verdana"/>
        <family val="2"/>
      </rPr>
      <t>Punjab</t>
    </r>
  </si>
  <si>
    <r>
      <rPr>
        <sz val="11"/>
        <rFont val="Verdana"/>
        <family val="2"/>
      </rPr>
      <t>Ludhiana</t>
    </r>
  </si>
  <si>
    <r>
      <rPr>
        <sz val="11"/>
        <rFont val="Verdana"/>
        <family val="2"/>
      </rPr>
      <t>Delhi</t>
    </r>
  </si>
  <si>
    <r>
      <rPr>
        <sz val="11"/>
        <rFont val="Verdana"/>
        <family val="2"/>
      </rPr>
      <t>New Delhi</t>
    </r>
  </si>
  <si>
    <r>
      <rPr>
        <sz val="11"/>
        <rFont val="Verdana"/>
        <family val="2"/>
      </rPr>
      <t>Haryana</t>
    </r>
  </si>
  <si>
    <r>
      <rPr>
        <sz val="11"/>
        <rFont val="Verdana"/>
        <family val="2"/>
      </rPr>
      <t>Faridabad</t>
    </r>
  </si>
  <si>
    <r>
      <rPr>
        <sz val="11"/>
        <rFont val="Verdana"/>
        <family val="2"/>
      </rPr>
      <t>Rajasthan</t>
    </r>
  </si>
  <si>
    <r>
      <rPr>
        <sz val="11"/>
        <rFont val="Verdana"/>
        <family val="2"/>
      </rPr>
      <t>Jaipur</t>
    </r>
  </si>
  <si>
    <r>
      <rPr>
        <sz val="11"/>
        <rFont val="Verdana"/>
        <family val="2"/>
      </rPr>
      <t>Uttar Pradesh (West)</t>
    </r>
  </si>
  <si>
    <r>
      <rPr>
        <sz val="11"/>
        <rFont val="Verdana"/>
        <family val="2"/>
      </rPr>
      <t>Ghaziabad</t>
    </r>
  </si>
  <si>
    <r>
      <rPr>
        <sz val="11"/>
        <rFont val="Verdana"/>
        <family val="2"/>
      </rPr>
      <t>Uttar Pradesh (E+C)</t>
    </r>
  </si>
  <si>
    <r>
      <rPr>
        <sz val="11"/>
        <rFont val="Verdana"/>
        <family val="2"/>
      </rPr>
      <t>Kanpur</t>
    </r>
  </si>
  <si>
    <r>
      <rPr>
        <sz val="11"/>
        <rFont val="Verdana"/>
        <family val="2"/>
      </rPr>
      <t>Chhattisgarh</t>
    </r>
  </si>
  <si>
    <r>
      <rPr>
        <sz val="11"/>
        <rFont val="Verdana"/>
        <family val="2"/>
      </rPr>
      <t>Raipur</t>
    </r>
  </si>
  <si>
    <r>
      <rPr>
        <sz val="11"/>
        <rFont val="Verdana"/>
        <family val="2"/>
      </rPr>
      <t>Madhya Pradesh</t>
    </r>
  </si>
  <si>
    <r>
      <rPr>
        <sz val="11"/>
        <rFont val="Verdana"/>
        <family val="2"/>
      </rPr>
      <t>Indore</t>
    </r>
  </si>
  <si>
    <r>
      <rPr>
        <sz val="11"/>
        <rFont val="Verdana"/>
        <family val="2"/>
      </rPr>
      <t>Odisha</t>
    </r>
  </si>
  <si>
    <r>
      <rPr>
        <sz val="11"/>
        <rFont val="Verdana"/>
        <family val="2"/>
      </rPr>
      <t>Bhubaneshwar</t>
    </r>
  </si>
  <si>
    <r>
      <rPr>
        <sz val="11"/>
        <rFont val="Verdana"/>
        <family val="2"/>
      </rPr>
      <t>Jharkhand</t>
    </r>
  </si>
  <si>
    <r>
      <rPr>
        <sz val="11"/>
        <rFont val="Verdana"/>
        <family val="2"/>
      </rPr>
      <t>Ranchi</t>
    </r>
  </si>
  <si>
    <r>
      <rPr>
        <sz val="11"/>
        <rFont val="Verdana"/>
        <family val="2"/>
      </rPr>
      <t>Bihar</t>
    </r>
  </si>
  <si>
    <r>
      <rPr>
        <sz val="11"/>
        <rFont val="Verdana"/>
        <family val="2"/>
      </rPr>
      <t>Patna</t>
    </r>
  </si>
  <si>
    <r>
      <rPr>
        <sz val="11"/>
        <rFont val="Verdana"/>
        <family val="2"/>
      </rPr>
      <t>West Bengal</t>
    </r>
  </si>
  <si>
    <r>
      <rPr>
        <sz val="11"/>
        <rFont val="Verdana"/>
        <family val="2"/>
      </rPr>
      <t>Siliguri, Jalpaiguri, Cooch behar</t>
    </r>
  </si>
  <si>
    <r>
      <rPr>
        <sz val="11"/>
        <rFont val="Verdana"/>
        <family val="2"/>
      </rPr>
      <t>Durgapur</t>
    </r>
  </si>
  <si>
    <r>
      <rPr>
        <sz val="11"/>
        <rFont val="Verdana"/>
        <family val="2"/>
      </rPr>
      <t>Ahmedabad</t>
    </r>
  </si>
  <si>
    <r>
      <rPr>
        <sz val="11"/>
        <rFont val="Verdana"/>
        <family val="2"/>
      </rPr>
      <t>Maharashtra</t>
    </r>
  </si>
  <si>
    <r>
      <rPr>
        <sz val="11"/>
        <rFont val="Verdana"/>
        <family val="2"/>
      </rPr>
      <t>Vidharbha</t>
    </r>
  </si>
  <si>
    <r>
      <rPr>
        <b/>
        <sz val="11"/>
        <rFont val="Verdana"/>
        <family val="2"/>
      </rPr>
      <t>Grade/ Dia/ Form extras</t>
    </r>
  </si>
  <si>
    <r>
      <rPr>
        <b/>
        <sz val="11"/>
        <rFont val="Verdana"/>
        <family val="2"/>
      </rPr>
      <t>Dia</t>
    </r>
  </si>
  <si>
    <r>
      <rPr>
        <b/>
        <sz val="11"/>
        <rFont val="Verdana"/>
        <family val="2"/>
      </rPr>
      <t>Rs/MT</t>
    </r>
  </si>
  <si>
    <r>
      <rPr>
        <sz val="11"/>
        <rFont val="Verdana"/>
        <family val="2"/>
      </rPr>
      <t>8 mm</t>
    </r>
  </si>
  <si>
    <r>
      <rPr>
        <sz val="11"/>
        <rFont val="Verdana"/>
        <family val="2"/>
      </rPr>
      <t>+2500 (for projects)/ +3500 (for retail)</t>
    </r>
  </si>
  <si>
    <r>
      <rPr>
        <sz val="11"/>
        <rFont val="Verdana"/>
        <family val="2"/>
      </rPr>
      <t>10 mm</t>
    </r>
  </si>
  <si>
    <r>
      <rPr>
        <sz val="11"/>
        <rFont val="Verdana"/>
        <family val="2"/>
      </rPr>
      <t>+1000 (for projects)/ + 2250 (for retail)</t>
    </r>
  </si>
  <si>
    <t>Reference JODL/ TMT / Jan/ 2025-26/M8</t>
  </si>
  <si>
    <r>
      <rPr>
        <sz val="11"/>
        <color rgb="FF000000"/>
        <rFont val="Verdana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b/>
        <sz val="11"/>
        <color rgb="FF000000"/>
        <rFont val="Verdana"/>
      </rPr>
      <t xml:space="preserve">Annexure - 1
JSW ONE DISTRIBUTION LIMITED TMT
('IS 1786 </t>
    </r>
    <r>
      <rPr>
        <b/>
        <sz val="11"/>
        <color rgb="FFFF0000"/>
        <rFont val="Verdana"/>
      </rPr>
      <t>Gr. Fe-550 / Fe-500D ... 12-32 mm ... TMT Bend Lengths</t>
    </r>
    <r>
      <rPr>
        <b/>
        <sz val="11"/>
        <color rgb="FF000000"/>
        <rFont val="Verdana"/>
      </rPr>
      <t xml:space="preserve"> in conformance to  the Quality Order Norms issued by Ministry of Steel)
DOMESTIC SALES: RETAIL/OEM
Validity: 22nd to 31st Jan’26
Previous Price Guideline: Reference JODL/ TMT / Jan 2025-26</t>
    </r>
  </si>
  <si>
    <t>Date:-21-01-2026</t>
  </si>
  <si>
    <t>Reference JODL/ TMT / Jan/ 2025-26/M9</t>
  </si>
  <si>
    <r>
      <rPr>
        <sz val="11"/>
        <color rgb="FF000000"/>
        <rFont val="Verdana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b/>
        <sz val="11"/>
        <color rgb="FF000000"/>
        <rFont val="Verdana"/>
      </rPr>
      <t xml:space="preserve">Annexure - 1
JSW ONE DISTRIBUTION LIMITED TMT
('IS 1786 </t>
    </r>
    <r>
      <rPr>
        <b/>
        <sz val="11"/>
        <color rgb="FFFF0000"/>
        <rFont val="Verdana"/>
      </rPr>
      <t>Gr. Fe-550 / Fe-500D ... 12-32 mm ... TMT Bend Lengths</t>
    </r>
    <r>
      <rPr>
        <b/>
        <sz val="11"/>
        <color rgb="FF000000"/>
        <rFont val="Verdana"/>
      </rPr>
      <t xml:space="preserve"> in conformance to  the Quality Order Norms issued by Ministry of Steel)
DOMESTIC SALES: RETAIL/OEM
Validity: 25th to 31st Jan’26
Previous Price Guideline: Reference JODL/ TMT / Jan 2025-26</t>
    </r>
  </si>
  <si>
    <t>Date:-24-01-2026</t>
  </si>
  <si>
    <t>Reference JODL/ TMT / Jan/ 2025-26/M10</t>
  </si>
  <si>
    <r>
      <rPr>
        <sz val="11"/>
        <color rgb="FF000000"/>
        <rFont val="Verdana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b/>
        <sz val="11"/>
        <color rgb="FF000000"/>
        <rFont val="Verdana"/>
      </rPr>
      <t xml:space="preserve">Annexure - 1
JSW ONE DISTRIBUTION LIMITED TMT
('IS 1786 </t>
    </r>
    <r>
      <rPr>
        <b/>
        <sz val="11"/>
        <color rgb="FFFF0000"/>
        <rFont val="Verdana"/>
      </rPr>
      <t>Gr. Fe-550 / Fe-500D ... 12-32 mm ... TMT Bend Lengths</t>
    </r>
    <r>
      <rPr>
        <b/>
        <sz val="11"/>
        <color rgb="FF000000"/>
        <rFont val="Verdana"/>
      </rPr>
      <t xml:space="preserve"> in conformance to  the Quality Order Norms issued by Ministry of Steel)
DOMESTIC SALES: RETAIL/OEM
Validity: 28th to 31st Jan’26
Previous Price Guideline: Reference JODL/ TMT / Jan 2025-26</t>
    </r>
  </si>
  <si>
    <t>Date:-28-01-2026</t>
  </si>
  <si>
    <t>Reference JODL/ TMT / Feb/ 2025-26/M1</t>
  </si>
  <si>
    <r>
      <rPr>
        <sz val="11"/>
        <color rgb="FF000000"/>
        <rFont val="Verdana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b/>
        <sz val="11"/>
        <color rgb="FF000000"/>
        <rFont val="Verdana"/>
      </rPr>
      <t xml:space="preserve">Annexure - 1
JSW ONE DISTRIBUTION LIMITED TMT
('IS 1786 </t>
    </r>
    <r>
      <rPr>
        <b/>
        <sz val="11"/>
        <color rgb="FFFF0000"/>
        <rFont val="Verdana"/>
      </rPr>
      <t>Gr. Fe-550 / Fe-500D ... 12-32 mm ... TMT Bend Lengths</t>
    </r>
    <r>
      <rPr>
        <b/>
        <sz val="11"/>
        <color rgb="FF000000"/>
        <rFont val="Verdana"/>
      </rPr>
      <t xml:space="preserve"> in conformance to  the Quality Order Norms issued by Ministry of Steel)
DOMESTIC SALES: RETAIL/OEM
Validity: 1st to 28th Feb’26
Previous Price Guideline: Reference JODL/ TMT / Feb  2025-26</t>
    </r>
  </si>
  <si>
    <t>Date:-02-02-2026</t>
  </si>
  <si>
    <t>Reference JODL/ TMT / Feb/ 2025-26/M2</t>
  </si>
  <si>
    <r>
      <rPr>
        <sz val="11"/>
        <color rgb="FF000000"/>
        <rFont val="Verdana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b/>
        <sz val="11"/>
        <color rgb="FF000000"/>
        <rFont val="Verdana"/>
      </rPr>
      <t xml:space="preserve">Annexure - 1
JSW ONE DISTRIBUTION LIMITED TMT
('IS 1786 </t>
    </r>
    <r>
      <rPr>
        <b/>
        <sz val="11"/>
        <color rgb="FFFF0000"/>
        <rFont val="Verdana"/>
      </rPr>
      <t>Gr. Fe-550 / Fe-500D ... 12-32 mm ... TMT Bend Lengths</t>
    </r>
    <r>
      <rPr>
        <b/>
        <sz val="11"/>
        <color rgb="FF000000"/>
        <rFont val="Verdana"/>
      </rPr>
      <t xml:space="preserve"> in conformance to  the Quality Order Norms issued by Ministry of Steel)
DOMESTIC SALES: RETAIL/OEM
Validity: 5th to 28th Feb’26
Previous Price Guideline: Reference JODL/ TMT / Feb  2025-26</t>
    </r>
  </si>
  <si>
    <t>Date:-05-02-2026</t>
  </si>
  <si>
    <t>Reference JODL/ TMT / Feb/ 2025-26/M3</t>
  </si>
  <si>
    <r>
      <rPr>
        <sz val="11"/>
        <color rgb="FF000000"/>
        <rFont val="Verdana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b/>
        <sz val="11"/>
        <color rgb="FF000000"/>
        <rFont val="Verdana"/>
      </rPr>
      <t xml:space="preserve">Annexure - 1
JSW ONE DISTRIBUTION LIMITED TMT
('IS 1786 </t>
    </r>
    <r>
      <rPr>
        <b/>
        <sz val="11"/>
        <color rgb="FFFF0000"/>
        <rFont val="Verdana"/>
      </rPr>
      <t xml:space="preserve">Gr. Fe-550 / Fe-500D ... 12-32 mm ... TMT Bend Lengths </t>
    </r>
    <r>
      <rPr>
        <b/>
        <sz val="11"/>
        <color rgb="FF000000"/>
        <rFont val="Verdana"/>
      </rPr>
      <t>in conformance to  the Quality Order Norms issued by Ministry of Steel)
DOMESTIC SALES: RETAIL/OEM
Validity: 7th to 28th Feb’26
Previous Price Guideline: Reference JODL/ TMT / Feb  2025-26</t>
    </r>
  </si>
  <si>
    <t>Date:-07-02-2026</t>
  </si>
  <si>
    <t>Reference JODL/ TMT / Feb/ 2025-26/M4</t>
  </si>
  <si>
    <r>
      <rPr>
        <sz val="11"/>
        <color rgb="FF000000"/>
        <rFont val="Verdana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b/>
        <sz val="11"/>
        <color rgb="FF000000"/>
        <rFont val="Verdana"/>
      </rPr>
      <t xml:space="preserve">Annexure - 1
JSW ONE DISTRIBUTION LIMITED TMT
('IS 1786 </t>
    </r>
    <r>
      <rPr>
        <b/>
        <sz val="11"/>
        <color rgb="FFFF0000"/>
        <rFont val="Verdana"/>
      </rPr>
      <t xml:space="preserve">Gr. Fe-550 / Fe-500D ... 12-32 mm ... TMT Bend Lengths </t>
    </r>
    <r>
      <rPr>
        <b/>
        <sz val="11"/>
        <color rgb="FF000000"/>
        <rFont val="Verdana"/>
      </rPr>
      <t>in conformance to  the Quality Order Norms issued by Ministry of Steel)
DOMESTIC SALES: RETAIL/OEM
Validity: 16th to 28th Feb’26
Previous Price Guideline: Reference JODL/ TMT / Feb  2025-26</t>
    </r>
  </si>
  <si>
    <t>Date:-16-02-2026</t>
  </si>
  <si>
    <t>Reference JODL/ TMT / Mar/ 2025-26/M1</t>
  </si>
  <si>
    <r>
      <rPr>
        <sz val="11"/>
        <color rgb="FF000000"/>
        <rFont val="Verdana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b/>
        <sz val="11"/>
        <color rgb="FF000000"/>
        <rFont val="Verdana"/>
      </rPr>
      <t xml:space="preserve">Annexure - 1
JSW ONE DISTRIBUTION LIMITED TMT
('IS 1786 </t>
    </r>
    <r>
      <rPr>
        <b/>
        <sz val="11"/>
        <color rgb="FFFF0000"/>
        <rFont val="Verdana"/>
      </rPr>
      <t xml:space="preserve">Gr. Fe-550 / Fe-500D ... 12-32 mm ... TMT Bend Lengths </t>
    </r>
    <r>
      <rPr>
        <b/>
        <sz val="11"/>
        <color rgb="FF000000"/>
        <rFont val="Verdana"/>
      </rPr>
      <t>in conformance to the Quality Order Norms issued by Ministry of Steel)
DOMESTIC SALES: RETAIL/OEM
Validity: 2nd to 31st Mar’26
Previous Price Guideline: Reference JODL/ TMT / Feb 2025-26</t>
    </r>
  </si>
  <si>
    <t>Date:-02-03-2026</t>
  </si>
  <si>
    <t>Reference JODL/ TMT / Mar/ 2025-26/M2</t>
  </si>
  <si>
    <r>
      <rPr>
        <sz val="11"/>
        <color rgb="FF000000"/>
        <rFont val="Verdana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b/>
        <sz val="11"/>
        <color rgb="FF000000"/>
        <rFont val="Verdana"/>
      </rPr>
      <t xml:space="preserve">Annexure - 1
JSW ONE DISTRIBUTION LIMITED TMT
('IS 1786 </t>
    </r>
    <r>
      <rPr>
        <b/>
        <sz val="11"/>
        <color rgb="FFFF0000"/>
        <rFont val="Verdana"/>
      </rPr>
      <t xml:space="preserve">Gr. Fe-550 / Fe-500D ... 12-32 mm ... TMT Bend Lengths </t>
    </r>
    <r>
      <rPr>
        <b/>
        <sz val="11"/>
        <color rgb="FF000000"/>
        <rFont val="Verdana"/>
      </rPr>
      <t>in conformance to the Quality Order Norms issued by Ministry of Steel)
DOMESTIC SALES: RETAIL/OEM
Validity: 5th to 31st Mar’26
Previous Price Guideline: Reference JODL/ TMT / Feb 2025-26</t>
    </r>
  </si>
  <si>
    <t>Date:-05-03-2026</t>
  </si>
  <si>
    <t>Reference JODL/ TMT / Mar/ 2025-26/M3</t>
  </si>
  <si>
    <r>
      <rPr>
        <sz val="11"/>
        <color rgb="FF000000"/>
        <rFont val="Verdana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b/>
        <sz val="11"/>
        <color rgb="FF000000"/>
        <rFont val="Verdana"/>
      </rPr>
      <t xml:space="preserve">Annexure - 1
JSW ONE DISTRIBUTION LIMITED TMT
('IS 1786 </t>
    </r>
    <r>
      <rPr>
        <b/>
        <sz val="11"/>
        <color rgb="FFFF0000"/>
        <rFont val="Verdana"/>
      </rPr>
      <t xml:space="preserve">Gr. Fe-550 / Fe-500D ... 12-32 mm ... TMT Bend Lengths </t>
    </r>
    <r>
      <rPr>
        <b/>
        <sz val="11"/>
        <color rgb="FF000000"/>
        <rFont val="Verdana"/>
      </rPr>
      <t>in conformance to the Quality Order Norms issued by Ministry of Steel)
DOMESTIC SALES: RETAIL/OEM
Validity: 17th to 31st Mar’26
Previous Price Guideline: Reference JODL/ TMT / Mar 2025-26</t>
    </r>
  </si>
  <si>
    <t>Date:-16-03-2026</t>
  </si>
  <si>
    <t>Grade/ Dia/ Form extras</t>
  </si>
  <si>
    <t>Applicable on above stated TMT Prices. Bend extra Rs 600/MT. Rs 500 PMT discount on all self stocking order from 17th Mar'26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</si>
</sst>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Times New Roman"/>
      <charset val="204"/>
    </font>
    <font>
      <b/>
      <sz val="7"/>
      <name val="Verdana"/>
    </font>
    <font>
      <b/>
      <sz val="8"/>
      <name val="Verdana"/>
    </font>
    <font>
      <sz val="9"/>
      <name val="Verdana"/>
    </font>
    <font>
      <b/>
      <sz val="7"/>
      <name val="Verdana"/>
      <family val="2"/>
    </font>
    <font>
      <b/>
      <sz val="8"/>
      <name val="Verdana"/>
      <family val="2"/>
    </font>
    <font>
      <sz val="11"/>
      <name val="Verdana"/>
      <family val="2"/>
    </font>
    <font>
      <sz val="9"/>
      <name val="Verdana"/>
      <family val="2"/>
    </font>
    <font>
      <b/>
      <sz val="6"/>
      <color rgb="FF000000"/>
      <name val="Verdana"/>
    </font>
    <font>
      <sz val="8"/>
      <color rgb="FF000000"/>
      <name val="Verdana"/>
      <family val="2"/>
    </font>
    <font>
      <sz val="8"/>
      <name val="Verdana"/>
    </font>
    <font>
      <sz val="8"/>
      <name val="Verdana"/>
      <family val="2"/>
    </font>
    <font>
      <sz val="8"/>
      <color rgb="FF000000"/>
      <name val="Times New Roman"/>
      <charset val="204"/>
    </font>
    <font>
      <sz val="8"/>
      <color rgb="FF000000"/>
      <name val="Verdana"/>
    </font>
    <font>
      <b/>
      <sz val="8"/>
      <color rgb="FF000000"/>
      <name val="Verdana"/>
    </font>
    <font>
      <b/>
      <sz val="8"/>
      <color rgb="FFFF0000"/>
      <name val="Verdana"/>
    </font>
    <font>
      <sz val="9"/>
      <color rgb="FF000000"/>
      <name val="Times New Roman"/>
      <charset val="204"/>
    </font>
    <font>
      <b/>
      <sz val="11"/>
      <color rgb="FF000000"/>
      <name val="Verdana"/>
    </font>
    <font>
      <sz val="11"/>
      <color rgb="FF000000"/>
      <name val="Verdana"/>
    </font>
    <font>
      <b/>
      <sz val="11"/>
      <color rgb="FFFF0000"/>
      <name val="Verdana"/>
    </font>
    <font>
      <b/>
      <sz val="11"/>
      <name val="Verdana"/>
    </font>
    <font>
      <sz val="11"/>
      <name val="Verdana"/>
    </font>
    <font>
      <b/>
      <sz val="11"/>
      <name val="Verdana"/>
      <family val="2"/>
    </font>
    <font>
      <sz val="11"/>
      <color rgb="FF000000"/>
      <name val="Verdana"/>
      <family val="2"/>
    </font>
    <font>
      <sz val="11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7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16" fillId="2" borderId="0" xfId="0" applyFont="1" applyFill="1" applyAlignment="1">
      <alignment horizontal="left" vertical="top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 indent="4"/>
    </xf>
    <xf numFmtId="0" fontId="10" fillId="2" borderId="1" xfId="0" applyFont="1" applyFill="1" applyBorder="1" applyAlignment="1">
      <alignment horizontal="center" vertical="center" wrapText="1" indent="3"/>
    </xf>
    <xf numFmtId="0" fontId="10" fillId="2" borderId="1" xfId="0" applyFont="1" applyFill="1" applyBorder="1" applyAlignment="1">
      <alignment horizontal="center" vertical="center" wrapText="1" indent="2"/>
    </xf>
    <xf numFmtId="0" fontId="12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 indent="4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8" fillId="2" borderId="22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right" vertical="center" wrapText="1" indent="1"/>
    </xf>
    <xf numFmtId="1" fontId="9" fillId="2" borderId="24" xfId="0" applyNumberFormat="1" applyFont="1" applyFill="1" applyBorder="1" applyAlignment="1">
      <alignment horizontal="center" vertical="center" indent="3" shrinkToFit="1"/>
    </xf>
    <xf numFmtId="3" fontId="9" fillId="2" borderId="25" xfId="0" applyNumberFormat="1" applyFont="1" applyFill="1" applyBorder="1" applyAlignment="1">
      <alignment horizontal="center" vertical="center" shrinkToFit="1"/>
    </xf>
    <xf numFmtId="1" fontId="9" fillId="2" borderId="26" xfId="0" applyNumberFormat="1" applyFont="1" applyFill="1" applyBorder="1" applyAlignment="1">
      <alignment horizontal="center" vertical="center" indent="3" shrinkToFit="1"/>
    </xf>
    <xf numFmtId="3" fontId="9" fillId="2" borderId="27" xfId="0" applyNumberFormat="1" applyFont="1" applyFill="1" applyBorder="1" applyAlignment="1">
      <alignment horizontal="center" vertical="center" shrinkToFi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1" fontId="9" fillId="2" borderId="28" xfId="0" applyNumberFormat="1" applyFont="1" applyFill="1" applyBorder="1" applyAlignment="1">
      <alignment horizontal="center" vertical="center" indent="3" shrinkToFit="1"/>
    </xf>
    <xf numFmtId="1" fontId="9" fillId="2" borderId="30" xfId="0" applyNumberFormat="1" applyFont="1" applyFill="1" applyBorder="1" applyAlignment="1">
      <alignment horizontal="center" vertical="center" indent="3" shrinkToFi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0" fillId="2" borderId="21" xfId="0" applyFill="1" applyBorder="1" applyAlignment="1">
      <alignment horizontal="left" vertical="top" wrapText="1"/>
    </xf>
    <xf numFmtId="3" fontId="12" fillId="2" borderId="27" xfId="0" applyNumberFormat="1" applyFont="1" applyFill="1" applyBorder="1" applyAlignment="1">
      <alignment horizontal="center" vertical="center" wrapText="1"/>
    </xf>
    <xf numFmtId="3" fontId="9" fillId="0" borderId="27" xfId="0" applyNumberFormat="1" applyFont="1" applyBorder="1" applyAlignment="1">
      <alignment horizontal="center" vertical="center" shrinkToFit="1"/>
    </xf>
    <xf numFmtId="0" fontId="0" fillId="2" borderId="0" xfId="0" applyFill="1" applyAlignment="1">
      <alignment horizontal="left" vertical="center"/>
    </xf>
    <xf numFmtId="0" fontId="17" fillId="2" borderId="22" xfId="0" applyFont="1" applyFill="1" applyBorder="1" applyAlignment="1">
      <alignment horizontal="left" vertical="center" wrapText="1"/>
    </xf>
    <xf numFmtId="0" fontId="17" fillId="2" borderId="23" xfId="0" applyFont="1" applyFill="1" applyBorder="1" applyAlignment="1">
      <alignment horizontal="right" vertical="center" wrapText="1" indent="1"/>
    </xf>
    <xf numFmtId="0" fontId="20" fillId="3" borderId="14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 indent="4"/>
    </xf>
    <xf numFmtId="0" fontId="21" fillId="2" borderId="1" xfId="0" applyFont="1" applyFill="1" applyBorder="1" applyAlignment="1">
      <alignment horizontal="center" vertical="center" wrapText="1" indent="3"/>
    </xf>
    <xf numFmtId="0" fontId="21" fillId="2" borderId="1" xfId="0" applyFont="1" applyFill="1" applyBorder="1" applyAlignment="1">
      <alignment horizontal="center" vertical="center" wrapText="1" indent="2"/>
    </xf>
    <xf numFmtId="0" fontId="21" fillId="2" borderId="6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 indent="4"/>
    </xf>
    <xf numFmtId="1" fontId="23" fillId="2" borderId="24" xfId="0" applyNumberFormat="1" applyFont="1" applyFill="1" applyBorder="1" applyAlignment="1">
      <alignment horizontal="center" vertical="center" indent="3" shrinkToFit="1"/>
    </xf>
    <xf numFmtId="3" fontId="23" fillId="2" borderId="25" xfId="0" applyNumberFormat="1" applyFont="1" applyFill="1" applyBorder="1" applyAlignment="1">
      <alignment horizontal="center" vertical="center" shrinkToFit="1"/>
    </xf>
    <xf numFmtId="1" fontId="23" fillId="2" borderId="26" xfId="0" applyNumberFormat="1" applyFont="1" applyFill="1" applyBorder="1" applyAlignment="1">
      <alignment horizontal="center" vertical="center" indent="3" shrinkToFit="1"/>
    </xf>
    <xf numFmtId="3" fontId="23" fillId="2" borderId="27" xfId="0" applyNumberFormat="1" applyFont="1" applyFill="1" applyBorder="1" applyAlignment="1">
      <alignment horizontal="center" vertical="center" shrinkToFit="1"/>
    </xf>
    <xf numFmtId="3" fontId="23" fillId="0" borderId="27" xfId="0" applyNumberFormat="1" applyFont="1" applyBorder="1" applyAlignment="1">
      <alignment horizontal="center" vertical="center" shrinkToFit="1"/>
    </xf>
    <xf numFmtId="0" fontId="24" fillId="2" borderId="26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7" xfId="0" applyFont="1" applyFill="1" applyBorder="1" applyAlignment="1">
      <alignment horizontal="center" vertical="center" wrapText="1"/>
    </xf>
    <xf numFmtId="3" fontId="24" fillId="2" borderId="27" xfId="0" applyNumberFormat="1" applyFont="1" applyFill="1" applyBorder="1" applyAlignment="1">
      <alignment horizontal="center" vertical="center" wrapText="1"/>
    </xf>
    <xf numFmtId="1" fontId="23" fillId="2" borderId="28" xfId="0" applyNumberFormat="1" applyFont="1" applyFill="1" applyBorder="1" applyAlignment="1">
      <alignment horizontal="center" vertical="center" indent="3" shrinkToFit="1"/>
    </xf>
    <xf numFmtId="1" fontId="23" fillId="2" borderId="30" xfId="0" applyNumberFormat="1" applyFont="1" applyFill="1" applyBorder="1" applyAlignment="1">
      <alignment horizontal="center" vertical="center" indent="3" shrinkToFit="1"/>
    </xf>
    <xf numFmtId="0" fontId="24" fillId="2" borderId="31" xfId="0" applyFont="1" applyFill="1" applyBorder="1" applyAlignment="1">
      <alignment horizontal="center" vertical="center" wrapText="1"/>
    </xf>
    <xf numFmtId="0" fontId="24" fillId="2" borderId="32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left" vertical="center" wrapText="1"/>
    </xf>
    <xf numFmtId="0" fontId="24" fillId="2" borderId="33" xfId="0" applyFont="1" applyFill="1" applyBorder="1" applyAlignment="1">
      <alignment horizontal="left" vertical="center" wrapText="1"/>
    </xf>
    <xf numFmtId="0" fontId="24" fillId="2" borderId="21" xfId="0" applyFont="1" applyFill="1" applyBorder="1" applyAlignment="1">
      <alignment horizontal="left" vertical="top" wrapText="1"/>
    </xf>
    <xf numFmtId="0" fontId="21" fillId="2" borderId="6" xfId="0" applyFont="1" applyFill="1" applyBorder="1" applyAlignment="1">
      <alignment horizontal="center" vertical="center" wrapText="1" indent="2"/>
    </xf>
    <xf numFmtId="3" fontId="23" fillId="2" borderId="29" xfId="0" applyNumberFormat="1" applyFont="1" applyFill="1" applyBorder="1" applyAlignment="1">
      <alignment horizontal="center" vertical="center" shrinkToFi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horizontal="left" vertical="top"/>
    </xf>
    <xf numFmtId="3" fontId="24" fillId="2" borderId="31" xfId="0" applyNumberFormat="1" applyFont="1" applyFill="1" applyBorder="1" applyAlignment="1">
      <alignment horizontal="center" vertical="center" wrapText="1"/>
    </xf>
    <xf numFmtId="0" fontId="0" fillId="2" borderId="39" xfId="0" applyFill="1" applyBorder="1" applyAlignment="1">
      <alignment horizontal="left" vertical="top"/>
    </xf>
    <xf numFmtId="0" fontId="20" fillId="0" borderId="32" xfId="0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3" fontId="9" fillId="2" borderId="2" xfId="0" applyNumberFormat="1" applyFont="1" applyFill="1" applyBorder="1" applyAlignment="1">
      <alignment horizontal="center" vertical="center" indent="5" shrinkToFit="1"/>
    </xf>
    <xf numFmtId="3" fontId="9" fillId="2" borderId="3" xfId="0" applyNumberFormat="1" applyFont="1" applyFill="1" applyBorder="1" applyAlignment="1">
      <alignment horizontal="center" vertical="center" indent="5" shrinkToFit="1"/>
    </xf>
    <xf numFmtId="3" fontId="9" fillId="2" borderId="4" xfId="0" applyNumberFormat="1" applyFont="1" applyFill="1" applyBorder="1" applyAlignment="1">
      <alignment horizontal="center" vertical="center" indent="5" shrinkToFit="1"/>
    </xf>
    <xf numFmtId="0" fontId="13" fillId="2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3" fontId="9" fillId="2" borderId="10" xfId="0" applyNumberFormat="1" applyFont="1" applyFill="1" applyBorder="1" applyAlignment="1">
      <alignment horizontal="center" vertical="center" indent="5" shrinkToFit="1"/>
    </xf>
    <xf numFmtId="3" fontId="9" fillId="2" borderId="5" xfId="0" applyNumberFormat="1" applyFont="1" applyFill="1" applyBorder="1" applyAlignment="1">
      <alignment horizontal="center" vertical="center" indent="5" shrinkToFit="1"/>
    </xf>
    <xf numFmtId="3" fontId="9" fillId="2" borderId="11" xfId="0" applyNumberFormat="1" applyFont="1" applyFill="1" applyBorder="1" applyAlignment="1">
      <alignment horizontal="center" vertical="center" indent="5" shrinkToFit="1"/>
    </xf>
    <xf numFmtId="3" fontId="9" fillId="0" borderId="2" xfId="0" applyNumberFormat="1" applyFont="1" applyBorder="1" applyAlignment="1">
      <alignment horizontal="center" vertical="center" indent="5" shrinkToFit="1"/>
    </xf>
    <xf numFmtId="3" fontId="9" fillId="0" borderId="3" xfId="0" applyNumberFormat="1" applyFont="1" applyBorder="1" applyAlignment="1">
      <alignment horizontal="center" vertical="center" indent="5" shrinkToFit="1"/>
    </xf>
    <xf numFmtId="3" fontId="9" fillId="0" borderId="4" xfId="0" applyNumberFormat="1" applyFont="1" applyBorder="1" applyAlignment="1">
      <alignment horizontal="center" vertical="center" indent="5" shrinkToFi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3" fontId="10" fillId="0" borderId="2" xfId="0" applyNumberFormat="1" applyFont="1" applyBorder="1" applyAlignment="1">
      <alignment horizontal="center" vertical="center" indent="5"/>
    </xf>
    <xf numFmtId="3" fontId="10" fillId="0" borderId="3" xfId="0" applyNumberFormat="1" applyFont="1" applyBorder="1" applyAlignment="1">
      <alignment horizontal="center" vertical="center" indent="5"/>
    </xf>
    <xf numFmtId="3" fontId="10" fillId="0" borderId="4" xfId="0" applyNumberFormat="1" applyFont="1" applyBorder="1" applyAlignment="1">
      <alignment horizontal="center" vertical="center" indent="5"/>
    </xf>
    <xf numFmtId="0" fontId="10" fillId="2" borderId="30" xfId="0" applyFont="1" applyFill="1" applyBorder="1" applyAlignment="1">
      <alignment horizontal="center" vertical="top" wrapText="1"/>
    </xf>
    <xf numFmtId="0" fontId="10" fillId="2" borderId="12" xfId="0" applyFont="1" applyFill="1" applyBorder="1" applyAlignment="1">
      <alignment horizontal="center" vertical="top" wrapText="1"/>
    </xf>
    <xf numFmtId="0" fontId="10" fillId="2" borderId="31" xfId="0" applyFont="1" applyFill="1" applyBorder="1" applyAlignment="1">
      <alignment horizontal="center" vertical="top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3" fontId="9" fillId="2" borderId="7" xfId="0" applyNumberFormat="1" applyFont="1" applyFill="1" applyBorder="1" applyAlignment="1">
      <alignment horizontal="center" vertical="center" indent="5" shrinkToFit="1"/>
    </xf>
    <xf numFmtId="3" fontId="9" fillId="2" borderId="8" xfId="0" applyNumberFormat="1" applyFont="1" applyFill="1" applyBorder="1" applyAlignment="1">
      <alignment horizontal="center" vertical="center" indent="5" shrinkToFit="1"/>
    </xf>
    <xf numFmtId="3" fontId="9" fillId="2" borderId="9" xfId="0" applyNumberFormat="1" applyFont="1" applyFill="1" applyBorder="1" applyAlignment="1">
      <alignment horizontal="center" vertical="center" indent="5" shrinkToFit="1"/>
    </xf>
    <xf numFmtId="0" fontId="10" fillId="2" borderId="12" xfId="0" applyFont="1" applyFill="1" applyBorder="1" applyAlignment="1">
      <alignment horizontal="center" vertical="center" wrapText="1"/>
    </xf>
    <xf numFmtId="3" fontId="9" fillId="2" borderId="12" xfId="0" applyNumberFormat="1" applyFont="1" applyFill="1" applyBorder="1" applyAlignment="1">
      <alignment horizontal="center" vertical="center" indent="5" shrinkToFit="1"/>
    </xf>
    <xf numFmtId="0" fontId="2" fillId="3" borderId="30" xfId="0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 vertical="top" wrapText="1"/>
    </xf>
    <xf numFmtId="0" fontId="2" fillId="3" borderId="31" xfId="0" applyFont="1" applyFill="1" applyBorder="1" applyAlignment="1">
      <alignment horizontal="center" vertical="top" wrapText="1"/>
    </xf>
    <xf numFmtId="0" fontId="2" fillId="2" borderId="36" xfId="0" applyFont="1" applyFill="1" applyBorder="1" applyAlignment="1">
      <alignment horizontal="center" vertical="center" wrapText="1" indent="33"/>
    </xf>
    <xf numFmtId="0" fontId="2" fillId="2" borderId="37" xfId="0" applyFont="1" applyFill="1" applyBorder="1" applyAlignment="1">
      <alignment horizontal="center" vertical="center" wrapText="1" indent="33"/>
    </xf>
    <xf numFmtId="0" fontId="2" fillId="2" borderId="38" xfId="0" applyFont="1" applyFill="1" applyBorder="1" applyAlignment="1">
      <alignment horizontal="center" vertical="center" wrapText="1" indent="33"/>
    </xf>
    <xf numFmtId="0" fontId="2" fillId="2" borderId="30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31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center" vertical="center" wrapText="1" indent="4"/>
    </xf>
    <xf numFmtId="0" fontId="10" fillId="2" borderId="3" xfId="0" applyFont="1" applyFill="1" applyBorder="1" applyAlignment="1">
      <alignment horizontal="center" vertical="center" wrapText="1" indent="4"/>
    </xf>
    <xf numFmtId="0" fontId="10" fillId="2" borderId="4" xfId="0" applyFont="1" applyFill="1" applyBorder="1" applyAlignment="1">
      <alignment horizontal="center" vertical="center" wrapText="1" indent="4"/>
    </xf>
    <xf numFmtId="0" fontId="6" fillId="2" borderId="34" xfId="0" applyFont="1" applyFill="1" applyBorder="1" applyAlignment="1">
      <alignment horizontal="center" vertical="center" wrapText="1" indent="4"/>
    </xf>
    <xf numFmtId="0" fontId="6" fillId="2" borderId="20" xfId="0" applyFont="1" applyFill="1" applyBorder="1" applyAlignment="1">
      <alignment horizontal="center" vertical="center" wrapText="1" indent="4"/>
    </xf>
    <xf numFmtId="0" fontId="6" fillId="2" borderId="20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3" fontId="23" fillId="2" borderId="2" xfId="0" applyNumberFormat="1" applyFont="1" applyFill="1" applyBorder="1" applyAlignment="1">
      <alignment horizontal="center" vertical="center" indent="5" shrinkToFit="1"/>
    </xf>
    <xf numFmtId="3" fontId="23" fillId="2" borderId="3" xfId="0" applyNumberFormat="1" applyFont="1" applyFill="1" applyBorder="1" applyAlignment="1">
      <alignment horizontal="center" vertical="center" indent="5" shrinkToFit="1"/>
    </xf>
    <xf numFmtId="3" fontId="23" fillId="2" borderId="4" xfId="0" applyNumberFormat="1" applyFont="1" applyFill="1" applyBorder="1" applyAlignment="1">
      <alignment horizontal="center" vertical="center" indent="5" shrinkToFit="1"/>
    </xf>
    <xf numFmtId="0" fontId="18" fillId="2" borderId="17" xfId="0" applyFont="1" applyFill="1" applyBorder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3" fontId="23" fillId="2" borderId="10" xfId="0" applyNumberFormat="1" applyFont="1" applyFill="1" applyBorder="1" applyAlignment="1">
      <alignment horizontal="center" vertical="center" indent="5" shrinkToFit="1"/>
    </xf>
    <xf numFmtId="3" fontId="23" fillId="2" borderId="5" xfId="0" applyNumberFormat="1" applyFont="1" applyFill="1" applyBorder="1" applyAlignment="1">
      <alignment horizontal="center" vertical="center" indent="5" shrinkToFit="1"/>
    </xf>
    <xf numFmtId="3" fontId="23" fillId="2" borderId="11" xfId="0" applyNumberFormat="1" applyFont="1" applyFill="1" applyBorder="1" applyAlignment="1">
      <alignment horizontal="center" vertical="center" indent="5" shrinkToFit="1"/>
    </xf>
    <xf numFmtId="3" fontId="23" fillId="0" borderId="2" xfId="0" applyNumberFormat="1" applyFont="1" applyBorder="1" applyAlignment="1">
      <alignment horizontal="center" vertical="center" indent="5" shrinkToFit="1"/>
    </xf>
    <xf numFmtId="3" fontId="23" fillId="0" borderId="3" xfId="0" applyNumberFormat="1" applyFont="1" applyBorder="1" applyAlignment="1">
      <alignment horizontal="center" vertical="center" indent="5" shrinkToFit="1"/>
    </xf>
    <xf numFmtId="3" fontId="23" fillId="0" borderId="4" xfId="0" applyNumberFormat="1" applyFont="1" applyBorder="1" applyAlignment="1">
      <alignment horizontal="center" vertical="center" indent="5" shrinkToFi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3" fontId="21" fillId="0" borderId="2" xfId="0" applyNumberFormat="1" applyFont="1" applyBorder="1" applyAlignment="1">
      <alignment horizontal="center" vertical="center" indent="5"/>
    </xf>
    <xf numFmtId="3" fontId="21" fillId="0" borderId="3" xfId="0" applyNumberFormat="1" applyFont="1" applyBorder="1" applyAlignment="1">
      <alignment horizontal="center" vertical="center" indent="5"/>
    </xf>
    <xf numFmtId="3" fontId="21" fillId="0" borderId="4" xfId="0" applyNumberFormat="1" applyFont="1" applyBorder="1" applyAlignment="1">
      <alignment horizontal="center" vertical="center" indent="5"/>
    </xf>
    <xf numFmtId="0" fontId="21" fillId="2" borderId="2" xfId="0" applyFont="1" applyFill="1" applyBorder="1" applyAlignment="1">
      <alignment horizontal="center" vertical="center" wrapText="1" indent="4"/>
    </xf>
    <xf numFmtId="0" fontId="21" fillId="2" borderId="3" xfId="0" applyFont="1" applyFill="1" applyBorder="1" applyAlignment="1">
      <alignment horizontal="center" vertical="center" wrapText="1" indent="4"/>
    </xf>
    <xf numFmtId="0" fontId="21" fillId="2" borderId="4" xfId="0" applyFont="1" applyFill="1" applyBorder="1" applyAlignment="1">
      <alignment horizontal="center" vertical="center" wrapText="1" indent="4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3" fontId="23" fillId="2" borderId="7" xfId="0" applyNumberFormat="1" applyFont="1" applyFill="1" applyBorder="1" applyAlignment="1">
      <alignment horizontal="center" vertical="center" indent="5" shrinkToFit="1"/>
    </xf>
    <xf numFmtId="3" fontId="23" fillId="2" borderId="8" xfId="0" applyNumberFormat="1" applyFont="1" applyFill="1" applyBorder="1" applyAlignment="1">
      <alignment horizontal="center" vertical="center" indent="5" shrinkToFit="1"/>
    </xf>
    <xf numFmtId="3" fontId="23" fillId="2" borderId="9" xfId="0" applyNumberFormat="1" applyFont="1" applyFill="1" applyBorder="1" applyAlignment="1">
      <alignment horizontal="center" vertical="center" indent="5" shrinkToFit="1"/>
    </xf>
    <xf numFmtId="0" fontId="21" fillId="2" borderId="12" xfId="0" applyFont="1" applyFill="1" applyBorder="1" applyAlignment="1">
      <alignment horizontal="center" vertical="center" wrapText="1"/>
    </xf>
    <xf numFmtId="3" fontId="23" fillId="2" borderId="12" xfId="0" applyNumberFormat="1" applyFont="1" applyFill="1" applyBorder="1" applyAlignment="1">
      <alignment horizontal="center" vertical="center" indent="5" shrinkToFit="1"/>
    </xf>
    <xf numFmtId="0" fontId="20" fillId="3" borderId="30" xfId="0" applyFont="1" applyFill="1" applyBorder="1" applyAlignment="1">
      <alignment horizontal="center" vertical="top" wrapText="1"/>
    </xf>
    <xf numFmtId="0" fontId="20" fillId="3" borderId="12" xfId="0" applyFont="1" applyFill="1" applyBorder="1" applyAlignment="1">
      <alignment horizontal="center" vertical="top" wrapText="1"/>
    </xf>
    <xf numFmtId="0" fontId="20" fillId="3" borderId="31" xfId="0" applyFont="1" applyFill="1" applyBorder="1" applyAlignment="1">
      <alignment horizontal="center" vertical="top" wrapText="1"/>
    </xf>
    <xf numFmtId="0" fontId="20" fillId="2" borderId="36" xfId="0" applyFont="1" applyFill="1" applyBorder="1" applyAlignment="1">
      <alignment horizontal="center" vertical="center" wrapText="1" indent="33"/>
    </xf>
    <xf numFmtId="0" fontId="20" fillId="2" borderId="37" xfId="0" applyFont="1" applyFill="1" applyBorder="1" applyAlignment="1">
      <alignment horizontal="center" vertical="center" wrapText="1" indent="33"/>
    </xf>
    <xf numFmtId="0" fontId="20" fillId="2" borderId="38" xfId="0" applyFont="1" applyFill="1" applyBorder="1" applyAlignment="1">
      <alignment horizontal="center" vertical="center" wrapText="1" indent="33"/>
    </xf>
    <xf numFmtId="0" fontId="20" fillId="2" borderId="30" xfId="0" applyFont="1" applyFill="1" applyBorder="1" applyAlignment="1">
      <alignment horizontal="center" vertical="top" wrapText="1"/>
    </xf>
    <xf numFmtId="0" fontId="20" fillId="2" borderId="12" xfId="0" applyFont="1" applyFill="1" applyBorder="1" applyAlignment="1">
      <alignment horizontal="center" vertical="top" wrapText="1"/>
    </xf>
    <xf numFmtId="0" fontId="20" fillId="2" borderId="31" xfId="0" applyFont="1" applyFill="1" applyBorder="1" applyAlignment="1">
      <alignment horizontal="center" vertical="top" wrapText="1"/>
    </xf>
    <xf numFmtId="0" fontId="21" fillId="2" borderId="30" xfId="0" applyFont="1" applyFill="1" applyBorder="1" applyAlignment="1">
      <alignment horizontal="center" vertical="top" wrapText="1"/>
    </xf>
    <xf numFmtId="0" fontId="21" fillId="2" borderId="12" xfId="0" applyFont="1" applyFill="1" applyBorder="1" applyAlignment="1">
      <alignment horizontal="center" vertical="top" wrapText="1"/>
    </xf>
    <xf numFmtId="0" fontId="21" fillId="2" borderId="31" xfId="0" applyFont="1" applyFill="1" applyBorder="1" applyAlignment="1">
      <alignment horizontal="center" vertical="top" wrapText="1"/>
    </xf>
    <xf numFmtId="0" fontId="24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3" fontId="23" fillId="2" borderId="1" xfId="0" applyNumberFormat="1" applyFont="1" applyFill="1" applyBorder="1" applyAlignment="1">
      <alignment horizontal="center" vertical="center" indent="5" shrinkToFi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20" fillId="3" borderId="26" xfId="0" applyFont="1" applyFill="1" applyBorder="1" applyAlignment="1">
      <alignment horizontal="center" vertical="top" wrapText="1"/>
    </xf>
    <xf numFmtId="0" fontId="20" fillId="3" borderId="1" xfId="0" applyFont="1" applyFill="1" applyBorder="1" applyAlignment="1">
      <alignment horizontal="center" vertical="top" wrapText="1"/>
    </xf>
    <xf numFmtId="0" fontId="20" fillId="3" borderId="27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top" wrapText="1"/>
    </xf>
    <xf numFmtId="0" fontId="20" fillId="2" borderId="27" xfId="0" applyFont="1" applyFill="1" applyBorder="1" applyAlignment="1">
      <alignment horizontal="center" vertical="top" wrapText="1"/>
    </xf>
    <xf numFmtId="0" fontId="21" fillId="2" borderId="40" xfId="0" applyFont="1" applyFill="1" applyBorder="1" applyAlignment="1">
      <alignment horizontal="center" vertical="top" wrapText="1"/>
    </xf>
    <xf numFmtId="0" fontId="21" fillId="2" borderId="41" xfId="0" applyFont="1" applyFill="1" applyBorder="1" applyAlignment="1">
      <alignment horizontal="center" vertical="top" wrapText="1"/>
    </xf>
    <xf numFmtId="0" fontId="21" fillId="2" borderId="4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BDD3-BFA7-4923-B223-59E952B1D1EC}">
  <sheetPr>
    <pageSetUpPr fitToPage="1"/>
  </sheetPr>
  <dimension ref="A1:P39"/>
  <sheetViews>
    <sheetView topLeftCell="B1" workbookViewId="0">
      <selection activeCell="F7" sqref="F7:I7"/>
    </sheetView>
  </sheetViews>
  <sheetFormatPr defaultColWidth="8.83203125" defaultRowHeight="12.75"/>
  <cols>
    <col min="1" max="1" width="34.33203125" style="1" customWidth="1"/>
    <col min="2" max="2" width="36.5" style="1" customWidth="1"/>
    <col min="3" max="3" width="2.1640625" style="1" customWidth="1"/>
    <col min="4" max="4" width="34.1640625" style="1" customWidth="1"/>
    <col min="5" max="5" width="13.5" style="1" customWidth="1"/>
    <col min="6" max="6" width="9.5" style="1" customWidth="1"/>
    <col min="7" max="7" width="32.5" style="1" customWidth="1"/>
    <col min="8" max="8" width="20.6640625" style="1" customWidth="1"/>
    <col min="9" max="9" width="11.1640625" style="1" customWidth="1"/>
    <col min="10" max="10" width="49.83203125" style="1" customWidth="1"/>
    <col min="11" max="16384" width="8.83203125" style="1"/>
  </cols>
  <sheetData>
    <row r="1" spans="1:10" ht="96.75" customHeight="1">
      <c r="A1" s="17" t="s">
        <v>0</v>
      </c>
      <c r="B1" s="79" t="s">
        <v>1</v>
      </c>
      <c r="C1" s="79"/>
      <c r="D1" s="79"/>
      <c r="E1" s="79"/>
      <c r="F1" s="79"/>
      <c r="G1" s="79"/>
      <c r="H1" s="79"/>
      <c r="I1" s="79"/>
      <c r="J1" s="18" t="s">
        <v>2</v>
      </c>
    </row>
    <row r="2" spans="1:10" s="16" customFormat="1" ht="21.75" customHeight="1">
      <c r="A2" s="13" t="s">
        <v>3</v>
      </c>
      <c r="B2" s="14" t="s">
        <v>4</v>
      </c>
      <c r="C2" s="80" t="s">
        <v>5</v>
      </c>
      <c r="D2" s="81"/>
      <c r="E2" s="82"/>
      <c r="F2" s="80" t="s">
        <v>6</v>
      </c>
      <c r="G2" s="81"/>
      <c r="H2" s="81"/>
      <c r="I2" s="82"/>
      <c r="J2" s="15" t="s">
        <v>7</v>
      </c>
    </row>
    <row r="3" spans="1:10" ht="12.75" customHeight="1">
      <c r="A3" s="19">
        <v>1</v>
      </c>
      <c r="B3" s="5" t="s">
        <v>8</v>
      </c>
      <c r="C3" s="83" t="s">
        <v>9</v>
      </c>
      <c r="D3" s="84"/>
      <c r="E3" s="85"/>
      <c r="F3" s="86">
        <f>F9+2000</f>
        <v>54150</v>
      </c>
      <c r="G3" s="87"/>
      <c r="H3" s="87"/>
      <c r="I3" s="88"/>
      <c r="J3" s="20">
        <f>J9+2500</f>
        <v>55400</v>
      </c>
    </row>
    <row r="4" spans="1:10" ht="12.75" customHeight="1">
      <c r="A4" s="21">
        <v>2</v>
      </c>
      <c r="B4" s="6" t="s">
        <v>10</v>
      </c>
      <c r="C4" s="73" t="s">
        <v>10</v>
      </c>
      <c r="D4" s="74"/>
      <c r="E4" s="75"/>
      <c r="F4" s="76">
        <f>F9+1500</f>
        <v>53650</v>
      </c>
      <c r="G4" s="77"/>
      <c r="H4" s="77"/>
      <c r="I4" s="78"/>
      <c r="J4" s="22">
        <f>J9+2000</f>
        <v>54900</v>
      </c>
    </row>
    <row r="5" spans="1:10" ht="12.75" customHeight="1">
      <c r="A5" s="21">
        <v>3</v>
      </c>
      <c r="B5" s="7" t="s">
        <v>11</v>
      </c>
      <c r="C5" s="73" t="s">
        <v>11</v>
      </c>
      <c r="D5" s="74"/>
      <c r="E5" s="75"/>
      <c r="F5" s="76">
        <f>F9+250</f>
        <v>52400</v>
      </c>
      <c r="G5" s="77"/>
      <c r="H5" s="77"/>
      <c r="I5" s="78"/>
      <c r="J5" s="22">
        <f>J9+250</f>
        <v>53150</v>
      </c>
    </row>
    <row r="6" spans="1:10" ht="12.75" customHeight="1">
      <c r="A6" s="21">
        <v>3</v>
      </c>
      <c r="B6" s="8" t="s">
        <v>12</v>
      </c>
      <c r="C6" s="73" t="s">
        <v>13</v>
      </c>
      <c r="D6" s="74"/>
      <c r="E6" s="75"/>
      <c r="F6" s="76">
        <f>F9+500</f>
        <v>52650</v>
      </c>
      <c r="G6" s="77"/>
      <c r="H6" s="77"/>
      <c r="I6" s="78"/>
      <c r="J6" s="22">
        <f>J9+1000</f>
        <v>53900</v>
      </c>
    </row>
    <row r="7" spans="1:10" ht="12.75" customHeight="1">
      <c r="A7" s="21">
        <v>4</v>
      </c>
      <c r="B7" s="7" t="s">
        <v>14</v>
      </c>
      <c r="C7" s="73" t="s">
        <v>15</v>
      </c>
      <c r="D7" s="74"/>
      <c r="E7" s="75"/>
      <c r="F7" s="76">
        <f>F9</f>
        <v>52150</v>
      </c>
      <c r="G7" s="77"/>
      <c r="H7" s="77"/>
      <c r="I7" s="78"/>
      <c r="J7" s="22">
        <f>J9+500</f>
        <v>53400</v>
      </c>
    </row>
    <row r="8" spans="1:10" ht="12.75" customHeight="1">
      <c r="A8" s="21">
        <v>5</v>
      </c>
      <c r="B8" s="6" t="s">
        <v>16</v>
      </c>
      <c r="C8" s="73" t="s">
        <v>17</v>
      </c>
      <c r="D8" s="74"/>
      <c r="E8" s="75"/>
      <c r="F8" s="76">
        <f>F9+500</f>
        <v>52650</v>
      </c>
      <c r="G8" s="77"/>
      <c r="H8" s="77"/>
      <c r="I8" s="78"/>
      <c r="J8" s="22">
        <f>J9+500</f>
        <v>53400</v>
      </c>
    </row>
    <row r="9" spans="1:10" ht="12.75" customHeight="1">
      <c r="A9" s="21">
        <v>6</v>
      </c>
      <c r="B9" s="6" t="s">
        <v>18</v>
      </c>
      <c r="C9" s="73" t="s">
        <v>19</v>
      </c>
      <c r="D9" s="74"/>
      <c r="E9" s="75"/>
      <c r="F9" s="89">
        <f>51400+750</f>
        <v>52150</v>
      </c>
      <c r="G9" s="90"/>
      <c r="H9" s="90"/>
      <c r="I9" s="91"/>
      <c r="J9" s="33">
        <v>52900</v>
      </c>
    </row>
    <row r="10" spans="1:10" ht="12.75" customHeight="1">
      <c r="A10" s="21">
        <v>7</v>
      </c>
      <c r="B10" s="6" t="s">
        <v>20</v>
      </c>
      <c r="C10" s="73" t="s">
        <v>21</v>
      </c>
      <c r="D10" s="74"/>
      <c r="E10" s="75"/>
      <c r="F10" s="76">
        <f>F9</f>
        <v>52150</v>
      </c>
      <c r="G10" s="77"/>
      <c r="H10" s="77"/>
      <c r="I10" s="78"/>
      <c r="J10" s="22">
        <f>J9</f>
        <v>52900</v>
      </c>
    </row>
    <row r="11" spans="1:10" ht="12.75" customHeight="1">
      <c r="A11" s="21">
        <v>8</v>
      </c>
      <c r="B11" s="6" t="s">
        <v>22</v>
      </c>
      <c r="C11" s="73" t="s">
        <v>23</v>
      </c>
      <c r="D11" s="74"/>
      <c r="E11" s="75"/>
      <c r="F11" s="76">
        <f>F9</f>
        <v>52150</v>
      </c>
      <c r="G11" s="77"/>
      <c r="H11" s="77"/>
      <c r="I11" s="78"/>
      <c r="J11" s="22">
        <f>J9</f>
        <v>52900</v>
      </c>
    </row>
    <row r="12" spans="1:10" ht="12.75" customHeight="1">
      <c r="A12" s="21">
        <v>9</v>
      </c>
      <c r="B12" s="9" t="s">
        <v>24</v>
      </c>
      <c r="C12" s="73" t="s">
        <v>25</v>
      </c>
      <c r="D12" s="74"/>
      <c r="E12" s="75"/>
      <c r="F12" s="76">
        <f>F9</f>
        <v>52150</v>
      </c>
      <c r="G12" s="77"/>
      <c r="H12" s="77"/>
      <c r="I12" s="78"/>
      <c r="J12" s="22">
        <f>J9</f>
        <v>52900</v>
      </c>
    </row>
    <row r="13" spans="1:10" ht="12.75" customHeight="1">
      <c r="A13" s="21">
        <v>10</v>
      </c>
      <c r="B13" s="9" t="s">
        <v>26</v>
      </c>
      <c r="C13" s="73" t="s">
        <v>27</v>
      </c>
      <c r="D13" s="74"/>
      <c r="E13" s="75"/>
      <c r="F13" s="76">
        <f>F9</f>
        <v>52150</v>
      </c>
      <c r="G13" s="77"/>
      <c r="H13" s="77"/>
      <c r="I13" s="78"/>
      <c r="J13" s="22">
        <f>J9</f>
        <v>52900</v>
      </c>
    </row>
    <row r="14" spans="1:10" ht="12.75" customHeight="1">
      <c r="A14" s="23"/>
      <c r="B14" s="10"/>
      <c r="C14" s="92"/>
      <c r="D14" s="93"/>
      <c r="E14" s="94"/>
      <c r="F14" s="92"/>
      <c r="G14" s="93"/>
      <c r="H14" s="93"/>
      <c r="I14" s="94"/>
      <c r="J14" s="24"/>
    </row>
    <row r="15" spans="1:10" ht="12.75" customHeight="1">
      <c r="A15" s="21">
        <v>11</v>
      </c>
      <c r="B15" s="7" t="s">
        <v>28</v>
      </c>
      <c r="C15" s="73" t="s">
        <v>29</v>
      </c>
      <c r="D15" s="74"/>
      <c r="E15" s="75"/>
      <c r="F15" s="76">
        <f>F9-750</f>
        <v>51400</v>
      </c>
      <c r="G15" s="77"/>
      <c r="H15" s="77"/>
      <c r="I15" s="78"/>
      <c r="J15" s="22">
        <f>J9-1250</f>
        <v>51650</v>
      </c>
    </row>
    <row r="16" spans="1:10" ht="12.75" customHeight="1">
      <c r="A16" s="21">
        <v>12</v>
      </c>
      <c r="B16" s="8" t="s">
        <v>30</v>
      </c>
      <c r="C16" s="73" t="s">
        <v>31</v>
      </c>
      <c r="D16" s="74"/>
      <c r="E16" s="75"/>
      <c r="F16" s="76">
        <f>F9-1750</f>
        <v>50400</v>
      </c>
      <c r="G16" s="77"/>
      <c r="H16" s="77"/>
      <c r="I16" s="78"/>
      <c r="J16" s="22">
        <f>J9-1250</f>
        <v>51650</v>
      </c>
    </row>
    <row r="17" spans="1:16" ht="12.75" customHeight="1">
      <c r="A17" s="23"/>
      <c r="B17" s="10"/>
      <c r="C17" s="92"/>
      <c r="D17" s="93"/>
      <c r="E17" s="94"/>
      <c r="F17" s="92"/>
      <c r="G17" s="93"/>
      <c r="H17" s="93"/>
      <c r="I17" s="94"/>
      <c r="J17" s="24"/>
    </row>
    <row r="18" spans="1:16" ht="12.75" customHeight="1">
      <c r="A18" s="21">
        <v>13</v>
      </c>
      <c r="B18" s="6" t="s">
        <v>32</v>
      </c>
      <c r="C18" s="73" t="s">
        <v>33</v>
      </c>
      <c r="D18" s="74"/>
      <c r="E18" s="75"/>
      <c r="F18" s="95" t="str">
        <f>F9-1050 &amp; ",  Odisha West - "&amp; F9-1750</f>
        <v>51100,  Odisha West - 50400</v>
      </c>
      <c r="G18" s="96"/>
      <c r="H18" s="96"/>
      <c r="I18" s="97"/>
      <c r="J18" s="32"/>
    </row>
    <row r="19" spans="1:16" ht="12.75" customHeight="1">
      <c r="A19" s="21">
        <v>14</v>
      </c>
      <c r="B19" s="6" t="s">
        <v>34</v>
      </c>
      <c r="C19" s="73" t="s">
        <v>35</v>
      </c>
      <c r="D19" s="74"/>
      <c r="E19" s="75"/>
      <c r="F19" s="76">
        <f>F9-750</f>
        <v>51400</v>
      </c>
      <c r="G19" s="77"/>
      <c r="H19" s="77"/>
      <c r="I19" s="78"/>
      <c r="J19" s="24"/>
    </row>
    <row r="20" spans="1:16" ht="12.75" customHeight="1">
      <c r="A20" s="21">
        <v>15</v>
      </c>
      <c r="B20" s="6" t="s">
        <v>36</v>
      </c>
      <c r="C20" s="73" t="s">
        <v>37</v>
      </c>
      <c r="D20" s="74"/>
      <c r="E20" s="75"/>
      <c r="F20" s="76">
        <f>F9-750</f>
        <v>51400</v>
      </c>
      <c r="G20" s="77"/>
      <c r="H20" s="77"/>
      <c r="I20" s="78"/>
      <c r="J20" s="24"/>
    </row>
    <row r="21" spans="1:16" ht="22.5" customHeight="1">
      <c r="A21" s="21">
        <v>16</v>
      </c>
      <c r="B21" s="7" t="s">
        <v>38</v>
      </c>
      <c r="C21" s="118" t="s">
        <v>39</v>
      </c>
      <c r="D21" s="119"/>
      <c r="E21" s="120"/>
      <c r="F21" s="76">
        <f>F9-250</f>
        <v>51900</v>
      </c>
      <c r="G21" s="77"/>
      <c r="H21" s="77"/>
      <c r="I21" s="78"/>
      <c r="J21" s="24"/>
    </row>
    <row r="22" spans="1:16" ht="12.75" customHeight="1">
      <c r="A22" s="21">
        <v>17</v>
      </c>
      <c r="B22" s="7" t="s">
        <v>38</v>
      </c>
      <c r="C22" s="73" t="s">
        <v>40</v>
      </c>
      <c r="D22" s="74"/>
      <c r="E22" s="75"/>
      <c r="F22" s="76">
        <f>F9-750</f>
        <v>51400</v>
      </c>
      <c r="G22" s="77"/>
      <c r="H22" s="77"/>
      <c r="I22" s="78"/>
      <c r="J22" s="24"/>
    </row>
    <row r="23" spans="1:16" ht="12.75" customHeight="1">
      <c r="A23" s="23"/>
      <c r="B23" s="10"/>
      <c r="C23" s="92"/>
      <c r="D23" s="93"/>
      <c r="E23" s="94"/>
      <c r="F23" s="92"/>
      <c r="G23" s="93"/>
      <c r="H23" s="93"/>
      <c r="I23" s="94"/>
      <c r="J23" s="24"/>
    </row>
    <row r="24" spans="1:16" ht="12.75" customHeight="1">
      <c r="A24" s="25">
        <v>18</v>
      </c>
      <c r="B24" s="11" t="s">
        <v>41</v>
      </c>
      <c r="C24" s="101" t="s">
        <v>42</v>
      </c>
      <c r="D24" s="102"/>
      <c r="E24" s="103"/>
      <c r="F24" s="104">
        <f>F9-750</f>
        <v>51400</v>
      </c>
      <c r="G24" s="105"/>
      <c r="H24" s="105"/>
      <c r="I24" s="106"/>
      <c r="J24" s="22">
        <f>J9-750</f>
        <v>52150</v>
      </c>
    </row>
    <row r="25" spans="1:16" ht="12.75" customHeight="1">
      <c r="A25" s="26">
        <v>19</v>
      </c>
      <c r="B25" s="12" t="s">
        <v>43</v>
      </c>
      <c r="C25" s="107" t="s">
        <v>44</v>
      </c>
      <c r="D25" s="107"/>
      <c r="E25" s="107"/>
      <c r="F25" s="108">
        <f>F9-1250</f>
        <v>50900</v>
      </c>
      <c r="G25" s="108"/>
      <c r="H25" s="108"/>
      <c r="I25" s="108"/>
      <c r="J25" s="27"/>
    </row>
    <row r="26" spans="1:16" ht="12.75" customHeight="1">
      <c r="A26" s="28"/>
      <c r="B26" s="29"/>
      <c r="C26" s="29"/>
      <c r="D26" s="29"/>
      <c r="E26" s="29"/>
      <c r="F26" s="29"/>
      <c r="G26" s="29"/>
      <c r="H26" s="29"/>
      <c r="I26" s="29"/>
      <c r="J26" s="30"/>
    </row>
    <row r="27" spans="1:16" ht="12.75" customHeight="1">
      <c r="A27" s="109" t="s">
        <v>45</v>
      </c>
      <c r="B27" s="110"/>
      <c r="C27" s="110"/>
      <c r="D27" s="110"/>
      <c r="E27" s="110"/>
      <c r="F27" s="110"/>
      <c r="G27" s="110"/>
      <c r="H27" s="110"/>
      <c r="I27" s="110"/>
      <c r="J27" s="111"/>
    </row>
    <row r="28" spans="1:16" s="34" customFormat="1" ht="15.75" customHeight="1">
      <c r="A28" s="112" t="s">
        <v>46</v>
      </c>
      <c r="B28" s="113"/>
      <c r="C28" s="113"/>
      <c r="D28" s="113"/>
      <c r="E28" s="113"/>
      <c r="F28" s="113"/>
      <c r="G28" s="113"/>
      <c r="H28" s="113"/>
      <c r="I28" s="113"/>
      <c r="J28" s="114"/>
    </row>
    <row r="29" spans="1:16" ht="12.75" customHeight="1">
      <c r="A29" s="115" t="s">
        <v>47</v>
      </c>
      <c r="B29" s="116"/>
      <c r="C29" s="116"/>
      <c r="D29" s="116"/>
      <c r="E29" s="116"/>
      <c r="F29" s="116"/>
      <c r="G29" s="116" t="s">
        <v>48</v>
      </c>
      <c r="H29" s="116"/>
      <c r="I29" s="116"/>
      <c r="J29" s="117"/>
    </row>
    <row r="30" spans="1:16" ht="12.75" customHeight="1">
      <c r="A30" s="98" t="s">
        <v>49</v>
      </c>
      <c r="B30" s="99"/>
      <c r="C30" s="99"/>
      <c r="D30" s="99"/>
      <c r="E30" s="99"/>
      <c r="F30" s="99"/>
      <c r="G30" s="99" t="s">
        <v>50</v>
      </c>
      <c r="H30" s="99"/>
      <c r="I30" s="99"/>
      <c r="J30" s="100"/>
    </row>
    <row r="31" spans="1:16" ht="12.75" customHeight="1">
      <c r="A31" s="98" t="s">
        <v>51</v>
      </c>
      <c r="B31" s="99"/>
      <c r="C31" s="99"/>
      <c r="D31" s="99"/>
      <c r="E31" s="99"/>
      <c r="F31" s="99"/>
      <c r="G31" s="99" t="s">
        <v>52</v>
      </c>
      <c r="H31" s="99"/>
      <c r="I31" s="99"/>
      <c r="J31" s="100"/>
    </row>
    <row r="32" spans="1:16" ht="113.25" customHeight="1">
      <c r="A32" s="121" t="s">
        <v>53</v>
      </c>
      <c r="B32" s="122"/>
      <c r="C32" s="122"/>
      <c r="D32" s="123" t="s">
        <v>54</v>
      </c>
      <c r="E32" s="123"/>
      <c r="F32" s="123"/>
      <c r="G32" s="123"/>
      <c r="H32" s="31"/>
      <c r="I32" s="123" t="s">
        <v>55</v>
      </c>
      <c r="J32" s="124"/>
      <c r="P32" s="4"/>
    </row>
    <row r="33" spans="1:10">
      <c r="A33" s="2"/>
      <c r="B33" s="3"/>
      <c r="C33" s="3"/>
      <c r="D33" s="3"/>
      <c r="E33" s="3"/>
      <c r="F33" s="3"/>
      <c r="G33" s="3"/>
      <c r="H33" s="3"/>
      <c r="I33" s="3"/>
      <c r="J33" s="3"/>
    </row>
    <row r="39" spans="1:10">
      <c r="G39" s="1" t="s">
        <v>56</v>
      </c>
    </row>
  </sheetData>
  <mergeCells count="60">
    <mergeCell ref="A31:F31"/>
    <mergeCell ref="G31:J31"/>
    <mergeCell ref="A32:C32"/>
    <mergeCell ref="D32:G32"/>
    <mergeCell ref="I32:J32"/>
    <mergeCell ref="C20:E20"/>
    <mergeCell ref="F20:I20"/>
    <mergeCell ref="C21:E21"/>
    <mergeCell ref="F21:I21"/>
    <mergeCell ref="C22:E22"/>
    <mergeCell ref="F22:I22"/>
    <mergeCell ref="A30:F30"/>
    <mergeCell ref="G30:J30"/>
    <mergeCell ref="C23:E23"/>
    <mergeCell ref="F23:I23"/>
    <mergeCell ref="C24:E24"/>
    <mergeCell ref="F24:I24"/>
    <mergeCell ref="C25:E25"/>
    <mergeCell ref="F25:I25"/>
    <mergeCell ref="A27:J27"/>
    <mergeCell ref="A28:J28"/>
    <mergeCell ref="A29:F29"/>
    <mergeCell ref="G29:J29"/>
    <mergeCell ref="C17:E17"/>
    <mergeCell ref="F17:I17"/>
    <mergeCell ref="C18:E18"/>
    <mergeCell ref="C19:E19"/>
    <mergeCell ref="F19:I19"/>
    <mergeCell ref="F18:I18"/>
    <mergeCell ref="C14:E14"/>
    <mergeCell ref="F14:I14"/>
    <mergeCell ref="C15:E15"/>
    <mergeCell ref="F15:I15"/>
    <mergeCell ref="C16:E16"/>
    <mergeCell ref="F16:I16"/>
    <mergeCell ref="C11:E11"/>
    <mergeCell ref="F11:I11"/>
    <mergeCell ref="C12:E12"/>
    <mergeCell ref="F12:I12"/>
    <mergeCell ref="C13:E13"/>
    <mergeCell ref="F13:I13"/>
    <mergeCell ref="C8:E8"/>
    <mergeCell ref="F8:I8"/>
    <mergeCell ref="C9:E9"/>
    <mergeCell ref="F9:I9"/>
    <mergeCell ref="C10:E10"/>
    <mergeCell ref="F10:I10"/>
    <mergeCell ref="C5:E5"/>
    <mergeCell ref="F5:I5"/>
    <mergeCell ref="C6:E6"/>
    <mergeCell ref="F6:I6"/>
    <mergeCell ref="C7:E7"/>
    <mergeCell ref="F7:I7"/>
    <mergeCell ref="C4:E4"/>
    <mergeCell ref="F4:I4"/>
    <mergeCell ref="B1:I1"/>
    <mergeCell ref="C2:E2"/>
    <mergeCell ref="F2:I2"/>
    <mergeCell ref="C3:E3"/>
    <mergeCell ref="F3:I3"/>
  </mergeCells>
  <printOptions horizontalCentered="1"/>
  <pageMargins left="0.25" right="0.25" top="0.75" bottom="0.75" header="0.3" footer="0.3"/>
  <pageSetup paperSize="9" scale="90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2AED6-72D8-4468-9A6A-4E1048C31B3B}">
  <sheetPr>
    <pageSetUpPr fitToPage="1"/>
  </sheetPr>
  <dimension ref="A1:P39"/>
  <sheetViews>
    <sheetView topLeftCell="B21" workbookViewId="0">
      <selection activeCell="A28" sqref="A28:J28"/>
    </sheetView>
  </sheetViews>
  <sheetFormatPr defaultColWidth="8.83203125" defaultRowHeight="12.75"/>
  <cols>
    <col min="1" max="1" width="61" style="1" customWidth="1"/>
    <col min="2" max="2" width="48.33203125" style="1" customWidth="1"/>
    <col min="3" max="3" width="11.33203125" style="1" customWidth="1"/>
    <col min="4" max="4" width="30.83203125" style="1" customWidth="1"/>
    <col min="5" max="5" width="13.5" style="1" customWidth="1"/>
    <col min="6" max="6" width="9.5" style="1" customWidth="1"/>
    <col min="7" max="7" width="32.5" style="1" customWidth="1"/>
    <col min="8" max="8" width="24.83203125" style="1" customWidth="1"/>
    <col min="9" max="9" width="18.83203125" style="1" customWidth="1"/>
    <col min="10" max="10" width="57.5" style="1" customWidth="1"/>
    <col min="11" max="16384" width="8.83203125" style="1"/>
  </cols>
  <sheetData>
    <row r="1" spans="1:11" ht="122.25" customHeight="1">
      <c r="A1" s="35" t="s">
        <v>57</v>
      </c>
      <c r="B1" s="131" t="s">
        <v>58</v>
      </c>
      <c r="C1" s="131"/>
      <c r="D1" s="131"/>
      <c r="E1" s="131"/>
      <c r="F1" s="131"/>
      <c r="G1" s="131"/>
      <c r="H1" s="131"/>
      <c r="I1" s="131"/>
      <c r="J1" s="36" t="s">
        <v>59</v>
      </c>
    </row>
    <row r="2" spans="1:11" s="16" customFormat="1" ht="33.75" customHeight="1">
      <c r="A2" s="37" t="s">
        <v>60</v>
      </c>
      <c r="B2" s="38" t="s">
        <v>61</v>
      </c>
      <c r="C2" s="132" t="s">
        <v>62</v>
      </c>
      <c r="D2" s="133"/>
      <c r="E2" s="134"/>
      <c r="F2" s="132" t="s">
        <v>6</v>
      </c>
      <c r="G2" s="133"/>
      <c r="H2" s="133"/>
      <c r="I2" s="134"/>
      <c r="J2" s="39" t="s">
        <v>63</v>
      </c>
    </row>
    <row r="3" spans="1:11" ht="21" customHeight="1">
      <c r="A3" s="47">
        <v>1</v>
      </c>
      <c r="B3" s="40" t="s">
        <v>64</v>
      </c>
      <c r="C3" s="135" t="s">
        <v>65</v>
      </c>
      <c r="D3" s="136"/>
      <c r="E3" s="137"/>
      <c r="F3" s="138">
        <f>F9+2000</f>
        <v>54150</v>
      </c>
      <c r="G3" s="139"/>
      <c r="H3" s="139"/>
      <c r="I3" s="140"/>
      <c r="J3" s="48">
        <f>J9+2500</f>
        <v>56650</v>
      </c>
    </row>
    <row r="4" spans="1:11" ht="21" customHeight="1">
      <c r="A4" s="49">
        <v>2</v>
      </c>
      <c r="B4" s="41" t="s">
        <v>66</v>
      </c>
      <c r="C4" s="125" t="s">
        <v>66</v>
      </c>
      <c r="D4" s="126"/>
      <c r="E4" s="127"/>
      <c r="F4" s="128">
        <f>F9+1500</f>
        <v>53650</v>
      </c>
      <c r="G4" s="129"/>
      <c r="H4" s="129"/>
      <c r="I4" s="130"/>
      <c r="J4" s="50">
        <f>J9+2000</f>
        <v>56150</v>
      </c>
    </row>
    <row r="5" spans="1:11" ht="21" customHeight="1">
      <c r="A5" s="49">
        <v>3</v>
      </c>
      <c r="B5" s="42" t="s">
        <v>67</v>
      </c>
      <c r="C5" s="125" t="s">
        <v>67</v>
      </c>
      <c r="D5" s="126"/>
      <c r="E5" s="127"/>
      <c r="F5" s="128">
        <f>F9+250</f>
        <v>52400</v>
      </c>
      <c r="G5" s="129"/>
      <c r="H5" s="129"/>
      <c r="I5" s="130"/>
      <c r="J5" s="50">
        <f>J9+250</f>
        <v>54400</v>
      </c>
    </row>
    <row r="6" spans="1:11" ht="21" customHeight="1">
      <c r="A6" s="49">
        <v>3</v>
      </c>
      <c r="B6" s="43" t="s">
        <v>68</v>
      </c>
      <c r="C6" s="125" t="s">
        <v>69</v>
      </c>
      <c r="D6" s="126"/>
      <c r="E6" s="127"/>
      <c r="F6" s="128">
        <f>F9+500</f>
        <v>52650</v>
      </c>
      <c r="G6" s="129"/>
      <c r="H6" s="129"/>
      <c r="I6" s="130"/>
      <c r="J6" s="50">
        <f>J9+1000</f>
        <v>55150</v>
      </c>
    </row>
    <row r="7" spans="1:11" ht="21" customHeight="1">
      <c r="A7" s="49">
        <v>4</v>
      </c>
      <c r="B7" s="42" t="s">
        <v>70</v>
      </c>
      <c r="C7" s="125" t="s">
        <v>71</v>
      </c>
      <c r="D7" s="126"/>
      <c r="E7" s="127"/>
      <c r="F7" s="128">
        <f>F9</f>
        <v>52150</v>
      </c>
      <c r="G7" s="129"/>
      <c r="H7" s="129"/>
      <c r="I7" s="130"/>
      <c r="J7" s="50">
        <f>J9+500</f>
        <v>54650</v>
      </c>
    </row>
    <row r="8" spans="1:11" ht="21" customHeight="1">
      <c r="A8" s="49">
        <v>5</v>
      </c>
      <c r="B8" s="41" t="s">
        <v>72</v>
      </c>
      <c r="C8" s="125" t="s">
        <v>73</v>
      </c>
      <c r="D8" s="126"/>
      <c r="E8" s="127"/>
      <c r="F8" s="128">
        <f>F9+500</f>
        <v>52650</v>
      </c>
      <c r="G8" s="129"/>
      <c r="H8" s="129"/>
      <c r="I8" s="130"/>
      <c r="J8" s="50">
        <f>J9+500</f>
        <v>54650</v>
      </c>
    </row>
    <row r="9" spans="1:11" ht="21" customHeight="1">
      <c r="A9" s="49">
        <v>6</v>
      </c>
      <c r="B9" s="41" t="s">
        <v>74</v>
      </c>
      <c r="C9" s="125" t="s">
        <v>75</v>
      </c>
      <c r="D9" s="126"/>
      <c r="E9" s="127"/>
      <c r="F9" s="141">
        <f>51400+750</f>
        <v>52150</v>
      </c>
      <c r="G9" s="142"/>
      <c r="H9" s="142"/>
      <c r="I9" s="143"/>
      <c r="J9" s="51">
        <f>52900+1250</f>
        <v>54150</v>
      </c>
      <c r="K9" s="68"/>
    </row>
    <row r="10" spans="1:11" ht="21" customHeight="1">
      <c r="A10" s="49">
        <v>7</v>
      </c>
      <c r="B10" s="41" t="s">
        <v>76</v>
      </c>
      <c r="C10" s="125" t="s">
        <v>77</v>
      </c>
      <c r="D10" s="126"/>
      <c r="E10" s="127"/>
      <c r="F10" s="128">
        <f>F9</f>
        <v>52150</v>
      </c>
      <c r="G10" s="129"/>
      <c r="H10" s="129"/>
      <c r="I10" s="130"/>
      <c r="J10" s="50">
        <f>J9</f>
        <v>54150</v>
      </c>
    </row>
    <row r="11" spans="1:11" ht="21" customHeight="1">
      <c r="A11" s="49">
        <v>8</v>
      </c>
      <c r="B11" s="41" t="s">
        <v>78</v>
      </c>
      <c r="C11" s="125" t="s">
        <v>79</v>
      </c>
      <c r="D11" s="126"/>
      <c r="E11" s="127"/>
      <c r="F11" s="128">
        <f>F9</f>
        <v>52150</v>
      </c>
      <c r="G11" s="129"/>
      <c r="H11" s="129"/>
      <c r="I11" s="130"/>
      <c r="J11" s="50">
        <f>J9</f>
        <v>54150</v>
      </c>
    </row>
    <row r="12" spans="1:11" ht="21" customHeight="1">
      <c r="A12" s="49">
        <v>9</v>
      </c>
      <c r="B12" s="44" t="s">
        <v>80</v>
      </c>
      <c r="C12" s="125" t="s">
        <v>81</v>
      </c>
      <c r="D12" s="126"/>
      <c r="E12" s="127"/>
      <c r="F12" s="128">
        <f>F9</f>
        <v>52150</v>
      </c>
      <c r="G12" s="129"/>
      <c r="H12" s="129"/>
      <c r="I12" s="130"/>
      <c r="J12" s="50">
        <f>J9</f>
        <v>54150</v>
      </c>
    </row>
    <row r="13" spans="1:11" ht="21" customHeight="1">
      <c r="A13" s="49">
        <v>10</v>
      </c>
      <c r="B13" s="44" t="s">
        <v>82</v>
      </c>
      <c r="C13" s="125" t="s">
        <v>83</v>
      </c>
      <c r="D13" s="126"/>
      <c r="E13" s="127"/>
      <c r="F13" s="128">
        <f>F9</f>
        <v>52150</v>
      </c>
      <c r="G13" s="129"/>
      <c r="H13" s="129"/>
      <c r="I13" s="130"/>
      <c r="J13" s="50">
        <f>J9</f>
        <v>54150</v>
      </c>
    </row>
    <row r="14" spans="1:11" ht="21" customHeight="1">
      <c r="A14" s="52"/>
      <c r="B14" s="53"/>
      <c r="C14" s="144"/>
      <c r="D14" s="145"/>
      <c r="E14" s="146"/>
      <c r="F14" s="144"/>
      <c r="G14" s="145"/>
      <c r="H14" s="145"/>
      <c r="I14" s="146"/>
      <c r="J14" s="54"/>
    </row>
    <row r="15" spans="1:11" ht="21" customHeight="1">
      <c r="A15" s="49">
        <v>11</v>
      </c>
      <c r="B15" s="42" t="s">
        <v>84</v>
      </c>
      <c r="C15" s="125" t="s">
        <v>85</v>
      </c>
      <c r="D15" s="126"/>
      <c r="E15" s="127"/>
      <c r="F15" s="128">
        <f>F9-750</f>
        <v>51400</v>
      </c>
      <c r="G15" s="129"/>
      <c r="H15" s="129"/>
      <c r="I15" s="130"/>
      <c r="J15" s="50">
        <f>J9-1250</f>
        <v>52900</v>
      </c>
    </row>
    <row r="16" spans="1:11" ht="21" customHeight="1">
      <c r="A16" s="49">
        <v>12</v>
      </c>
      <c r="B16" s="43" t="s">
        <v>86</v>
      </c>
      <c r="C16" s="125" t="s">
        <v>87</v>
      </c>
      <c r="D16" s="126"/>
      <c r="E16" s="127"/>
      <c r="F16" s="128">
        <f>F9-1750</f>
        <v>50400</v>
      </c>
      <c r="G16" s="129"/>
      <c r="H16" s="129"/>
      <c r="I16" s="130"/>
      <c r="J16" s="50">
        <f>J9-1250</f>
        <v>52900</v>
      </c>
    </row>
    <row r="17" spans="1:16" ht="21" customHeight="1">
      <c r="A17" s="52"/>
      <c r="B17" s="53"/>
      <c r="C17" s="144"/>
      <c r="D17" s="145"/>
      <c r="E17" s="146"/>
      <c r="F17" s="144"/>
      <c r="G17" s="145"/>
      <c r="H17" s="145"/>
      <c r="I17" s="146"/>
      <c r="J17" s="54"/>
    </row>
    <row r="18" spans="1:16" ht="21" customHeight="1">
      <c r="A18" s="49">
        <v>13</v>
      </c>
      <c r="B18" s="41" t="s">
        <v>88</v>
      </c>
      <c r="C18" s="125" t="s">
        <v>89</v>
      </c>
      <c r="D18" s="126"/>
      <c r="E18" s="127"/>
      <c r="F18" s="147" t="str">
        <f>F9-1050 &amp; ",  Odisha West - "&amp; F9-1750</f>
        <v>51100,  Odisha West - 50400</v>
      </c>
      <c r="G18" s="148"/>
      <c r="H18" s="148"/>
      <c r="I18" s="149"/>
      <c r="J18" s="55"/>
    </row>
    <row r="19" spans="1:16" ht="21" customHeight="1">
      <c r="A19" s="49">
        <v>14</v>
      </c>
      <c r="B19" s="41" t="s">
        <v>90</v>
      </c>
      <c r="C19" s="125" t="s">
        <v>91</v>
      </c>
      <c r="D19" s="126"/>
      <c r="E19" s="127"/>
      <c r="F19" s="128">
        <f>F9-750</f>
        <v>51400</v>
      </c>
      <c r="G19" s="129"/>
      <c r="H19" s="129"/>
      <c r="I19" s="130"/>
      <c r="J19" s="54"/>
    </row>
    <row r="20" spans="1:16" ht="21" customHeight="1">
      <c r="A20" s="49">
        <v>15</v>
      </c>
      <c r="B20" s="41" t="s">
        <v>92</v>
      </c>
      <c r="C20" s="125" t="s">
        <v>93</v>
      </c>
      <c r="D20" s="126"/>
      <c r="E20" s="127"/>
      <c r="F20" s="128">
        <f>F9-750</f>
        <v>51400</v>
      </c>
      <c r="G20" s="129"/>
      <c r="H20" s="129"/>
      <c r="I20" s="130"/>
      <c r="J20" s="54"/>
    </row>
    <row r="21" spans="1:16" ht="30" customHeight="1">
      <c r="A21" s="49">
        <v>16</v>
      </c>
      <c r="B21" s="42" t="s">
        <v>94</v>
      </c>
      <c r="C21" s="150" t="s">
        <v>95</v>
      </c>
      <c r="D21" s="151"/>
      <c r="E21" s="152"/>
      <c r="F21" s="128">
        <f>F9-250</f>
        <v>51900</v>
      </c>
      <c r="G21" s="129"/>
      <c r="H21" s="129"/>
      <c r="I21" s="130"/>
      <c r="J21" s="54"/>
    </row>
    <row r="22" spans="1:16" ht="21" customHeight="1">
      <c r="A22" s="49">
        <v>17</v>
      </c>
      <c r="B22" s="42" t="s">
        <v>94</v>
      </c>
      <c r="C22" s="125" t="s">
        <v>96</v>
      </c>
      <c r="D22" s="126"/>
      <c r="E22" s="127"/>
      <c r="F22" s="128">
        <f>F9-750</f>
        <v>51400</v>
      </c>
      <c r="G22" s="129"/>
      <c r="H22" s="129"/>
      <c r="I22" s="130"/>
      <c r="J22" s="54"/>
    </row>
    <row r="23" spans="1:16" ht="21" customHeight="1">
      <c r="A23" s="52"/>
      <c r="B23" s="53"/>
      <c r="C23" s="144"/>
      <c r="D23" s="145"/>
      <c r="E23" s="146"/>
      <c r="F23" s="144"/>
      <c r="G23" s="145"/>
      <c r="H23" s="145"/>
      <c r="I23" s="146"/>
      <c r="J23" s="54"/>
    </row>
    <row r="24" spans="1:16" ht="21" customHeight="1">
      <c r="A24" s="56">
        <v>18</v>
      </c>
      <c r="B24" s="45" t="s">
        <v>41</v>
      </c>
      <c r="C24" s="153" t="s">
        <v>97</v>
      </c>
      <c r="D24" s="154"/>
      <c r="E24" s="155"/>
      <c r="F24" s="156">
        <f>F9-750</f>
        <v>51400</v>
      </c>
      <c r="G24" s="157"/>
      <c r="H24" s="157"/>
      <c r="I24" s="158"/>
      <c r="J24" s="50">
        <f>J9-750</f>
        <v>53400</v>
      </c>
    </row>
    <row r="25" spans="1:16" ht="21" customHeight="1">
      <c r="A25" s="57">
        <v>19</v>
      </c>
      <c r="B25" s="46" t="s">
        <v>98</v>
      </c>
      <c r="C25" s="159" t="s">
        <v>99</v>
      </c>
      <c r="D25" s="159"/>
      <c r="E25" s="159"/>
      <c r="F25" s="160">
        <f>F9-1250</f>
        <v>50900</v>
      </c>
      <c r="G25" s="160"/>
      <c r="H25" s="160"/>
      <c r="I25" s="160"/>
      <c r="J25" s="58"/>
    </row>
    <row r="26" spans="1:16" ht="21" customHeight="1">
      <c r="A26" s="59"/>
      <c r="B26" s="60"/>
      <c r="C26" s="60"/>
      <c r="D26" s="60"/>
      <c r="E26" s="60"/>
      <c r="F26" s="60"/>
      <c r="G26" s="60"/>
      <c r="H26" s="60"/>
      <c r="I26" s="60"/>
      <c r="J26" s="61"/>
    </row>
    <row r="27" spans="1:16" ht="21" customHeight="1">
      <c r="A27" s="161" t="s">
        <v>100</v>
      </c>
      <c r="B27" s="162"/>
      <c r="C27" s="162"/>
      <c r="D27" s="162"/>
      <c r="E27" s="162"/>
      <c r="F27" s="162"/>
      <c r="G27" s="162"/>
      <c r="H27" s="162"/>
      <c r="I27" s="162"/>
      <c r="J27" s="163"/>
    </row>
    <row r="28" spans="1:16" s="34" customFormat="1" ht="21" customHeight="1">
      <c r="A28" s="164" t="s">
        <v>46</v>
      </c>
      <c r="B28" s="165"/>
      <c r="C28" s="165"/>
      <c r="D28" s="165"/>
      <c r="E28" s="165"/>
      <c r="F28" s="165"/>
      <c r="G28" s="165"/>
      <c r="H28" s="165"/>
      <c r="I28" s="165"/>
      <c r="J28" s="166"/>
    </row>
    <row r="29" spans="1:16" ht="21" customHeight="1">
      <c r="A29" s="167" t="s">
        <v>101</v>
      </c>
      <c r="B29" s="168"/>
      <c r="C29" s="168"/>
      <c r="D29" s="168"/>
      <c r="E29" s="168"/>
      <c r="F29" s="168"/>
      <c r="G29" s="168" t="s">
        <v>102</v>
      </c>
      <c r="H29" s="168"/>
      <c r="I29" s="168"/>
      <c r="J29" s="169"/>
    </row>
    <row r="30" spans="1:16" ht="21" customHeight="1">
      <c r="A30" s="170" t="s">
        <v>103</v>
      </c>
      <c r="B30" s="171"/>
      <c r="C30" s="171"/>
      <c r="D30" s="171"/>
      <c r="E30" s="171"/>
      <c r="F30" s="171"/>
      <c r="G30" s="171" t="s">
        <v>104</v>
      </c>
      <c r="H30" s="171"/>
      <c r="I30" s="171"/>
      <c r="J30" s="172"/>
    </row>
    <row r="31" spans="1:16" ht="21" customHeight="1">
      <c r="A31" s="170" t="s">
        <v>105</v>
      </c>
      <c r="B31" s="171"/>
      <c r="C31" s="171"/>
      <c r="D31" s="171"/>
      <c r="E31" s="171"/>
      <c r="F31" s="171"/>
      <c r="G31" s="171" t="s">
        <v>106</v>
      </c>
      <c r="H31" s="171"/>
      <c r="I31" s="171"/>
      <c r="J31" s="172"/>
    </row>
    <row r="32" spans="1:16" ht="113.25" customHeight="1">
      <c r="A32" s="121" t="s">
        <v>53</v>
      </c>
      <c r="B32" s="122"/>
      <c r="C32" s="122"/>
      <c r="D32" s="123" t="s">
        <v>54</v>
      </c>
      <c r="E32" s="123"/>
      <c r="F32" s="123"/>
      <c r="G32" s="123"/>
      <c r="H32" s="62"/>
      <c r="I32" s="123" t="s">
        <v>55</v>
      </c>
      <c r="J32" s="124"/>
      <c r="P32" s="4"/>
    </row>
    <row r="33" spans="1:10">
      <c r="A33" s="2"/>
      <c r="B33" s="3"/>
      <c r="C33" s="3"/>
      <c r="D33" s="3"/>
      <c r="E33" s="3"/>
      <c r="F33" s="3"/>
      <c r="G33" s="3"/>
      <c r="H33" s="3"/>
      <c r="I33" s="3"/>
      <c r="J33" s="3"/>
    </row>
    <row r="39" spans="1:10">
      <c r="G39" s="1" t="s">
        <v>56</v>
      </c>
    </row>
  </sheetData>
  <mergeCells count="60">
    <mergeCell ref="A31:F31"/>
    <mergeCell ref="G31:J31"/>
    <mergeCell ref="A32:C32"/>
    <mergeCell ref="D32:G32"/>
    <mergeCell ref="I32:J32"/>
    <mergeCell ref="A27:J27"/>
    <mergeCell ref="A28:J28"/>
    <mergeCell ref="A29:F29"/>
    <mergeCell ref="G29:J29"/>
    <mergeCell ref="A30:F30"/>
    <mergeCell ref="G30:J30"/>
    <mergeCell ref="C23:E23"/>
    <mergeCell ref="F23:I23"/>
    <mergeCell ref="C24:E24"/>
    <mergeCell ref="F24:I24"/>
    <mergeCell ref="C25:E25"/>
    <mergeCell ref="F25:I25"/>
    <mergeCell ref="C20:E20"/>
    <mergeCell ref="F20:I20"/>
    <mergeCell ref="C21:E21"/>
    <mergeCell ref="F21:I21"/>
    <mergeCell ref="C22:E22"/>
    <mergeCell ref="F22:I22"/>
    <mergeCell ref="C17:E17"/>
    <mergeCell ref="F17:I17"/>
    <mergeCell ref="C18:E18"/>
    <mergeCell ref="F18:I18"/>
    <mergeCell ref="C19:E19"/>
    <mergeCell ref="F19:I19"/>
    <mergeCell ref="C14:E14"/>
    <mergeCell ref="F14:I14"/>
    <mergeCell ref="C15:E15"/>
    <mergeCell ref="F15:I15"/>
    <mergeCell ref="C16:E16"/>
    <mergeCell ref="F16:I16"/>
    <mergeCell ref="C11:E11"/>
    <mergeCell ref="F11:I11"/>
    <mergeCell ref="C12:E12"/>
    <mergeCell ref="F12:I12"/>
    <mergeCell ref="C13:E13"/>
    <mergeCell ref="F13:I13"/>
    <mergeCell ref="C8:E8"/>
    <mergeCell ref="F8:I8"/>
    <mergeCell ref="C9:E9"/>
    <mergeCell ref="F9:I9"/>
    <mergeCell ref="C10:E10"/>
    <mergeCell ref="F10:I10"/>
    <mergeCell ref="C5:E5"/>
    <mergeCell ref="F5:I5"/>
    <mergeCell ref="C6:E6"/>
    <mergeCell ref="F6:I6"/>
    <mergeCell ref="C7:E7"/>
    <mergeCell ref="F7:I7"/>
    <mergeCell ref="C4:E4"/>
    <mergeCell ref="F4:I4"/>
    <mergeCell ref="B1:I1"/>
    <mergeCell ref="C2:E2"/>
    <mergeCell ref="F2:I2"/>
    <mergeCell ref="C3:E3"/>
    <mergeCell ref="F3:I3"/>
  </mergeCells>
  <printOptions horizontalCentered="1" verticalCentered="1"/>
  <pageMargins left="0.25" right="0.25" top="0.75" bottom="0.75" header="0.3" footer="0.3"/>
  <pageSetup paperSize="9" scale="90"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21AE-B213-4CD7-99D4-816D7160E778}">
  <sheetPr>
    <pageSetUpPr fitToPage="1"/>
  </sheetPr>
  <dimension ref="A1:P39"/>
  <sheetViews>
    <sheetView topLeftCell="D20" workbookViewId="0">
      <selection activeCell="J24" sqref="J24"/>
    </sheetView>
  </sheetViews>
  <sheetFormatPr defaultColWidth="8.83203125" defaultRowHeight="12.75"/>
  <cols>
    <col min="1" max="1" width="61" style="1" customWidth="1"/>
    <col min="2" max="2" width="48.33203125" style="1" customWidth="1"/>
    <col min="3" max="3" width="11.33203125" style="1" customWidth="1"/>
    <col min="4" max="4" width="30.83203125" style="1" customWidth="1"/>
    <col min="5" max="5" width="13.5" style="1" customWidth="1"/>
    <col min="6" max="6" width="9.5" style="1" customWidth="1"/>
    <col min="7" max="7" width="32.5" style="1" customWidth="1"/>
    <col min="8" max="8" width="24.83203125" style="1" customWidth="1"/>
    <col min="9" max="9" width="18.83203125" style="1" customWidth="1"/>
    <col min="10" max="10" width="57.5" style="1" customWidth="1"/>
    <col min="11" max="16384" width="8.83203125" style="1"/>
  </cols>
  <sheetData>
    <row r="1" spans="1:10" ht="122.25" customHeight="1">
      <c r="A1" s="35" t="s">
        <v>107</v>
      </c>
      <c r="B1" s="131" t="s">
        <v>108</v>
      </c>
      <c r="C1" s="131"/>
      <c r="D1" s="131"/>
      <c r="E1" s="131"/>
      <c r="F1" s="131"/>
      <c r="G1" s="131"/>
      <c r="H1" s="131"/>
      <c r="I1" s="131"/>
      <c r="J1" s="36" t="s">
        <v>109</v>
      </c>
    </row>
    <row r="2" spans="1:10" s="16" customFormat="1" ht="33.75" customHeight="1">
      <c r="A2" s="37" t="s">
        <v>60</v>
      </c>
      <c r="B2" s="38" t="s">
        <v>61</v>
      </c>
      <c r="C2" s="132" t="s">
        <v>62</v>
      </c>
      <c r="D2" s="133"/>
      <c r="E2" s="134"/>
      <c r="F2" s="132" t="s">
        <v>6</v>
      </c>
      <c r="G2" s="133"/>
      <c r="H2" s="133"/>
      <c r="I2" s="134"/>
      <c r="J2" s="39" t="s">
        <v>63</v>
      </c>
    </row>
    <row r="3" spans="1:10" ht="21" customHeight="1">
      <c r="A3" s="47">
        <v>1</v>
      </c>
      <c r="B3" s="40" t="s">
        <v>64</v>
      </c>
      <c r="C3" s="135" t="s">
        <v>65</v>
      </c>
      <c r="D3" s="136"/>
      <c r="E3" s="137"/>
      <c r="F3" s="138">
        <f>F9+2000</f>
        <v>54900</v>
      </c>
      <c r="G3" s="139"/>
      <c r="H3" s="139"/>
      <c r="I3" s="140"/>
      <c r="J3" s="48">
        <f>J9+2500</f>
        <v>56650</v>
      </c>
    </row>
    <row r="4" spans="1:10" ht="21" customHeight="1">
      <c r="A4" s="49">
        <v>2</v>
      </c>
      <c r="B4" s="41" t="s">
        <v>66</v>
      </c>
      <c r="C4" s="125" t="s">
        <v>66</v>
      </c>
      <c r="D4" s="126"/>
      <c r="E4" s="127"/>
      <c r="F4" s="128">
        <f>F9+1500</f>
        <v>54400</v>
      </c>
      <c r="G4" s="129"/>
      <c r="H4" s="129"/>
      <c r="I4" s="130"/>
      <c r="J4" s="50">
        <f>J9+2000</f>
        <v>56150</v>
      </c>
    </row>
    <row r="5" spans="1:10" ht="21" customHeight="1">
      <c r="A5" s="49">
        <v>3</v>
      </c>
      <c r="B5" s="42" t="s">
        <v>67</v>
      </c>
      <c r="C5" s="125" t="s">
        <v>67</v>
      </c>
      <c r="D5" s="126"/>
      <c r="E5" s="127"/>
      <c r="F5" s="128">
        <f>F9+250</f>
        <v>53150</v>
      </c>
      <c r="G5" s="129"/>
      <c r="H5" s="129"/>
      <c r="I5" s="130"/>
      <c r="J5" s="50">
        <f>J9+250</f>
        <v>54400</v>
      </c>
    </row>
    <row r="6" spans="1:10" ht="21" customHeight="1">
      <c r="A6" s="49">
        <v>3</v>
      </c>
      <c r="B6" s="43" t="s">
        <v>68</v>
      </c>
      <c r="C6" s="125" t="s">
        <v>69</v>
      </c>
      <c r="D6" s="126"/>
      <c r="E6" s="127"/>
      <c r="F6" s="128">
        <f>F9+500</f>
        <v>53400</v>
      </c>
      <c r="G6" s="129"/>
      <c r="H6" s="129"/>
      <c r="I6" s="130"/>
      <c r="J6" s="50">
        <f>J9+1000</f>
        <v>55150</v>
      </c>
    </row>
    <row r="7" spans="1:10" ht="21" customHeight="1">
      <c r="A7" s="49">
        <v>4</v>
      </c>
      <c r="B7" s="42" t="s">
        <v>70</v>
      </c>
      <c r="C7" s="125" t="s">
        <v>71</v>
      </c>
      <c r="D7" s="126"/>
      <c r="E7" s="127"/>
      <c r="F7" s="128">
        <f>F9</f>
        <v>52900</v>
      </c>
      <c r="G7" s="129"/>
      <c r="H7" s="129"/>
      <c r="I7" s="130"/>
      <c r="J7" s="50">
        <f>J9+500</f>
        <v>54650</v>
      </c>
    </row>
    <row r="8" spans="1:10" ht="21" customHeight="1">
      <c r="A8" s="49">
        <v>5</v>
      </c>
      <c r="B8" s="41" t="s">
        <v>72</v>
      </c>
      <c r="C8" s="125" t="s">
        <v>73</v>
      </c>
      <c r="D8" s="126"/>
      <c r="E8" s="127"/>
      <c r="F8" s="128">
        <f>F9+500</f>
        <v>53400</v>
      </c>
      <c r="G8" s="129"/>
      <c r="H8" s="129"/>
      <c r="I8" s="130"/>
      <c r="J8" s="50">
        <f>J9+500</f>
        <v>54650</v>
      </c>
    </row>
    <row r="9" spans="1:10" ht="21" customHeight="1">
      <c r="A9" s="49">
        <v>6</v>
      </c>
      <c r="B9" s="41" t="s">
        <v>74</v>
      </c>
      <c r="C9" s="125" t="s">
        <v>75</v>
      </c>
      <c r="D9" s="126"/>
      <c r="E9" s="127"/>
      <c r="F9" s="141">
        <f>51400+750+750</f>
        <v>52900</v>
      </c>
      <c r="G9" s="142"/>
      <c r="H9" s="142"/>
      <c r="I9" s="143"/>
      <c r="J9" s="51">
        <f>52900+1250</f>
        <v>54150</v>
      </c>
    </row>
    <row r="10" spans="1:10" ht="21" customHeight="1">
      <c r="A10" s="49">
        <v>7</v>
      </c>
      <c r="B10" s="41" t="s">
        <v>76</v>
      </c>
      <c r="C10" s="125" t="s">
        <v>77</v>
      </c>
      <c r="D10" s="126"/>
      <c r="E10" s="127"/>
      <c r="F10" s="128">
        <f>F9</f>
        <v>52900</v>
      </c>
      <c r="G10" s="129"/>
      <c r="H10" s="129"/>
      <c r="I10" s="130"/>
      <c r="J10" s="50">
        <f>J9</f>
        <v>54150</v>
      </c>
    </row>
    <row r="11" spans="1:10" ht="21" customHeight="1">
      <c r="A11" s="49">
        <v>8</v>
      </c>
      <c r="B11" s="41" t="s">
        <v>78</v>
      </c>
      <c r="C11" s="125" t="s">
        <v>79</v>
      </c>
      <c r="D11" s="126"/>
      <c r="E11" s="127"/>
      <c r="F11" s="128">
        <f>F9</f>
        <v>52900</v>
      </c>
      <c r="G11" s="129"/>
      <c r="H11" s="129"/>
      <c r="I11" s="130"/>
      <c r="J11" s="50">
        <f>J9</f>
        <v>54150</v>
      </c>
    </row>
    <row r="12" spans="1:10" ht="21" customHeight="1">
      <c r="A12" s="49">
        <v>9</v>
      </c>
      <c r="B12" s="44" t="s">
        <v>80</v>
      </c>
      <c r="C12" s="125" t="s">
        <v>81</v>
      </c>
      <c r="D12" s="126"/>
      <c r="E12" s="127"/>
      <c r="F12" s="128">
        <f>F9</f>
        <v>52900</v>
      </c>
      <c r="G12" s="129"/>
      <c r="H12" s="129"/>
      <c r="I12" s="130"/>
      <c r="J12" s="50">
        <f>J9</f>
        <v>54150</v>
      </c>
    </row>
    <row r="13" spans="1:10" ht="21" customHeight="1">
      <c r="A13" s="49">
        <v>10</v>
      </c>
      <c r="B13" s="44" t="s">
        <v>82</v>
      </c>
      <c r="C13" s="125" t="s">
        <v>83</v>
      </c>
      <c r="D13" s="126"/>
      <c r="E13" s="127"/>
      <c r="F13" s="128">
        <f>F9</f>
        <v>52900</v>
      </c>
      <c r="G13" s="129"/>
      <c r="H13" s="129"/>
      <c r="I13" s="130"/>
      <c r="J13" s="50">
        <f>J9</f>
        <v>54150</v>
      </c>
    </row>
    <row r="14" spans="1:10" ht="21" customHeight="1">
      <c r="A14" s="52"/>
      <c r="B14" s="53"/>
      <c r="C14" s="144"/>
      <c r="D14" s="145"/>
      <c r="E14" s="146"/>
      <c r="F14" s="144"/>
      <c r="G14" s="145"/>
      <c r="H14" s="145"/>
      <c r="I14" s="146"/>
      <c r="J14" s="54"/>
    </row>
    <row r="15" spans="1:10" ht="21" customHeight="1">
      <c r="A15" s="49">
        <v>11</v>
      </c>
      <c r="B15" s="42" t="s">
        <v>84</v>
      </c>
      <c r="C15" s="125" t="s">
        <v>85</v>
      </c>
      <c r="D15" s="126"/>
      <c r="E15" s="127"/>
      <c r="F15" s="128">
        <f>F9-750</f>
        <v>52150</v>
      </c>
      <c r="G15" s="129"/>
      <c r="H15" s="129"/>
      <c r="I15" s="130"/>
      <c r="J15" s="50">
        <f>J9-1250</f>
        <v>52900</v>
      </c>
    </row>
    <row r="16" spans="1:10" ht="21" customHeight="1">
      <c r="A16" s="49">
        <v>12</v>
      </c>
      <c r="B16" s="43" t="s">
        <v>86</v>
      </c>
      <c r="C16" s="125" t="s">
        <v>87</v>
      </c>
      <c r="D16" s="126"/>
      <c r="E16" s="127"/>
      <c r="F16" s="128">
        <f>F9-1750</f>
        <v>51150</v>
      </c>
      <c r="G16" s="129"/>
      <c r="H16" s="129"/>
      <c r="I16" s="130"/>
      <c r="J16" s="50">
        <f>J9-1250</f>
        <v>52900</v>
      </c>
    </row>
    <row r="17" spans="1:16" ht="21" customHeight="1">
      <c r="A17" s="52"/>
      <c r="B17" s="53"/>
      <c r="C17" s="144"/>
      <c r="D17" s="145"/>
      <c r="E17" s="146"/>
      <c r="F17" s="144"/>
      <c r="G17" s="145"/>
      <c r="H17" s="145"/>
      <c r="I17" s="146"/>
      <c r="J17" s="54"/>
    </row>
    <row r="18" spans="1:16" ht="21" customHeight="1">
      <c r="A18" s="49">
        <v>13</v>
      </c>
      <c r="B18" s="41" t="s">
        <v>88</v>
      </c>
      <c r="C18" s="125" t="s">
        <v>89</v>
      </c>
      <c r="D18" s="126"/>
      <c r="E18" s="127"/>
      <c r="F18" s="147" t="str">
        <f>F9-1050 &amp; ",  Odisha West - "&amp; F9-1750</f>
        <v>51850,  Odisha West - 51150</v>
      </c>
      <c r="G18" s="148"/>
      <c r="H18" s="148"/>
      <c r="I18" s="149"/>
      <c r="J18" s="55"/>
    </row>
    <row r="19" spans="1:16" ht="21" customHeight="1">
      <c r="A19" s="49">
        <v>14</v>
      </c>
      <c r="B19" s="41" t="s">
        <v>90</v>
      </c>
      <c r="C19" s="125" t="s">
        <v>91</v>
      </c>
      <c r="D19" s="126"/>
      <c r="E19" s="127"/>
      <c r="F19" s="128">
        <f>F9-750</f>
        <v>52150</v>
      </c>
      <c r="G19" s="129"/>
      <c r="H19" s="129"/>
      <c r="I19" s="130"/>
      <c r="J19" s="54"/>
    </row>
    <row r="20" spans="1:16" ht="21" customHeight="1">
      <c r="A20" s="49">
        <v>15</v>
      </c>
      <c r="B20" s="41" t="s">
        <v>92</v>
      </c>
      <c r="C20" s="125" t="s">
        <v>93</v>
      </c>
      <c r="D20" s="126"/>
      <c r="E20" s="127"/>
      <c r="F20" s="128">
        <f>F9-750</f>
        <v>52150</v>
      </c>
      <c r="G20" s="129"/>
      <c r="H20" s="129"/>
      <c r="I20" s="130"/>
      <c r="J20" s="54"/>
    </row>
    <row r="21" spans="1:16" ht="30" customHeight="1">
      <c r="A21" s="49">
        <v>16</v>
      </c>
      <c r="B21" s="42" t="s">
        <v>94</v>
      </c>
      <c r="C21" s="150" t="s">
        <v>95</v>
      </c>
      <c r="D21" s="151"/>
      <c r="E21" s="152"/>
      <c r="F21" s="128">
        <f>F9-250</f>
        <v>52650</v>
      </c>
      <c r="G21" s="129"/>
      <c r="H21" s="129"/>
      <c r="I21" s="130"/>
      <c r="J21" s="54"/>
    </row>
    <row r="22" spans="1:16" ht="21" customHeight="1">
      <c r="A22" s="49">
        <v>17</v>
      </c>
      <c r="B22" s="42" t="s">
        <v>94</v>
      </c>
      <c r="C22" s="125" t="s">
        <v>96</v>
      </c>
      <c r="D22" s="126"/>
      <c r="E22" s="127"/>
      <c r="F22" s="128">
        <f>F9-750</f>
        <v>52150</v>
      </c>
      <c r="G22" s="129"/>
      <c r="H22" s="129"/>
      <c r="I22" s="130"/>
      <c r="J22" s="54"/>
    </row>
    <row r="23" spans="1:16" ht="21" customHeight="1">
      <c r="A23" s="52"/>
      <c r="B23" s="53"/>
      <c r="C23" s="144"/>
      <c r="D23" s="145"/>
      <c r="E23" s="146"/>
      <c r="F23" s="144"/>
      <c r="G23" s="145"/>
      <c r="H23" s="145"/>
      <c r="I23" s="146"/>
      <c r="J23" s="54"/>
    </row>
    <row r="24" spans="1:16" ht="21" customHeight="1">
      <c r="A24" s="56">
        <v>18</v>
      </c>
      <c r="B24" s="45" t="s">
        <v>41</v>
      </c>
      <c r="C24" s="153" t="s">
        <v>97</v>
      </c>
      <c r="D24" s="154"/>
      <c r="E24" s="155"/>
      <c r="F24" s="156">
        <f>F9-750</f>
        <v>52150</v>
      </c>
      <c r="G24" s="157"/>
      <c r="H24" s="157"/>
      <c r="I24" s="158"/>
      <c r="J24" s="50">
        <f>J9-750</f>
        <v>53400</v>
      </c>
    </row>
    <row r="25" spans="1:16" ht="21" customHeight="1">
      <c r="A25" s="57">
        <v>19</v>
      </c>
      <c r="B25" s="46" t="s">
        <v>98</v>
      </c>
      <c r="C25" s="159" t="s">
        <v>99</v>
      </c>
      <c r="D25" s="159"/>
      <c r="E25" s="159"/>
      <c r="F25" s="160">
        <f>F9-1250</f>
        <v>51650</v>
      </c>
      <c r="G25" s="160"/>
      <c r="H25" s="160"/>
      <c r="I25" s="160"/>
      <c r="J25" s="58"/>
    </row>
    <row r="26" spans="1:16" ht="21" customHeight="1">
      <c r="A26" s="59"/>
      <c r="B26" s="60"/>
      <c r="C26" s="60"/>
      <c r="D26" s="60"/>
      <c r="E26" s="60"/>
      <c r="F26" s="60"/>
      <c r="G26" s="60"/>
      <c r="H26" s="60"/>
      <c r="I26" s="60"/>
      <c r="J26" s="61"/>
    </row>
    <row r="27" spans="1:16" ht="21" customHeight="1">
      <c r="A27" s="161" t="s">
        <v>100</v>
      </c>
      <c r="B27" s="162"/>
      <c r="C27" s="162"/>
      <c r="D27" s="162"/>
      <c r="E27" s="162"/>
      <c r="F27" s="162"/>
      <c r="G27" s="162"/>
      <c r="H27" s="162"/>
      <c r="I27" s="162"/>
      <c r="J27" s="163"/>
    </row>
    <row r="28" spans="1:16" s="34" customFormat="1" ht="21" customHeight="1">
      <c r="A28" s="164" t="s">
        <v>46</v>
      </c>
      <c r="B28" s="165"/>
      <c r="C28" s="165"/>
      <c r="D28" s="165"/>
      <c r="E28" s="165"/>
      <c r="F28" s="165"/>
      <c r="G28" s="165"/>
      <c r="H28" s="165"/>
      <c r="I28" s="165"/>
      <c r="J28" s="166"/>
    </row>
    <row r="29" spans="1:16" ht="21" customHeight="1">
      <c r="A29" s="167" t="s">
        <v>101</v>
      </c>
      <c r="B29" s="168"/>
      <c r="C29" s="168"/>
      <c r="D29" s="168"/>
      <c r="E29" s="168"/>
      <c r="F29" s="168"/>
      <c r="G29" s="168" t="s">
        <v>102</v>
      </c>
      <c r="H29" s="168"/>
      <c r="I29" s="168"/>
      <c r="J29" s="169"/>
    </row>
    <row r="30" spans="1:16" ht="21" customHeight="1">
      <c r="A30" s="170" t="s">
        <v>103</v>
      </c>
      <c r="B30" s="171"/>
      <c r="C30" s="171"/>
      <c r="D30" s="171"/>
      <c r="E30" s="171"/>
      <c r="F30" s="171"/>
      <c r="G30" s="171" t="s">
        <v>104</v>
      </c>
      <c r="H30" s="171"/>
      <c r="I30" s="171"/>
      <c r="J30" s="172"/>
    </row>
    <row r="31" spans="1:16" ht="21" customHeight="1">
      <c r="A31" s="170" t="s">
        <v>105</v>
      </c>
      <c r="B31" s="171"/>
      <c r="C31" s="171"/>
      <c r="D31" s="171"/>
      <c r="E31" s="171"/>
      <c r="F31" s="171"/>
      <c r="G31" s="171" t="s">
        <v>106</v>
      </c>
      <c r="H31" s="171"/>
      <c r="I31" s="171"/>
      <c r="J31" s="172"/>
    </row>
    <row r="32" spans="1:16" ht="113.25" customHeight="1">
      <c r="A32" s="121" t="s">
        <v>53</v>
      </c>
      <c r="B32" s="122"/>
      <c r="C32" s="122"/>
      <c r="D32" s="123" t="s">
        <v>54</v>
      </c>
      <c r="E32" s="123"/>
      <c r="F32" s="123"/>
      <c r="G32" s="123"/>
      <c r="H32" s="62"/>
      <c r="I32" s="123" t="s">
        <v>55</v>
      </c>
      <c r="J32" s="124"/>
      <c r="P32" s="4"/>
    </row>
    <row r="33" spans="1:10">
      <c r="A33" s="2"/>
      <c r="B33" s="3"/>
      <c r="C33" s="3"/>
      <c r="D33" s="3"/>
      <c r="E33" s="3"/>
      <c r="F33" s="3"/>
      <c r="G33" s="3"/>
      <c r="H33" s="3"/>
      <c r="I33" s="3"/>
      <c r="J33" s="3"/>
    </row>
    <row r="39" spans="1:10">
      <c r="G39" s="1" t="s">
        <v>56</v>
      </c>
    </row>
  </sheetData>
  <mergeCells count="60">
    <mergeCell ref="A31:F31"/>
    <mergeCell ref="G31:J31"/>
    <mergeCell ref="A32:C32"/>
    <mergeCell ref="D32:G32"/>
    <mergeCell ref="I32:J32"/>
    <mergeCell ref="A27:J27"/>
    <mergeCell ref="A28:J28"/>
    <mergeCell ref="A29:F29"/>
    <mergeCell ref="G29:J29"/>
    <mergeCell ref="A30:F30"/>
    <mergeCell ref="G30:J30"/>
    <mergeCell ref="C23:E23"/>
    <mergeCell ref="F23:I23"/>
    <mergeCell ref="C24:E24"/>
    <mergeCell ref="F24:I24"/>
    <mergeCell ref="C25:E25"/>
    <mergeCell ref="F25:I25"/>
    <mergeCell ref="C20:E20"/>
    <mergeCell ref="F20:I20"/>
    <mergeCell ref="C21:E21"/>
    <mergeCell ref="F21:I21"/>
    <mergeCell ref="C22:E22"/>
    <mergeCell ref="F22:I22"/>
    <mergeCell ref="C17:E17"/>
    <mergeCell ref="F17:I17"/>
    <mergeCell ref="C18:E18"/>
    <mergeCell ref="F18:I18"/>
    <mergeCell ref="C19:E19"/>
    <mergeCell ref="F19:I19"/>
    <mergeCell ref="C14:E14"/>
    <mergeCell ref="F14:I14"/>
    <mergeCell ref="C15:E15"/>
    <mergeCell ref="F15:I15"/>
    <mergeCell ref="C16:E16"/>
    <mergeCell ref="F16:I16"/>
    <mergeCell ref="C11:E11"/>
    <mergeCell ref="F11:I11"/>
    <mergeCell ref="C12:E12"/>
    <mergeCell ref="F12:I12"/>
    <mergeCell ref="C13:E13"/>
    <mergeCell ref="F13:I13"/>
    <mergeCell ref="C8:E8"/>
    <mergeCell ref="F8:I8"/>
    <mergeCell ref="C9:E9"/>
    <mergeCell ref="F9:I9"/>
    <mergeCell ref="C10:E10"/>
    <mergeCell ref="F10:I10"/>
    <mergeCell ref="C5:E5"/>
    <mergeCell ref="F5:I5"/>
    <mergeCell ref="C6:E6"/>
    <mergeCell ref="F6:I6"/>
    <mergeCell ref="C7:E7"/>
    <mergeCell ref="F7:I7"/>
    <mergeCell ref="C4:E4"/>
    <mergeCell ref="F4:I4"/>
    <mergeCell ref="B1:I1"/>
    <mergeCell ref="C2:E2"/>
    <mergeCell ref="F2:I2"/>
    <mergeCell ref="C3:E3"/>
    <mergeCell ref="F3:I3"/>
  </mergeCells>
  <printOptions horizontalCentered="1" verticalCentered="1"/>
  <pageMargins left="0.25" right="0.25" top="0.75" bottom="0.75" header="0.3" footer="0.3"/>
  <pageSetup paperSize="9" scale="90" orientation="landscape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D4AC-FF95-4EA4-87AF-4883A7A90E58}">
  <sheetPr>
    <pageSetUpPr fitToPage="1"/>
  </sheetPr>
  <dimension ref="A1:P39"/>
  <sheetViews>
    <sheetView topLeftCell="C14" workbookViewId="0">
      <selection activeCell="M24" sqref="M24"/>
    </sheetView>
  </sheetViews>
  <sheetFormatPr defaultColWidth="8.83203125" defaultRowHeight="12.75"/>
  <cols>
    <col min="1" max="1" width="61" style="1" customWidth="1"/>
    <col min="2" max="2" width="48.33203125" style="1" customWidth="1"/>
    <col min="3" max="3" width="11.33203125" style="1" customWidth="1"/>
    <col min="4" max="4" width="30.83203125" style="1" customWidth="1"/>
    <col min="5" max="5" width="13.5" style="1" customWidth="1"/>
    <col min="6" max="6" width="9.5" style="1" customWidth="1"/>
    <col min="7" max="7" width="32.5" style="1" customWidth="1"/>
    <col min="8" max="8" width="24.83203125" style="1" customWidth="1"/>
    <col min="9" max="9" width="18.83203125" style="1" customWidth="1"/>
    <col min="10" max="10" width="57.5" style="1" customWidth="1"/>
    <col min="11" max="16384" width="8.83203125" style="1"/>
  </cols>
  <sheetData>
    <row r="1" spans="1:10" ht="122.25" customHeight="1">
      <c r="A1" s="35" t="s">
        <v>110</v>
      </c>
      <c r="B1" s="131" t="s">
        <v>111</v>
      </c>
      <c r="C1" s="131"/>
      <c r="D1" s="131"/>
      <c r="E1" s="131"/>
      <c r="F1" s="131"/>
      <c r="G1" s="131"/>
      <c r="H1" s="131"/>
      <c r="I1" s="131"/>
      <c r="J1" s="36" t="s">
        <v>112</v>
      </c>
    </row>
    <row r="2" spans="1:10" s="16" customFormat="1" ht="33.75" customHeight="1">
      <c r="A2" s="37" t="s">
        <v>60</v>
      </c>
      <c r="B2" s="38" t="s">
        <v>61</v>
      </c>
      <c r="C2" s="132" t="s">
        <v>62</v>
      </c>
      <c r="D2" s="133"/>
      <c r="E2" s="134"/>
      <c r="F2" s="132" t="s">
        <v>6</v>
      </c>
      <c r="G2" s="133"/>
      <c r="H2" s="133"/>
      <c r="I2" s="134"/>
      <c r="J2" s="39" t="s">
        <v>63</v>
      </c>
    </row>
    <row r="3" spans="1:10" ht="21" customHeight="1">
      <c r="A3" s="47">
        <v>1</v>
      </c>
      <c r="B3" s="40" t="s">
        <v>64</v>
      </c>
      <c r="C3" s="135" t="s">
        <v>65</v>
      </c>
      <c r="D3" s="136"/>
      <c r="E3" s="137"/>
      <c r="F3" s="138">
        <f>F9+2000</f>
        <v>55400</v>
      </c>
      <c r="G3" s="139"/>
      <c r="H3" s="139"/>
      <c r="I3" s="140"/>
      <c r="J3" s="48">
        <f>J9+2500</f>
        <v>56650</v>
      </c>
    </row>
    <row r="4" spans="1:10" ht="21" customHeight="1">
      <c r="A4" s="49">
        <v>2</v>
      </c>
      <c r="B4" s="41" t="s">
        <v>66</v>
      </c>
      <c r="C4" s="125" t="s">
        <v>66</v>
      </c>
      <c r="D4" s="126"/>
      <c r="E4" s="127"/>
      <c r="F4" s="128">
        <f>F9+1500</f>
        <v>54900</v>
      </c>
      <c r="G4" s="129"/>
      <c r="H4" s="129"/>
      <c r="I4" s="130"/>
      <c r="J4" s="50">
        <f>J9+2000</f>
        <v>56150</v>
      </c>
    </row>
    <row r="5" spans="1:10" ht="21" customHeight="1">
      <c r="A5" s="49">
        <v>3</v>
      </c>
      <c r="B5" s="42" t="s">
        <v>67</v>
      </c>
      <c r="C5" s="125" t="s">
        <v>67</v>
      </c>
      <c r="D5" s="126"/>
      <c r="E5" s="127"/>
      <c r="F5" s="128">
        <f>F9+250</f>
        <v>53650</v>
      </c>
      <c r="G5" s="129"/>
      <c r="H5" s="129"/>
      <c r="I5" s="130"/>
      <c r="J5" s="50">
        <f>J9+250</f>
        <v>54400</v>
      </c>
    </row>
    <row r="6" spans="1:10" ht="21" customHeight="1">
      <c r="A6" s="49">
        <v>3</v>
      </c>
      <c r="B6" s="43" t="s">
        <v>68</v>
      </c>
      <c r="C6" s="125" t="s">
        <v>69</v>
      </c>
      <c r="D6" s="126"/>
      <c r="E6" s="127"/>
      <c r="F6" s="128">
        <f>F9+500</f>
        <v>53900</v>
      </c>
      <c r="G6" s="129"/>
      <c r="H6" s="129"/>
      <c r="I6" s="130"/>
      <c r="J6" s="50">
        <f>J9+1000</f>
        <v>55150</v>
      </c>
    </row>
    <row r="7" spans="1:10" ht="21" customHeight="1">
      <c r="A7" s="49">
        <v>4</v>
      </c>
      <c r="B7" s="42" t="s">
        <v>70</v>
      </c>
      <c r="C7" s="125" t="s">
        <v>71</v>
      </c>
      <c r="D7" s="126"/>
      <c r="E7" s="127"/>
      <c r="F7" s="128">
        <f>F9</f>
        <v>53400</v>
      </c>
      <c r="G7" s="129"/>
      <c r="H7" s="129"/>
      <c r="I7" s="130"/>
      <c r="J7" s="50">
        <f>J9+500</f>
        <v>54650</v>
      </c>
    </row>
    <row r="8" spans="1:10" ht="21" customHeight="1">
      <c r="A8" s="49">
        <v>5</v>
      </c>
      <c r="B8" s="41" t="s">
        <v>72</v>
      </c>
      <c r="C8" s="125" t="s">
        <v>73</v>
      </c>
      <c r="D8" s="126"/>
      <c r="E8" s="127"/>
      <c r="F8" s="128">
        <f>F9+500</f>
        <v>53900</v>
      </c>
      <c r="G8" s="129"/>
      <c r="H8" s="129"/>
      <c r="I8" s="130"/>
      <c r="J8" s="50">
        <f>J9+500</f>
        <v>54650</v>
      </c>
    </row>
    <row r="9" spans="1:10" ht="21" customHeight="1">
      <c r="A9" s="49">
        <v>6</v>
      </c>
      <c r="B9" s="41" t="s">
        <v>74</v>
      </c>
      <c r="C9" s="125" t="s">
        <v>75</v>
      </c>
      <c r="D9" s="126"/>
      <c r="E9" s="127"/>
      <c r="F9" s="141">
        <f>51400+750+750+500</f>
        <v>53400</v>
      </c>
      <c r="G9" s="142"/>
      <c r="H9" s="142"/>
      <c r="I9" s="143"/>
      <c r="J9" s="51">
        <f>52900+1250</f>
        <v>54150</v>
      </c>
    </row>
    <row r="10" spans="1:10" ht="21" customHeight="1">
      <c r="A10" s="49">
        <v>7</v>
      </c>
      <c r="B10" s="41" t="s">
        <v>76</v>
      </c>
      <c r="C10" s="125" t="s">
        <v>77</v>
      </c>
      <c r="D10" s="126"/>
      <c r="E10" s="127"/>
      <c r="F10" s="128">
        <f>F9</f>
        <v>53400</v>
      </c>
      <c r="G10" s="129"/>
      <c r="H10" s="129"/>
      <c r="I10" s="130"/>
      <c r="J10" s="50">
        <f>J9</f>
        <v>54150</v>
      </c>
    </row>
    <row r="11" spans="1:10" ht="21" customHeight="1">
      <c r="A11" s="49">
        <v>8</v>
      </c>
      <c r="B11" s="41" t="s">
        <v>78</v>
      </c>
      <c r="C11" s="125" t="s">
        <v>79</v>
      </c>
      <c r="D11" s="126"/>
      <c r="E11" s="127"/>
      <c r="F11" s="128">
        <f>F9</f>
        <v>53400</v>
      </c>
      <c r="G11" s="129"/>
      <c r="H11" s="129"/>
      <c r="I11" s="130"/>
      <c r="J11" s="50">
        <f>J9</f>
        <v>54150</v>
      </c>
    </row>
    <row r="12" spans="1:10" ht="21" customHeight="1">
      <c r="A12" s="49">
        <v>9</v>
      </c>
      <c r="B12" s="44" t="s">
        <v>80</v>
      </c>
      <c r="C12" s="125" t="s">
        <v>81</v>
      </c>
      <c r="D12" s="126"/>
      <c r="E12" s="127"/>
      <c r="F12" s="128">
        <f>F9</f>
        <v>53400</v>
      </c>
      <c r="G12" s="129"/>
      <c r="H12" s="129"/>
      <c r="I12" s="130"/>
      <c r="J12" s="50">
        <f>J9</f>
        <v>54150</v>
      </c>
    </row>
    <row r="13" spans="1:10" ht="21" customHeight="1">
      <c r="A13" s="56">
        <v>10</v>
      </c>
      <c r="B13" s="63" t="s">
        <v>82</v>
      </c>
      <c r="C13" s="153" t="s">
        <v>83</v>
      </c>
      <c r="D13" s="154"/>
      <c r="E13" s="155"/>
      <c r="F13" s="156">
        <f>F9</f>
        <v>53400</v>
      </c>
      <c r="G13" s="157"/>
      <c r="H13" s="157"/>
      <c r="I13" s="158"/>
      <c r="J13" s="64">
        <f>J9</f>
        <v>54150</v>
      </c>
    </row>
    <row r="14" spans="1:10" ht="21" customHeight="1">
      <c r="A14" s="52"/>
      <c r="B14" s="53"/>
      <c r="C14" s="173"/>
      <c r="D14" s="173"/>
      <c r="E14" s="173"/>
      <c r="F14" s="173"/>
      <c r="G14" s="173"/>
      <c r="H14" s="173"/>
      <c r="I14" s="173"/>
      <c r="J14" s="54"/>
    </row>
    <row r="15" spans="1:10" ht="21" customHeight="1">
      <c r="A15" s="49">
        <v>11</v>
      </c>
      <c r="B15" s="42" t="s">
        <v>84</v>
      </c>
      <c r="C15" s="174" t="s">
        <v>85</v>
      </c>
      <c r="D15" s="174"/>
      <c r="E15" s="174"/>
      <c r="F15" s="175">
        <f>F9-750</f>
        <v>52650</v>
      </c>
      <c r="G15" s="175"/>
      <c r="H15" s="175"/>
      <c r="I15" s="175"/>
      <c r="J15" s="50">
        <f>J9-1250</f>
        <v>52900</v>
      </c>
    </row>
    <row r="16" spans="1:10" ht="21" customHeight="1">
      <c r="A16" s="49">
        <v>12</v>
      </c>
      <c r="B16" s="43" t="s">
        <v>86</v>
      </c>
      <c r="C16" s="174" t="s">
        <v>87</v>
      </c>
      <c r="D16" s="174"/>
      <c r="E16" s="174"/>
      <c r="F16" s="175">
        <f>F9-1750</f>
        <v>51650</v>
      </c>
      <c r="G16" s="175"/>
      <c r="H16" s="175"/>
      <c r="I16" s="175"/>
      <c r="J16" s="50">
        <f>J9-1250</f>
        <v>52900</v>
      </c>
    </row>
    <row r="17" spans="1:16" ht="21" customHeight="1">
      <c r="A17" s="65"/>
      <c r="B17" s="66"/>
      <c r="C17" s="176"/>
      <c r="D17" s="177"/>
      <c r="E17" s="178"/>
      <c r="F17" s="176"/>
      <c r="G17" s="177"/>
      <c r="H17" s="177"/>
      <c r="I17" s="178"/>
      <c r="J17" s="67"/>
    </row>
    <row r="18" spans="1:16" ht="21" customHeight="1">
      <c r="A18" s="49">
        <v>13</v>
      </c>
      <c r="B18" s="41" t="s">
        <v>88</v>
      </c>
      <c r="C18" s="125" t="s">
        <v>89</v>
      </c>
      <c r="D18" s="126"/>
      <c r="E18" s="127"/>
      <c r="F18" s="147" t="str">
        <f>F9-1050 &amp; ",  Odisha West - "&amp; F9-1750</f>
        <v>52350,  Odisha West - 51650</v>
      </c>
      <c r="G18" s="148"/>
      <c r="H18" s="148"/>
      <c r="I18" s="149"/>
      <c r="J18" s="55"/>
    </row>
    <row r="19" spans="1:16" ht="21" customHeight="1">
      <c r="A19" s="49">
        <v>14</v>
      </c>
      <c r="B19" s="41" t="s">
        <v>90</v>
      </c>
      <c r="C19" s="125" t="s">
        <v>91</v>
      </c>
      <c r="D19" s="126"/>
      <c r="E19" s="127"/>
      <c r="F19" s="128">
        <f>F9-750</f>
        <v>52650</v>
      </c>
      <c r="G19" s="129"/>
      <c r="H19" s="129"/>
      <c r="I19" s="130"/>
      <c r="J19" s="54"/>
    </row>
    <row r="20" spans="1:16" ht="21" customHeight="1">
      <c r="A20" s="49">
        <v>15</v>
      </c>
      <c r="B20" s="41" t="s">
        <v>92</v>
      </c>
      <c r="C20" s="125" t="s">
        <v>93</v>
      </c>
      <c r="D20" s="126"/>
      <c r="E20" s="127"/>
      <c r="F20" s="128">
        <f>F9-750</f>
        <v>52650</v>
      </c>
      <c r="G20" s="129"/>
      <c r="H20" s="129"/>
      <c r="I20" s="130"/>
      <c r="J20" s="54"/>
    </row>
    <row r="21" spans="1:16" ht="30" customHeight="1">
      <c r="A21" s="49">
        <v>16</v>
      </c>
      <c r="B21" s="42" t="s">
        <v>94</v>
      </c>
      <c r="C21" s="150" t="s">
        <v>95</v>
      </c>
      <c r="D21" s="151"/>
      <c r="E21" s="152"/>
      <c r="F21" s="128">
        <f>F9-250</f>
        <v>53150</v>
      </c>
      <c r="G21" s="129"/>
      <c r="H21" s="129"/>
      <c r="I21" s="130"/>
      <c r="J21" s="54"/>
    </row>
    <row r="22" spans="1:16" ht="21" customHeight="1">
      <c r="A22" s="49">
        <v>17</v>
      </c>
      <c r="B22" s="42" t="s">
        <v>94</v>
      </c>
      <c r="C22" s="125" t="s">
        <v>96</v>
      </c>
      <c r="D22" s="126"/>
      <c r="E22" s="127"/>
      <c r="F22" s="128">
        <f>F9-750</f>
        <v>52650</v>
      </c>
      <c r="G22" s="129"/>
      <c r="H22" s="129"/>
      <c r="I22" s="130"/>
      <c r="J22" s="54"/>
    </row>
    <row r="23" spans="1:16" ht="21" customHeight="1">
      <c r="A23" s="52"/>
      <c r="B23" s="53"/>
      <c r="C23" s="144"/>
      <c r="D23" s="145"/>
      <c r="E23" s="146"/>
      <c r="F23" s="144"/>
      <c r="G23" s="145"/>
      <c r="H23" s="145"/>
      <c r="I23" s="146"/>
      <c r="J23" s="54"/>
    </row>
    <row r="24" spans="1:16" ht="21" customHeight="1">
      <c r="A24" s="56">
        <v>18</v>
      </c>
      <c r="B24" s="45" t="s">
        <v>41</v>
      </c>
      <c r="C24" s="153" t="s">
        <v>97</v>
      </c>
      <c r="D24" s="154"/>
      <c r="E24" s="155"/>
      <c r="F24" s="156">
        <f>F9-750</f>
        <v>52650</v>
      </c>
      <c r="G24" s="157"/>
      <c r="H24" s="157"/>
      <c r="I24" s="158"/>
      <c r="J24" s="50">
        <f>J9-750</f>
        <v>53400</v>
      </c>
    </row>
    <row r="25" spans="1:16" ht="21" customHeight="1">
      <c r="A25" s="57">
        <v>19</v>
      </c>
      <c r="B25" s="46" t="s">
        <v>98</v>
      </c>
      <c r="C25" s="159" t="s">
        <v>99</v>
      </c>
      <c r="D25" s="159"/>
      <c r="E25" s="159"/>
      <c r="F25" s="160">
        <f>F9-1250</f>
        <v>52150</v>
      </c>
      <c r="G25" s="160"/>
      <c r="H25" s="160"/>
      <c r="I25" s="160"/>
      <c r="J25" s="58"/>
    </row>
    <row r="26" spans="1:16" ht="21" customHeight="1">
      <c r="A26" s="59"/>
      <c r="B26" s="60"/>
      <c r="C26" s="60"/>
      <c r="D26" s="60"/>
      <c r="E26" s="60"/>
      <c r="F26" s="60"/>
      <c r="G26" s="60"/>
      <c r="H26" s="60"/>
      <c r="I26" s="60"/>
      <c r="J26" s="61"/>
    </row>
    <row r="27" spans="1:16" ht="21" customHeight="1">
      <c r="A27" s="161" t="s">
        <v>100</v>
      </c>
      <c r="B27" s="162"/>
      <c r="C27" s="162"/>
      <c r="D27" s="162"/>
      <c r="E27" s="162"/>
      <c r="F27" s="162"/>
      <c r="G27" s="162"/>
      <c r="H27" s="162"/>
      <c r="I27" s="162"/>
      <c r="J27" s="163"/>
    </row>
    <row r="28" spans="1:16" s="34" customFormat="1" ht="21" customHeight="1">
      <c r="A28" s="164" t="s">
        <v>46</v>
      </c>
      <c r="B28" s="165"/>
      <c r="C28" s="165"/>
      <c r="D28" s="165"/>
      <c r="E28" s="165"/>
      <c r="F28" s="165"/>
      <c r="G28" s="165"/>
      <c r="H28" s="165"/>
      <c r="I28" s="165"/>
      <c r="J28" s="166"/>
    </row>
    <row r="29" spans="1:16" ht="21" customHeight="1">
      <c r="A29" s="167" t="s">
        <v>101</v>
      </c>
      <c r="B29" s="168"/>
      <c r="C29" s="168"/>
      <c r="D29" s="168"/>
      <c r="E29" s="168"/>
      <c r="F29" s="168"/>
      <c r="G29" s="168" t="s">
        <v>102</v>
      </c>
      <c r="H29" s="168"/>
      <c r="I29" s="168"/>
      <c r="J29" s="169"/>
    </row>
    <row r="30" spans="1:16" ht="21" customHeight="1">
      <c r="A30" s="170" t="s">
        <v>103</v>
      </c>
      <c r="B30" s="171"/>
      <c r="C30" s="171"/>
      <c r="D30" s="171"/>
      <c r="E30" s="171"/>
      <c r="F30" s="171"/>
      <c r="G30" s="171" t="s">
        <v>104</v>
      </c>
      <c r="H30" s="171"/>
      <c r="I30" s="171"/>
      <c r="J30" s="172"/>
    </row>
    <row r="31" spans="1:16" ht="21" customHeight="1">
      <c r="A31" s="170" t="s">
        <v>105</v>
      </c>
      <c r="B31" s="171"/>
      <c r="C31" s="171"/>
      <c r="D31" s="171"/>
      <c r="E31" s="171"/>
      <c r="F31" s="171"/>
      <c r="G31" s="171" t="s">
        <v>106</v>
      </c>
      <c r="H31" s="171"/>
      <c r="I31" s="171"/>
      <c r="J31" s="172"/>
    </row>
    <row r="32" spans="1:16" ht="113.25" customHeight="1">
      <c r="A32" s="121" t="s">
        <v>53</v>
      </c>
      <c r="B32" s="122"/>
      <c r="C32" s="122"/>
      <c r="D32" s="123" t="s">
        <v>54</v>
      </c>
      <c r="E32" s="123"/>
      <c r="F32" s="123"/>
      <c r="G32" s="123"/>
      <c r="H32" s="62"/>
      <c r="I32" s="123" t="s">
        <v>55</v>
      </c>
      <c r="J32" s="124"/>
      <c r="P32" s="4"/>
    </row>
    <row r="33" spans="1:10">
      <c r="A33" s="2"/>
      <c r="B33" s="3"/>
      <c r="C33" s="3"/>
      <c r="D33" s="3"/>
      <c r="E33" s="3"/>
      <c r="F33" s="3"/>
      <c r="G33" s="3"/>
      <c r="H33" s="3"/>
      <c r="I33" s="3"/>
      <c r="J33" s="3"/>
    </row>
    <row r="39" spans="1:10">
      <c r="G39" s="1" t="s">
        <v>56</v>
      </c>
    </row>
  </sheetData>
  <mergeCells count="60">
    <mergeCell ref="A31:F31"/>
    <mergeCell ref="G31:J31"/>
    <mergeCell ref="A32:C32"/>
    <mergeCell ref="D32:G32"/>
    <mergeCell ref="I32:J32"/>
    <mergeCell ref="A27:J27"/>
    <mergeCell ref="A28:J28"/>
    <mergeCell ref="A29:F29"/>
    <mergeCell ref="G29:J29"/>
    <mergeCell ref="A30:F30"/>
    <mergeCell ref="G30:J30"/>
    <mergeCell ref="C23:E23"/>
    <mergeCell ref="F23:I23"/>
    <mergeCell ref="C24:E24"/>
    <mergeCell ref="F24:I24"/>
    <mergeCell ref="C25:E25"/>
    <mergeCell ref="F25:I25"/>
    <mergeCell ref="C20:E20"/>
    <mergeCell ref="F20:I20"/>
    <mergeCell ref="C21:E21"/>
    <mergeCell ref="F21:I21"/>
    <mergeCell ref="C22:E22"/>
    <mergeCell ref="F22:I22"/>
    <mergeCell ref="C17:E17"/>
    <mergeCell ref="F17:I17"/>
    <mergeCell ref="C18:E18"/>
    <mergeCell ref="F18:I18"/>
    <mergeCell ref="C19:E19"/>
    <mergeCell ref="F19:I19"/>
    <mergeCell ref="C14:E14"/>
    <mergeCell ref="F14:I14"/>
    <mergeCell ref="C15:E15"/>
    <mergeCell ref="F15:I15"/>
    <mergeCell ref="C16:E16"/>
    <mergeCell ref="F16:I16"/>
    <mergeCell ref="C11:E11"/>
    <mergeCell ref="F11:I11"/>
    <mergeCell ref="C12:E12"/>
    <mergeCell ref="F12:I12"/>
    <mergeCell ref="C13:E13"/>
    <mergeCell ref="F13:I13"/>
    <mergeCell ref="C8:E8"/>
    <mergeCell ref="F8:I8"/>
    <mergeCell ref="C9:E9"/>
    <mergeCell ref="F9:I9"/>
    <mergeCell ref="C10:E10"/>
    <mergeCell ref="F10:I10"/>
    <mergeCell ref="C5:E5"/>
    <mergeCell ref="F5:I5"/>
    <mergeCell ref="C6:E6"/>
    <mergeCell ref="F6:I6"/>
    <mergeCell ref="C7:E7"/>
    <mergeCell ref="F7:I7"/>
    <mergeCell ref="C4:E4"/>
    <mergeCell ref="F4:I4"/>
    <mergeCell ref="B1:I1"/>
    <mergeCell ref="C2:E2"/>
    <mergeCell ref="F2:I2"/>
    <mergeCell ref="C3:E3"/>
    <mergeCell ref="F3:I3"/>
  </mergeCells>
  <printOptions horizontalCentered="1" verticalCentered="1"/>
  <pageMargins left="0.25" right="0.25" top="0.75" bottom="0.75" header="0.3" footer="0.3"/>
  <pageSetup paperSize="9" scale="90" orientation="landscape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FA2A-3678-434D-BD6F-0EDA11A0549C}">
  <sheetPr>
    <pageSetUpPr fitToPage="1"/>
  </sheetPr>
  <dimension ref="A1:P39"/>
  <sheetViews>
    <sheetView topLeftCell="D17" workbookViewId="0">
      <selection activeCell="M24" sqref="M24"/>
    </sheetView>
  </sheetViews>
  <sheetFormatPr defaultColWidth="8.83203125" defaultRowHeight="12.75"/>
  <cols>
    <col min="1" max="1" width="61" style="1" customWidth="1"/>
    <col min="2" max="2" width="48.33203125" style="1" customWidth="1"/>
    <col min="3" max="3" width="11.33203125" style="1" customWidth="1"/>
    <col min="4" max="4" width="30.83203125" style="1" customWidth="1"/>
    <col min="5" max="5" width="13.5" style="1" customWidth="1"/>
    <col min="6" max="6" width="9.5" style="1" customWidth="1"/>
    <col min="7" max="7" width="32.5" style="1" customWidth="1"/>
    <col min="8" max="8" width="24.83203125" style="1" customWidth="1"/>
    <col min="9" max="9" width="18.83203125" style="1" customWidth="1"/>
    <col min="10" max="10" width="57.5" style="1" customWidth="1"/>
    <col min="11" max="16384" width="8.83203125" style="1"/>
  </cols>
  <sheetData>
    <row r="1" spans="1:10" ht="122.25" customHeight="1">
      <c r="A1" s="35" t="s">
        <v>113</v>
      </c>
      <c r="B1" s="131" t="s">
        <v>114</v>
      </c>
      <c r="C1" s="131"/>
      <c r="D1" s="131"/>
      <c r="E1" s="131"/>
      <c r="F1" s="131"/>
      <c r="G1" s="131"/>
      <c r="H1" s="131"/>
      <c r="I1" s="131"/>
      <c r="J1" s="36" t="s">
        <v>115</v>
      </c>
    </row>
    <row r="2" spans="1:10" s="16" customFormat="1" ht="33.75" customHeight="1">
      <c r="A2" s="37" t="s">
        <v>60</v>
      </c>
      <c r="B2" s="38" t="s">
        <v>61</v>
      </c>
      <c r="C2" s="132" t="s">
        <v>62</v>
      </c>
      <c r="D2" s="133"/>
      <c r="E2" s="134"/>
      <c r="F2" s="132" t="s">
        <v>6</v>
      </c>
      <c r="G2" s="133"/>
      <c r="H2" s="133"/>
      <c r="I2" s="134"/>
      <c r="J2" s="39" t="s">
        <v>63</v>
      </c>
    </row>
    <row r="3" spans="1:10" ht="21" customHeight="1">
      <c r="A3" s="47">
        <v>1</v>
      </c>
      <c r="B3" s="40" t="s">
        <v>64</v>
      </c>
      <c r="C3" s="135" t="s">
        <v>65</v>
      </c>
      <c r="D3" s="136"/>
      <c r="E3" s="137"/>
      <c r="F3" s="138">
        <f>F9+2000</f>
        <v>55400</v>
      </c>
      <c r="G3" s="139"/>
      <c r="H3" s="139"/>
      <c r="I3" s="140"/>
      <c r="J3" s="48">
        <f>J9+2500</f>
        <v>57650</v>
      </c>
    </row>
    <row r="4" spans="1:10" ht="21" customHeight="1">
      <c r="A4" s="49">
        <v>2</v>
      </c>
      <c r="B4" s="41" t="s">
        <v>66</v>
      </c>
      <c r="C4" s="125" t="s">
        <v>66</v>
      </c>
      <c r="D4" s="126"/>
      <c r="E4" s="127"/>
      <c r="F4" s="128">
        <f>F9+1500</f>
        <v>54900</v>
      </c>
      <c r="G4" s="129"/>
      <c r="H4" s="129"/>
      <c r="I4" s="130"/>
      <c r="J4" s="50">
        <f>J9+2000</f>
        <v>57150</v>
      </c>
    </row>
    <row r="5" spans="1:10" ht="21" customHeight="1">
      <c r="A5" s="49">
        <v>3</v>
      </c>
      <c r="B5" s="42" t="s">
        <v>67</v>
      </c>
      <c r="C5" s="125" t="s">
        <v>67</v>
      </c>
      <c r="D5" s="126"/>
      <c r="E5" s="127"/>
      <c r="F5" s="128">
        <f>F9+250</f>
        <v>53650</v>
      </c>
      <c r="G5" s="129"/>
      <c r="H5" s="129"/>
      <c r="I5" s="130"/>
      <c r="J5" s="50">
        <f>J9+250</f>
        <v>55400</v>
      </c>
    </row>
    <row r="6" spans="1:10" ht="21" customHeight="1">
      <c r="A6" s="49">
        <v>3</v>
      </c>
      <c r="B6" s="43" t="s">
        <v>68</v>
      </c>
      <c r="C6" s="125" t="s">
        <v>69</v>
      </c>
      <c r="D6" s="126"/>
      <c r="E6" s="127"/>
      <c r="F6" s="128">
        <f>F9+500</f>
        <v>53900</v>
      </c>
      <c r="G6" s="129"/>
      <c r="H6" s="129"/>
      <c r="I6" s="130"/>
      <c r="J6" s="50">
        <f>J9+1000</f>
        <v>56150</v>
      </c>
    </row>
    <row r="7" spans="1:10" ht="21" customHeight="1">
      <c r="A7" s="49">
        <v>4</v>
      </c>
      <c r="B7" s="42" t="s">
        <v>70</v>
      </c>
      <c r="C7" s="125" t="s">
        <v>71</v>
      </c>
      <c r="D7" s="126"/>
      <c r="E7" s="127"/>
      <c r="F7" s="128">
        <f>F9</f>
        <v>53400</v>
      </c>
      <c r="G7" s="129"/>
      <c r="H7" s="129"/>
      <c r="I7" s="130"/>
      <c r="J7" s="50">
        <f>J9+500</f>
        <v>55650</v>
      </c>
    </row>
    <row r="8" spans="1:10" ht="21" customHeight="1">
      <c r="A8" s="49">
        <v>5</v>
      </c>
      <c r="B8" s="41" t="s">
        <v>72</v>
      </c>
      <c r="C8" s="125" t="s">
        <v>73</v>
      </c>
      <c r="D8" s="126"/>
      <c r="E8" s="127"/>
      <c r="F8" s="128">
        <f>F9+500</f>
        <v>53900</v>
      </c>
      <c r="G8" s="129"/>
      <c r="H8" s="129"/>
      <c r="I8" s="130"/>
      <c r="J8" s="50">
        <f>J9+500</f>
        <v>55650</v>
      </c>
    </row>
    <row r="9" spans="1:10" ht="21" customHeight="1">
      <c r="A9" s="49">
        <v>6</v>
      </c>
      <c r="B9" s="41" t="s">
        <v>74</v>
      </c>
      <c r="C9" s="125" t="s">
        <v>75</v>
      </c>
      <c r="D9" s="126"/>
      <c r="E9" s="127"/>
      <c r="F9" s="141">
        <f>51400+750+750+500</f>
        <v>53400</v>
      </c>
      <c r="G9" s="142"/>
      <c r="H9" s="142"/>
      <c r="I9" s="143"/>
      <c r="J9" s="51">
        <f>52900+1250+1000</f>
        <v>55150</v>
      </c>
    </row>
    <row r="10" spans="1:10" ht="21" customHeight="1">
      <c r="A10" s="49">
        <v>7</v>
      </c>
      <c r="B10" s="41" t="s">
        <v>76</v>
      </c>
      <c r="C10" s="125" t="s">
        <v>77</v>
      </c>
      <c r="D10" s="126"/>
      <c r="E10" s="127"/>
      <c r="F10" s="128">
        <f>F9</f>
        <v>53400</v>
      </c>
      <c r="G10" s="129"/>
      <c r="H10" s="129"/>
      <c r="I10" s="130"/>
      <c r="J10" s="50">
        <f>J9</f>
        <v>55150</v>
      </c>
    </row>
    <row r="11" spans="1:10" ht="21" customHeight="1">
      <c r="A11" s="49">
        <v>8</v>
      </c>
      <c r="B11" s="41" t="s">
        <v>78</v>
      </c>
      <c r="C11" s="125" t="s">
        <v>79</v>
      </c>
      <c r="D11" s="126"/>
      <c r="E11" s="127"/>
      <c r="F11" s="128">
        <f>F9</f>
        <v>53400</v>
      </c>
      <c r="G11" s="129"/>
      <c r="H11" s="129"/>
      <c r="I11" s="130"/>
      <c r="J11" s="50">
        <f>J9</f>
        <v>55150</v>
      </c>
    </row>
    <row r="12" spans="1:10" ht="21" customHeight="1">
      <c r="A12" s="49">
        <v>9</v>
      </c>
      <c r="B12" s="44" t="s">
        <v>80</v>
      </c>
      <c r="C12" s="125" t="s">
        <v>81</v>
      </c>
      <c r="D12" s="126"/>
      <c r="E12" s="127"/>
      <c r="F12" s="128">
        <f>F9</f>
        <v>53400</v>
      </c>
      <c r="G12" s="129"/>
      <c r="H12" s="129"/>
      <c r="I12" s="130"/>
      <c r="J12" s="50">
        <f>J9</f>
        <v>55150</v>
      </c>
    </row>
    <row r="13" spans="1:10" ht="21" customHeight="1">
      <c r="A13" s="56">
        <v>10</v>
      </c>
      <c r="B13" s="63" t="s">
        <v>82</v>
      </c>
      <c r="C13" s="153" t="s">
        <v>83</v>
      </c>
      <c r="D13" s="154"/>
      <c r="E13" s="155"/>
      <c r="F13" s="156">
        <f>F9</f>
        <v>53400</v>
      </c>
      <c r="G13" s="157"/>
      <c r="H13" s="157"/>
      <c r="I13" s="158"/>
      <c r="J13" s="64">
        <f>J9</f>
        <v>55150</v>
      </c>
    </row>
    <row r="14" spans="1:10" ht="21" customHeight="1">
      <c r="A14" s="52"/>
      <c r="B14" s="53"/>
      <c r="C14" s="173"/>
      <c r="D14" s="173"/>
      <c r="E14" s="173"/>
      <c r="F14" s="173"/>
      <c r="G14" s="173"/>
      <c r="H14" s="173"/>
      <c r="I14" s="173"/>
      <c r="J14" s="54"/>
    </row>
    <row r="15" spans="1:10" ht="21" customHeight="1">
      <c r="A15" s="49">
        <v>11</v>
      </c>
      <c r="B15" s="42" t="s">
        <v>84</v>
      </c>
      <c r="C15" s="174" t="s">
        <v>85</v>
      </c>
      <c r="D15" s="174"/>
      <c r="E15" s="174"/>
      <c r="F15" s="175">
        <f>F9-750</f>
        <v>52650</v>
      </c>
      <c r="G15" s="175"/>
      <c r="H15" s="175"/>
      <c r="I15" s="175"/>
      <c r="J15" s="50">
        <f>J9-1250</f>
        <v>53900</v>
      </c>
    </row>
    <row r="16" spans="1:10" ht="21" customHeight="1">
      <c r="A16" s="49">
        <v>12</v>
      </c>
      <c r="B16" s="43" t="s">
        <v>86</v>
      </c>
      <c r="C16" s="174" t="s">
        <v>87</v>
      </c>
      <c r="D16" s="174"/>
      <c r="E16" s="174"/>
      <c r="F16" s="175">
        <f>F9-1750</f>
        <v>51650</v>
      </c>
      <c r="G16" s="175"/>
      <c r="H16" s="175"/>
      <c r="I16" s="175"/>
      <c r="J16" s="50">
        <f>J9-1250</f>
        <v>53900</v>
      </c>
    </row>
    <row r="17" spans="1:16" ht="21" customHeight="1">
      <c r="A17" s="65"/>
      <c r="B17" s="66"/>
      <c r="C17" s="176"/>
      <c r="D17" s="177"/>
      <c r="E17" s="178"/>
      <c r="F17" s="176"/>
      <c r="G17" s="177"/>
      <c r="H17" s="177"/>
      <c r="I17" s="178"/>
      <c r="J17" s="67"/>
    </row>
    <row r="18" spans="1:16" ht="21" customHeight="1">
      <c r="A18" s="49">
        <v>13</v>
      </c>
      <c r="B18" s="41" t="s">
        <v>88</v>
      </c>
      <c r="C18" s="125" t="s">
        <v>89</v>
      </c>
      <c r="D18" s="126"/>
      <c r="E18" s="127"/>
      <c r="F18" s="147" t="str">
        <f>F9-1050 &amp; ",  Odisha West - "&amp; F9-1750</f>
        <v>52350,  Odisha West - 51650</v>
      </c>
      <c r="G18" s="148"/>
      <c r="H18" s="148"/>
      <c r="I18" s="149"/>
      <c r="J18" s="55"/>
    </row>
    <row r="19" spans="1:16" ht="21" customHeight="1">
      <c r="A19" s="49">
        <v>14</v>
      </c>
      <c r="B19" s="41" t="s">
        <v>90</v>
      </c>
      <c r="C19" s="125" t="s">
        <v>91</v>
      </c>
      <c r="D19" s="126"/>
      <c r="E19" s="127"/>
      <c r="F19" s="128">
        <f>F9-750</f>
        <v>52650</v>
      </c>
      <c r="G19" s="129"/>
      <c r="H19" s="129"/>
      <c r="I19" s="130"/>
      <c r="J19" s="54"/>
    </row>
    <row r="20" spans="1:16" ht="21" customHeight="1">
      <c r="A20" s="49">
        <v>15</v>
      </c>
      <c r="B20" s="41" t="s">
        <v>92</v>
      </c>
      <c r="C20" s="125" t="s">
        <v>93</v>
      </c>
      <c r="D20" s="126"/>
      <c r="E20" s="127"/>
      <c r="F20" s="128">
        <f>F9-750</f>
        <v>52650</v>
      </c>
      <c r="G20" s="129"/>
      <c r="H20" s="129"/>
      <c r="I20" s="130"/>
      <c r="J20" s="54"/>
    </row>
    <row r="21" spans="1:16" ht="30" customHeight="1">
      <c r="A21" s="49">
        <v>16</v>
      </c>
      <c r="B21" s="42" t="s">
        <v>94</v>
      </c>
      <c r="C21" s="150" t="s">
        <v>95</v>
      </c>
      <c r="D21" s="151"/>
      <c r="E21" s="152"/>
      <c r="F21" s="128">
        <f>F9-250</f>
        <v>53150</v>
      </c>
      <c r="G21" s="129"/>
      <c r="H21" s="129"/>
      <c r="I21" s="130"/>
      <c r="J21" s="54"/>
    </row>
    <row r="22" spans="1:16" ht="21" customHeight="1">
      <c r="A22" s="49">
        <v>17</v>
      </c>
      <c r="B22" s="42" t="s">
        <v>94</v>
      </c>
      <c r="C22" s="125" t="s">
        <v>96</v>
      </c>
      <c r="D22" s="126"/>
      <c r="E22" s="127"/>
      <c r="F22" s="128">
        <f>F9-750</f>
        <v>52650</v>
      </c>
      <c r="G22" s="129"/>
      <c r="H22" s="129"/>
      <c r="I22" s="130"/>
      <c r="J22" s="54"/>
    </row>
    <row r="23" spans="1:16" ht="21" customHeight="1">
      <c r="A23" s="52"/>
      <c r="B23" s="53"/>
      <c r="C23" s="144"/>
      <c r="D23" s="145"/>
      <c r="E23" s="146"/>
      <c r="F23" s="144"/>
      <c r="G23" s="145"/>
      <c r="H23" s="145"/>
      <c r="I23" s="146"/>
      <c r="J23" s="54"/>
    </row>
    <row r="24" spans="1:16" ht="21" customHeight="1">
      <c r="A24" s="56">
        <v>18</v>
      </c>
      <c r="B24" s="45" t="s">
        <v>41</v>
      </c>
      <c r="C24" s="153" t="s">
        <v>97</v>
      </c>
      <c r="D24" s="154"/>
      <c r="E24" s="155"/>
      <c r="F24" s="156">
        <f>F9-750</f>
        <v>52650</v>
      </c>
      <c r="G24" s="157"/>
      <c r="H24" s="157"/>
      <c r="I24" s="158"/>
      <c r="J24" s="50">
        <f>J9-750</f>
        <v>54400</v>
      </c>
    </row>
    <row r="25" spans="1:16" ht="21" customHeight="1">
      <c r="A25" s="57">
        <v>19</v>
      </c>
      <c r="B25" s="46" t="s">
        <v>98</v>
      </c>
      <c r="C25" s="159" t="s">
        <v>99</v>
      </c>
      <c r="D25" s="159"/>
      <c r="E25" s="159"/>
      <c r="F25" s="160">
        <f>F9-1250</f>
        <v>52150</v>
      </c>
      <c r="G25" s="160"/>
      <c r="H25" s="160"/>
      <c r="I25" s="160"/>
      <c r="J25" s="58"/>
    </row>
    <row r="26" spans="1:16" ht="21" customHeight="1">
      <c r="A26" s="59"/>
      <c r="B26" s="60"/>
      <c r="C26" s="60"/>
      <c r="D26" s="60"/>
      <c r="E26" s="60"/>
      <c r="F26" s="60"/>
      <c r="G26" s="60"/>
      <c r="H26" s="60"/>
      <c r="I26" s="60"/>
      <c r="J26" s="61"/>
    </row>
    <row r="27" spans="1:16" ht="21" customHeight="1">
      <c r="A27" s="161" t="s">
        <v>100</v>
      </c>
      <c r="B27" s="162"/>
      <c r="C27" s="162"/>
      <c r="D27" s="162"/>
      <c r="E27" s="162"/>
      <c r="F27" s="162"/>
      <c r="G27" s="162"/>
      <c r="H27" s="162"/>
      <c r="I27" s="162"/>
      <c r="J27" s="163"/>
    </row>
    <row r="28" spans="1:16" s="34" customFormat="1" ht="21" customHeight="1">
      <c r="A28" s="164" t="s">
        <v>46</v>
      </c>
      <c r="B28" s="165"/>
      <c r="C28" s="165"/>
      <c r="D28" s="165"/>
      <c r="E28" s="165"/>
      <c r="F28" s="165"/>
      <c r="G28" s="165"/>
      <c r="H28" s="165"/>
      <c r="I28" s="165"/>
      <c r="J28" s="166"/>
    </row>
    <row r="29" spans="1:16" ht="21" customHeight="1">
      <c r="A29" s="167" t="s">
        <v>101</v>
      </c>
      <c r="B29" s="168"/>
      <c r="C29" s="168"/>
      <c r="D29" s="168"/>
      <c r="E29" s="168"/>
      <c r="F29" s="168"/>
      <c r="G29" s="168" t="s">
        <v>102</v>
      </c>
      <c r="H29" s="168"/>
      <c r="I29" s="168"/>
      <c r="J29" s="169"/>
    </row>
    <row r="30" spans="1:16" ht="21" customHeight="1">
      <c r="A30" s="170" t="s">
        <v>103</v>
      </c>
      <c r="B30" s="171"/>
      <c r="C30" s="171"/>
      <c r="D30" s="171"/>
      <c r="E30" s="171"/>
      <c r="F30" s="171"/>
      <c r="G30" s="171" t="s">
        <v>104</v>
      </c>
      <c r="H30" s="171"/>
      <c r="I30" s="171"/>
      <c r="J30" s="172"/>
    </row>
    <row r="31" spans="1:16" ht="21" customHeight="1">
      <c r="A31" s="170" t="s">
        <v>105</v>
      </c>
      <c r="B31" s="171"/>
      <c r="C31" s="171"/>
      <c r="D31" s="171"/>
      <c r="E31" s="171"/>
      <c r="F31" s="171"/>
      <c r="G31" s="171" t="s">
        <v>106</v>
      </c>
      <c r="H31" s="171"/>
      <c r="I31" s="171"/>
      <c r="J31" s="172"/>
    </row>
    <row r="32" spans="1:16" ht="113.25" customHeight="1">
      <c r="A32" s="121" t="s">
        <v>53</v>
      </c>
      <c r="B32" s="122"/>
      <c r="C32" s="122"/>
      <c r="D32" s="123" t="s">
        <v>54</v>
      </c>
      <c r="E32" s="123"/>
      <c r="F32" s="123"/>
      <c r="G32" s="123"/>
      <c r="H32" s="62"/>
      <c r="I32" s="123" t="s">
        <v>55</v>
      </c>
      <c r="J32" s="124"/>
      <c r="P32" s="4"/>
    </row>
    <row r="33" spans="1:10">
      <c r="A33" s="2"/>
      <c r="B33" s="3"/>
      <c r="C33" s="3"/>
      <c r="D33" s="3"/>
      <c r="E33" s="3"/>
      <c r="F33" s="3"/>
      <c r="G33" s="3"/>
      <c r="H33" s="3"/>
      <c r="I33" s="3"/>
      <c r="J33" s="3"/>
    </row>
    <row r="39" spans="1:10">
      <c r="G39" s="1" t="s">
        <v>56</v>
      </c>
    </row>
  </sheetData>
  <mergeCells count="60">
    <mergeCell ref="A31:F31"/>
    <mergeCell ref="G31:J31"/>
    <mergeCell ref="A32:C32"/>
    <mergeCell ref="D32:G32"/>
    <mergeCell ref="I32:J32"/>
    <mergeCell ref="A27:J27"/>
    <mergeCell ref="A28:J28"/>
    <mergeCell ref="A29:F29"/>
    <mergeCell ref="G29:J29"/>
    <mergeCell ref="A30:F30"/>
    <mergeCell ref="G30:J30"/>
    <mergeCell ref="C23:E23"/>
    <mergeCell ref="F23:I23"/>
    <mergeCell ref="C24:E24"/>
    <mergeCell ref="F24:I24"/>
    <mergeCell ref="C25:E25"/>
    <mergeCell ref="F25:I25"/>
    <mergeCell ref="C20:E20"/>
    <mergeCell ref="F20:I20"/>
    <mergeCell ref="C21:E21"/>
    <mergeCell ref="F21:I21"/>
    <mergeCell ref="C22:E22"/>
    <mergeCell ref="F22:I22"/>
    <mergeCell ref="C17:E17"/>
    <mergeCell ref="F17:I17"/>
    <mergeCell ref="C18:E18"/>
    <mergeCell ref="F18:I18"/>
    <mergeCell ref="C19:E19"/>
    <mergeCell ref="F19:I19"/>
    <mergeCell ref="C14:E14"/>
    <mergeCell ref="F14:I14"/>
    <mergeCell ref="C15:E15"/>
    <mergeCell ref="F15:I15"/>
    <mergeCell ref="C16:E16"/>
    <mergeCell ref="F16:I16"/>
    <mergeCell ref="C11:E11"/>
    <mergeCell ref="F11:I11"/>
    <mergeCell ref="C12:E12"/>
    <mergeCell ref="F12:I12"/>
    <mergeCell ref="C13:E13"/>
    <mergeCell ref="F13:I13"/>
    <mergeCell ref="C8:E8"/>
    <mergeCell ref="F8:I8"/>
    <mergeCell ref="C9:E9"/>
    <mergeCell ref="F9:I9"/>
    <mergeCell ref="C10:E10"/>
    <mergeCell ref="F10:I10"/>
    <mergeCell ref="C5:E5"/>
    <mergeCell ref="F5:I5"/>
    <mergeCell ref="C6:E6"/>
    <mergeCell ref="F6:I6"/>
    <mergeCell ref="C7:E7"/>
    <mergeCell ref="F7:I7"/>
    <mergeCell ref="C4:E4"/>
    <mergeCell ref="F4:I4"/>
    <mergeCell ref="B1:I1"/>
    <mergeCell ref="C2:E2"/>
    <mergeCell ref="F2:I2"/>
    <mergeCell ref="C3:E3"/>
    <mergeCell ref="F3:I3"/>
  </mergeCells>
  <printOptions horizontalCentered="1" verticalCentered="1"/>
  <pageMargins left="0.25" right="0.25" top="0.75" bottom="0.75" header="0.3" footer="0.3"/>
  <pageSetup paperSize="9" scale="90" orientation="landscape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DEB2-8B3E-4708-AE6A-4102C0E4CCE7}">
  <sheetPr>
    <pageSetUpPr fitToPage="1"/>
  </sheetPr>
  <dimension ref="A1:P39"/>
  <sheetViews>
    <sheetView topLeftCell="C16" workbookViewId="0">
      <selection activeCell="N25" sqref="N25"/>
    </sheetView>
  </sheetViews>
  <sheetFormatPr defaultColWidth="8.83203125" defaultRowHeight="12.75"/>
  <cols>
    <col min="1" max="1" width="61" style="1" customWidth="1"/>
    <col min="2" max="2" width="48.33203125" style="1" customWidth="1"/>
    <col min="3" max="3" width="11.33203125" style="1" customWidth="1"/>
    <col min="4" max="4" width="30.83203125" style="1" customWidth="1"/>
    <col min="5" max="5" width="13.5" style="1" customWidth="1"/>
    <col min="6" max="6" width="9.5" style="1" customWidth="1"/>
    <col min="7" max="7" width="32.5" style="1" customWidth="1"/>
    <col min="8" max="8" width="24.83203125" style="1" customWidth="1"/>
    <col min="9" max="9" width="18.83203125" style="1" customWidth="1"/>
    <col min="10" max="10" width="57.5" style="1" customWidth="1"/>
    <col min="11" max="16384" width="8.83203125" style="1"/>
  </cols>
  <sheetData>
    <row r="1" spans="1:10" ht="122.25" customHeight="1">
      <c r="A1" s="35" t="s">
        <v>116</v>
      </c>
      <c r="B1" s="131" t="s">
        <v>117</v>
      </c>
      <c r="C1" s="131"/>
      <c r="D1" s="131"/>
      <c r="E1" s="131"/>
      <c r="F1" s="131"/>
      <c r="G1" s="131"/>
      <c r="H1" s="131"/>
      <c r="I1" s="131"/>
      <c r="J1" s="36" t="s">
        <v>118</v>
      </c>
    </row>
    <row r="2" spans="1:10" s="16" customFormat="1" ht="33.75" customHeight="1">
      <c r="A2" s="37" t="s">
        <v>60</v>
      </c>
      <c r="B2" s="38" t="s">
        <v>61</v>
      </c>
      <c r="C2" s="132" t="s">
        <v>62</v>
      </c>
      <c r="D2" s="133"/>
      <c r="E2" s="134"/>
      <c r="F2" s="132" t="s">
        <v>6</v>
      </c>
      <c r="G2" s="133"/>
      <c r="H2" s="133"/>
      <c r="I2" s="134"/>
      <c r="J2" s="39" t="s">
        <v>63</v>
      </c>
    </row>
    <row r="3" spans="1:10" ht="21" customHeight="1">
      <c r="A3" s="47">
        <v>1</v>
      </c>
      <c r="B3" s="40" t="s">
        <v>64</v>
      </c>
      <c r="C3" s="135" t="s">
        <v>65</v>
      </c>
      <c r="D3" s="136"/>
      <c r="E3" s="137"/>
      <c r="F3" s="138">
        <f>F9+2000</f>
        <v>56400</v>
      </c>
      <c r="G3" s="139"/>
      <c r="H3" s="139"/>
      <c r="I3" s="140"/>
      <c r="J3" s="48">
        <f>J9+2500</f>
        <v>58650</v>
      </c>
    </row>
    <row r="4" spans="1:10" ht="21" customHeight="1">
      <c r="A4" s="49">
        <v>2</v>
      </c>
      <c r="B4" s="41" t="s">
        <v>66</v>
      </c>
      <c r="C4" s="125" t="s">
        <v>66</v>
      </c>
      <c r="D4" s="126"/>
      <c r="E4" s="127"/>
      <c r="F4" s="128">
        <f>F9+1500</f>
        <v>55900</v>
      </c>
      <c r="G4" s="129"/>
      <c r="H4" s="129"/>
      <c r="I4" s="130"/>
      <c r="J4" s="50">
        <f>J9+2000</f>
        <v>58150</v>
      </c>
    </row>
    <row r="5" spans="1:10" ht="21" customHeight="1">
      <c r="A5" s="49">
        <v>3</v>
      </c>
      <c r="B5" s="42" t="s">
        <v>67</v>
      </c>
      <c r="C5" s="125" t="s">
        <v>67</v>
      </c>
      <c r="D5" s="126"/>
      <c r="E5" s="127"/>
      <c r="F5" s="128">
        <f>F9+250</f>
        <v>54650</v>
      </c>
      <c r="G5" s="129"/>
      <c r="H5" s="129"/>
      <c r="I5" s="130"/>
      <c r="J5" s="50">
        <f>J9+250</f>
        <v>56400</v>
      </c>
    </row>
    <row r="6" spans="1:10" ht="21" customHeight="1">
      <c r="A6" s="49">
        <v>3</v>
      </c>
      <c r="B6" s="43" t="s">
        <v>68</v>
      </c>
      <c r="C6" s="125" t="s">
        <v>69</v>
      </c>
      <c r="D6" s="126"/>
      <c r="E6" s="127"/>
      <c r="F6" s="128">
        <f>F9+500</f>
        <v>54900</v>
      </c>
      <c r="G6" s="129"/>
      <c r="H6" s="129"/>
      <c r="I6" s="130"/>
      <c r="J6" s="50">
        <f>J9+1000</f>
        <v>57150</v>
      </c>
    </row>
    <row r="7" spans="1:10" ht="21" customHeight="1">
      <c r="A7" s="49">
        <v>4</v>
      </c>
      <c r="B7" s="42" t="s">
        <v>70</v>
      </c>
      <c r="C7" s="125" t="s">
        <v>71</v>
      </c>
      <c r="D7" s="126"/>
      <c r="E7" s="127"/>
      <c r="F7" s="128">
        <f>F9</f>
        <v>54400</v>
      </c>
      <c r="G7" s="129"/>
      <c r="H7" s="129"/>
      <c r="I7" s="130"/>
      <c r="J7" s="50">
        <f>J9+500</f>
        <v>56650</v>
      </c>
    </row>
    <row r="8" spans="1:10" ht="21" customHeight="1">
      <c r="A8" s="49">
        <v>5</v>
      </c>
      <c r="B8" s="41" t="s">
        <v>72</v>
      </c>
      <c r="C8" s="125" t="s">
        <v>73</v>
      </c>
      <c r="D8" s="126"/>
      <c r="E8" s="127"/>
      <c r="F8" s="128">
        <f>F9+500</f>
        <v>54900</v>
      </c>
      <c r="G8" s="129"/>
      <c r="H8" s="129"/>
      <c r="I8" s="130"/>
      <c r="J8" s="50">
        <f>J9+500</f>
        <v>56650</v>
      </c>
    </row>
    <row r="9" spans="1:10" ht="21" customHeight="1">
      <c r="A9" s="49">
        <v>6</v>
      </c>
      <c r="B9" s="41" t="s">
        <v>74</v>
      </c>
      <c r="C9" s="125" t="s">
        <v>75</v>
      </c>
      <c r="D9" s="126"/>
      <c r="E9" s="127"/>
      <c r="F9" s="141">
        <f>51400+750+750+500+1000</f>
        <v>54400</v>
      </c>
      <c r="G9" s="142"/>
      <c r="H9" s="142"/>
      <c r="I9" s="143"/>
      <c r="J9" s="51">
        <f>52900+1250+1000+1000</f>
        <v>56150</v>
      </c>
    </row>
    <row r="10" spans="1:10" ht="21" customHeight="1">
      <c r="A10" s="49">
        <v>7</v>
      </c>
      <c r="B10" s="41" t="s">
        <v>76</v>
      </c>
      <c r="C10" s="125" t="s">
        <v>77</v>
      </c>
      <c r="D10" s="126"/>
      <c r="E10" s="127"/>
      <c r="F10" s="128">
        <f>F9</f>
        <v>54400</v>
      </c>
      <c r="G10" s="129"/>
      <c r="H10" s="129"/>
      <c r="I10" s="130"/>
      <c r="J10" s="50">
        <f>J9</f>
        <v>56150</v>
      </c>
    </row>
    <row r="11" spans="1:10" ht="21" customHeight="1">
      <c r="A11" s="49">
        <v>8</v>
      </c>
      <c r="B11" s="41" t="s">
        <v>78</v>
      </c>
      <c r="C11" s="125" t="s">
        <v>79</v>
      </c>
      <c r="D11" s="126"/>
      <c r="E11" s="127"/>
      <c r="F11" s="128">
        <f>F9</f>
        <v>54400</v>
      </c>
      <c r="G11" s="129"/>
      <c r="H11" s="129"/>
      <c r="I11" s="130"/>
      <c r="J11" s="50">
        <f>J9</f>
        <v>56150</v>
      </c>
    </row>
    <row r="12" spans="1:10" ht="21" customHeight="1">
      <c r="A12" s="49">
        <v>9</v>
      </c>
      <c r="B12" s="44" t="s">
        <v>80</v>
      </c>
      <c r="C12" s="125" t="s">
        <v>81</v>
      </c>
      <c r="D12" s="126"/>
      <c r="E12" s="127"/>
      <c r="F12" s="128">
        <f>F9</f>
        <v>54400</v>
      </c>
      <c r="G12" s="129"/>
      <c r="H12" s="129"/>
      <c r="I12" s="130"/>
      <c r="J12" s="50">
        <f>J9</f>
        <v>56150</v>
      </c>
    </row>
    <row r="13" spans="1:10" ht="21" customHeight="1">
      <c r="A13" s="56">
        <v>10</v>
      </c>
      <c r="B13" s="63" t="s">
        <v>82</v>
      </c>
      <c r="C13" s="153" t="s">
        <v>83</v>
      </c>
      <c r="D13" s="154"/>
      <c r="E13" s="155"/>
      <c r="F13" s="156">
        <f>F9</f>
        <v>54400</v>
      </c>
      <c r="G13" s="157"/>
      <c r="H13" s="157"/>
      <c r="I13" s="158"/>
      <c r="J13" s="64">
        <f>J9</f>
        <v>56150</v>
      </c>
    </row>
    <row r="14" spans="1:10" ht="21" customHeight="1">
      <c r="A14" s="52"/>
      <c r="B14" s="53"/>
      <c r="C14" s="173"/>
      <c r="D14" s="173"/>
      <c r="E14" s="173"/>
      <c r="F14" s="173"/>
      <c r="G14" s="173"/>
      <c r="H14" s="173"/>
      <c r="I14" s="173"/>
      <c r="J14" s="54"/>
    </row>
    <row r="15" spans="1:10" ht="21" customHeight="1">
      <c r="A15" s="49">
        <v>11</v>
      </c>
      <c r="B15" s="42" t="s">
        <v>84</v>
      </c>
      <c r="C15" s="174" t="s">
        <v>85</v>
      </c>
      <c r="D15" s="174"/>
      <c r="E15" s="174"/>
      <c r="F15" s="175">
        <f>F9-750</f>
        <v>53650</v>
      </c>
      <c r="G15" s="175"/>
      <c r="H15" s="175"/>
      <c r="I15" s="175"/>
      <c r="J15" s="50">
        <f>J9-1250</f>
        <v>54900</v>
      </c>
    </row>
    <row r="16" spans="1:10" ht="21" customHeight="1">
      <c r="A16" s="49">
        <v>12</v>
      </c>
      <c r="B16" s="43" t="s">
        <v>86</v>
      </c>
      <c r="C16" s="174" t="s">
        <v>87</v>
      </c>
      <c r="D16" s="174"/>
      <c r="E16" s="174"/>
      <c r="F16" s="175">
        <f>F9-1750</f>
        <v>52650</v>
      </c>
      <c r="G16" s="175"/>
      <c r="H16" s="175"/>
      <c r="I16" s="175"/>
      <c r="J16" s="50">
        <f>J9-1250</f>
        <v>54900</v>
      </c>
    </row>
    <row r="17" spans="1:16" ht="21" customHeight="1">
      <c r="A17" s="65"/>
      <c r="B17" s="66"/>
      <c r="C17" s="176"/>
      <c r="D17" s="177"/>
      <c r="E17" s="178"/>
      <c r="F17" s="176"/>
      <c r="G17" s="177"/>
      <c r="H17" s="177"/>
      <c r="I17" s="178"/>
      <c r="J17" s="67"/>
    </row>
    <row r="18" spans="1:16" ht="21" customHeight="1">
      <c r="A18" s="49">
        <v>13</v>
      </c>
      <c r="B18" s="41" t="s">
        <v>88</v>
      </c>
      <c r="C18" s="125" t="s">
        <v>89</v>
      </c>
      <c r="D18" s="126"/>
      <c r="E18" s="127"/>
      <c r="F18" s="147" t="str">
        <f>F9-1050 &amp; ",  Odisha West - "&amp; F9-1750</f>
        <v>53350,  Odisha West - 52650</v>
      </c>
      <c r="G18" s="148"/>
      <c r="H18" s="148"/>
      <c r="I18" s="149"/>
      <c r="J18" s="55"/>
    </row>
    <row r="19" spans="1:16" ht="21" customHeight="1">
      <c r="A19" s="49">
        <v>14</v>
      </c>
      <c r="B19" s="41" t="s">
        <v>90</v>
      </c>
      <c r="C19" s="125" t="s">
        <v>91</v>
      </c>
      <c r="D19" s="126"/>
      <c r="E19" s="127"/>
      <c r="F19" s="128">
        <f>F9-750</f>
        <v>53650</v>
      </c>
      <c r="G19" s="129"/>
      <c r="H19" s="129"/>
      <c r="I19" s="130"/>
      <c r="J19" s="54"/>
    </row>
    <row r="20" spans="1:16" ht="21" customHeight="1">
      <c r="A20" s="49">
        <v>15</v>
      </c>
      <c r="B20" s="41" t="s">
        <v>92</v>
      </c>
      <c r="C20" s="125" t="s">
        <v>93</v>
      </c>
      <c r="D20" s="126"/>
      <c r="E20" s="127"/>
      <c r="F20" s="128">
        <f>F9-750</f>
        <v>53650</v>
      </c>
      <c r="G20" s="129"/>
      <c r="H20" s="129"/>
      <c r="I20" s="130"/>
      <c r="J20" s="54"/>
    </row>
    <row r="21" spans="1:16" ht="30" customHeight="1">
      <c r="A21" s="49">
        <v>16</v>
      </c>
      <c r="B21" s="42" t="s">
        <v>94</v>
      </c>
      <c r="C21" s="150" t="s">
        <v>95</v>
      </c>
      <c r="D21" s="151"/>
      <c r="E21" s="152"/>
      <c r="F21" s="128">
        <f>F9-250</f>
        <v>54150</v>
      </c>
      <c r="G21" s="129"/>
      <c r="H21" s="129"/>
      <c r="I21" s="130"/>
      <c r="J21" s="54"/>
    </row>
    <row r="22" spans="1:16" ht="21" customHeight="1">
      <c r="A22" s="49">
        <v>17</v>
      </c>
      <c r="B22" s="42" t="s">
        <v>94</v>
      </c>
      <c r="C22" s="125" t="s">
        <v>96</v>
      </c>
      <c r="D22" s="126"/>
      <c r="E22" s="127"/>
      <c r="F22" s="128">
        <f>F9-750</f>
        <v>53650</v>
      </c>
      <c r="G22" s="129"/>
      <c r="H22" s="129"/>
      <c r="I22" s="130"/>
      <c r="J22" s="54"/>
    </row>
    <row r="23" spans="1:16" ht="21" customHeight="1">
      <c r="A23" s="52"/>
      <c r="B23" s="53"/>
      <c r="C23" s="144"/>
      <c r="D23" s="145"/>
      <c r="E23" s="146"/>
      <c r="F23" s="144"/>
      <c r="G23" s="145"/>
      <c r="H23" s="145"/>
      <c r="I23" s="146"/>
      <c r="J23" s="54"/>
    </row>
    <row r="24" spans="1:16" ht="21" customHeight="1">
      <c r="A24" s="56">
        <v>18</v>
      </c>
      <c r="B24" s="45" t="s">
        <v>41</v>
      </c>
      <c r="C24" s="153" t="s">
        <v>97</v>
      </c>
      <c r="D24" s="154"/>
      <c r="E24" s="155"/>
      <c r="F24" s="156">
        <f>F9-750</f>
        <v>53650</v>
      </c>
      <c r="G24" s="157"/>
      <c r="H24" s="157"/>
      <c r="I24" s="158"/>
      <c r="J24" s="50">
        <f>J9-750</f>
        <v>55400</v>
      </c>
    </row>
    <row r="25" spans="1:16" ht="21" customHeight="1">
      <c r="A25" s="57">
        <v>19</v>
      </c>
      <c r="B25" s="46" t="s">
        <v>98</v>
      </c>
      <c r="C25" s="159" t="s">
        <v>99</v>
      </c>
      <c r="D25" s="159"/>
      <c r="E25" s="159"/>
      <c r="F25" s="160">
        <f>F9-1250</f>
        <v>53150</v>
      </c>
      <c r="G25" s="160"/>
      <c r="H25" s="160"/>
      <c r="I25" s="160"/>
      <c r="J25" s="58"/>
    </row>
    <row r="26" spans="1:16" ht="21" customHeight="1">
      <c r="A26" s="59"/>
      <c r="B26" s="60"/>
      <c r="C26" s="60"/>
      <c r="D26" s="60"/>
      <c r="E26" s="60"/>
      <c r="F26" s="60"/>
      <c r="G26" s="60"/>
      <c r="H26" s="60"/>
      <c r="I26" s="60"/>
      <c r="J26" s="61"/>
    </row>
    <row r="27" spans="1:16" ht="21" customHeight="1">
      <c r="A27" s="161" t="s">
        <v>100</v>
      </c>
      <c r="B27" s="162"/>
      <c r="C27" s="162"/>
      <c r="D27" s="162"/>
      <c r="E27" s="162"/>
      <c r="F27" s="162"/>
      <c r="G27" s="162"/>
      <c r="H27" s="162"/>
      <c r="I27" s="162"/>
      <c r="J27" s="163"/>
    </row>
    <row r="28" spans="1:16" s="34" customFormat="1" ht="21" customHeight="1">
      <c r="A28" s="164" t="s">
        <v>46</v>
      </c>
      <c r="B28" s="165"/>
      <c r="C28" s="165"/>
      <c r="D28" s="165"/>
      <c r="E28" s="165"/>
      <c r="F28" s="165"/>
      <c r="G28" s="165"/>
      <c r="H28" s="165"/>
      <c r="I28" s="165"/>
      <c r="J28" s="166"/>
    </row>
    <row r="29" spans="1:16" ht="21" customHeight="1">
      <c r="A29" s="167" t="s">
        <v>101</v>
      </c>
      <c r="B29" s="168"/>
      <c r="C29" s="168"/>
      <c r="D29" s="168"/>
      <c r="E29" s="168"/>
      <c r="F29" s="168"/>
      <c r="G29" s="168" t="s">
        <v>102</v>
      </c>
      <c r="H29" s="168"/>
      <c r="I29" s="168"/>
      <c r="J29" s="169"/>
    </row>
    <row r="30" spans="1:16" ht="21" customHeight="1">
      <c r="A30" s="170" t="s">
        <v>103</v>
      </c>
      <c r="B30" s="171"/>
      <c r="C30" s="171"/>
      <c r="D30" s="171"/>
      <c r="E30" s="171"/>
      <c r="F30" s="171"/>
      <c r="G30" s="171" t="s">
        <v>104</v>
      </c>
      <c r="H30" s="171"/>
      <c r="I30" s="171"/>
      <c r="J30" s="172"/>
    </row>
    <row r="31" spans="1:16" ht="21" customHeight="1">
      <c r="A31" s="170" t="s">
        <v>105</v>
      </c>
      <c r="B31" s="171"/>
      <c r="C31" s="171"/>
      <c r="D31" s="171"/>
      <c r="E31" s="171"/>
      <c r="F31" s="171"/>
      <c r="G31" s="171" t="s">
        <v>106</v>
      </c>
      <c r="H31" s="171"/>
      <c r="I31" s="171"/>
      <c r="J31" s="172"/>
    </row>
    <row r="32" spans="1:16" ht="113.25" customHeight="1">
      <c r="A32" s="121" t="s">
        <v>53</v>
      </c>
      <c r="B32" s="122"/>
      <c r="C32" s="122"/>
      <c r="D32" s="123" t="s">
        <v>54</v>
      </c>
      <c r="E32" s="123"/>
      <c r="F32" s="123"/>
      <c r="G32" s="123"/>
      <c r="H32" s="62"/>
      <c r="I32" s="123" t="s">
        <v>55</v>
      </c>
      <c r="J32" s="124"/>
      <c r="P32" s="4"/>
    </row>
    <row r="33" spans="1:10">
      <c r="A33" s="2"/>
      <c r="B33" s="3"/>
      <c r="C33" s="3"/>
      <c r="D33" s="3"/>
      <c r="E33" s="3"/>
      <c r="F33" s="3"/>
      <c r="G33" s="3"/>
      <c r="H33" s="3"/>
      <c r="I33" s="3"/>
      <c r="J33" s="3"/>
    </row>
    <row r="39" spans="1:10">
      <c r="G39" s="1" t="s">
        <v>56</v>
      </c>
    </row>
  </sheetData>
  <mergeCells count="60">
    <mergeCell ref="C4:E4"/>
    <mergeCell ref="F4:I4"/>
    <mergeCell ref="B1:I1"/>
    <mergeCell ref="C2:E2"/>
    <mergeCell ref="F2:I2"/>
    <mergeCell ref="C3:E3"/>
    <mergeCell ref="F3:I3"/>
    <mergeCell ref="C5:E5"/>
    <mergeCell ref="F5:I5"/>
    <mergeCell ref="C6:E6"/>
    <mergeCell ref="F6:I6"/>
    <mergeCell ref="C7:E7"/>
    <mergeCell ref="F7:I7"/>
    <mergeCell ref="C8:E8"/>
    <mergeCell ref="F8:I8"/>
    <mergeCell ref="C9:E9"/>
    <mergeCell ref="F9:I9"/>
    <mergeCell ref="C10:E10"/>
    <mergeCell ref="F10:I10"/>
    <mergeCell ref="C11:E11"/>
    <mergeCell ref="F11:I11"/>
    <mergeCell ref="C12:E12"/>
    <mergeCell ref="F12:I12"/>
    <mergeCell ref="C13:E13"/>
    <mergeCell ref="F13:I13"/>
    <mergeCell ref="C14:E14"/>
    <mergeCell ref="F14:I14"/>
    <mergeCell ref="C15:E15"/>
    <mergeCell ref="F15:I15"/>
    <mergeCell ref="C16:E16"/>
    <mergeCell ref="F16:I16"/>
    <mergeCell ref="C17:E17"/>
    <mergeCell ref="F17:I17"/>
    <mergeCell ref="C18:E18"/>
    <mergeCell ref="F18:I18"/>
    <mergeCell ref="C19:E19"/>
    <mergeCell ref="F19:I19"/>
    <mergeCell ref="C20:E20"/>
    <mergeCell ref="F20:I20"/>
    <mergeCell ref="C21:E21"/>
    <mergeCell ref="F21:I21"/>
    <mergeCell ref="C22:E22"/>
    <mergeCell ref="F22:I22"/>
    <mergeCell ref="C23:E23"/>
    <mergeCell ref="F23:I23"/>
    <mergeCell ref="C24:E24"/>
    <mergeCell ref="F24:I24"/>
    <mergeCell ref="C25:E25"/>
    <mergeCell ref="F25:I25"/>
    <mergeCell ref="A27:J27"/>
    <mergeCell ref="A28:J28"/>
    <mergeCell ref="A29:F29"/>
    <mergeCell ref="G29:J29"/>
    <mergeCell ref="A30:F30"/>
    <mergeCell ref="G30:J30"/>
    <mergeCell ref="A31:F31"/>
    <mergeCell ref="G31:J31"/>
    <mergeCell ref="A32:C32"/>
    <mergeCell ref="D32:G32"/>
    <mergeCell ref="I32:J32"/>
  </mergeCells>
  <printOptions horizontalCentered="1" verticalCentered="1"/>
  <pageMargins left="0.25" right="0.25" top="0.75" bottom="0.75" header="0.3" footer="0.3"/>
  <pageSetup paperSize="9" scale="90" orientation="landscape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182A-8918-4CCA-9164-89A45E6F8942}">
  <sheetPr>
    <pageSetUpPr fitToPage="1"/>
  </sheetPr>
  <dimension ref="A1:P39"/>
  <sheetViews>
    <sheetView topLeftCell="C15" workbookViewId="0">
      <selection activeCell="J25" sqref="J25"/>
    </sheetView>
  </sheetViews>
  <sheetFormatPr defaultColWidth="8.83203125" defaultRowHeight="12.75"/>
  <cols>
    <col min="1" max="1" width="61" style="1" customWidth="1"/>
    <col min="2" max="2" width="48.33203125" style="1" customWidth="1"/>
    <col min="3" max="3" width="11.33203125" style="1" customWidth="1"/>
    <col min="4" max="4" width="30.83203125" style="1" customWidth="1"/>
    <col min="5" max="5" width="13.5" style="1" customWidth="1"/>
    <col min="6" max="6" width="9.5" style="1" customWidth="1"/>
    <col min="7" max="7" width="32.5" style="1" customWidth="1"/>
    <col min="8" max="8" width="24.83203125" style="1" customWidth="1"/>
    <col min="9" max="9" width="18.83203125" style="1" customWidth="1"/>
    <col min="10" max="10" width="57.5" style="1" customWidth="1"/>
    <col min="11" max="16384" width="8.83203125" style="1"/>
  </cols>
  <sheetData>
    <row r="1" spans="1:11" ht="122.25" customHeight="1">
      <c r="A1" s="35" t="s">
        <v>119</v>
      </c>
      <c r="B1" s="131" t="s">
        <v>120</v>
      </c>
      <c r="C1" s="131"/>
      <c r="D1" s="131"/>
      <c r="E1" s="131"/>
      <c r="F1" s="131"/>
      <c r="G1" s="131"/>
      <c r="H1" s="131"/>
      <c r="I1" s="131"/>
      <c r="J1" s="36" t="s">
        <v>121</v>
      </c>
    </row>
    <row r="2" spans="1:11" s="16" customFormat="1" ht="33.75" customHeight="1">
      <c r="A2" s="37" t="s">
        <v>60</v>
      </c>
      <c r="B2" s="38" t="s">
        <v>61</v>
      </c>
      <c r="C2" s="132" t="s">
        <v>62</v>
      </c>
      <c r="D2" s="133"/>
      <c r="E2" s="134"/>
      <c r="F2" s="132" t="s">
        <v>6</v>
      </c>
      <c r="G2" s="133"/>
      <c r="H2" s="133"/>
      <c r="I2" s="134"/>
      <c r="J2" s="39" t="s">
        <v>63</v>
      </c>
    </row>
    <row r="3" spans="1:11" ht="21" customHeight="1">
      <c r="A3" s="47">
        <v>1</v>
      </c>
      <c r="B3" s="40" t="s">
        <v>64</v>
      </c>
      <c r="C3" s="135" t="s">
        <v>65</v>
      </c>
      <c r="D3" s="136"/>
      <c r="E3" s="137"/>
      <c r="F3" s="138">
        <f>F9+2000</f>
        <v>57650</v>
      </c>
      <c r="G3" s="139"/>
      <c r="H3" s="139"/>
      <c r="I3" s="140"/>
      <c r="J3" s="48">
        <f>J9+2500</f>
        <v>58650</v>
      </c>
    </row>
    <row r="4" spans="1:11" ht="21" customHeight="1">
      <c r="A4" s="49">
        <v>2</v>
      </c>
      <c r="B4" s="41" t="s">
        <v>66</v>
      </c>
      <c r="C4" s="125" t="s">
        <v>66</v>
      </c>
      <c r="D4" s="126"/>
      <c r="E4" s="127"/>
      <c r="F4" s="128">
        <f>F9+1500</f>
        <v>57150</v>
      </c>
      <c r="G4" s="129"/>
      <c r="H4" s="129"/>
      <c r="I4" s="130"/>
      <c r="J4" s="50">
        <f>J9+2000</f>
        <v>58150</v>
      </c>
    </row>
    <row r="5" spans="1:11" ht="21" customHeight="1">
      <c r="A5" s="49">
        <v>3</v>
      </c>
      <c r="B5" s="42" t="s">
        <v>67</v>
      </c>
      <c r="C5" s="125" t="s">
        <v>67</v>
      </c>
      <c r="D5" s="126"/>
      <c r="E5" s="127"/>
      <c r="F5" s="128">
        <f>F9+250</f>
        <v>55900</v>
      </c>
      <c r="G5" s="129"/>
      <c r="H5" s="129"/>
      <c r="I5" s="130"/>
      <c r="J5" s="50">
        <f>J9+250</f>
        <v>56400</v>
      </c>
    </row>
    <row r="6" spans="1:11" ht="21" customHeight="1">
      <c r="A6" s="49">
        <v>3</v>
      </c>
      <c r="B6" s="43" t="s">
        <v>68</v>
      </c>
      <c r="C6" s="125" t="s">
        <v>69</v>
      </c>
      <c r="D6" s="126"/>
      <c r="E6" s="127"/>
      <c r="F6" s="128">
        <f>F9+500</f>
        <v>56150</v>
      </c>
      <c r="G6" s="129"/>
      <c r="H6" s="129"/>
      <c r="I6" s="130"/>
      <c r="J6" s="50">
        <f>J9+1000</f>
        <v>57150</v>
      </c>
    </row>
    <row r="7" spans="1:11" ht="21" customHeight="1">
      <c r="A7" s="49">
        <v>4</v>
      </c>
      <c r="B7" s="42" t="s">
        <v>70</v>
      </c>
      <c r="C7" s="125" t="s">
        <v>71</v>
      </c>
      <c r="D7" s="126"/>
      <c r="E7" s="127"/>
      <c r="F7" s="128">
        <f>F9</f>
        <v>55650</v>
      </c>
      <c r="G7" s="129"/>
      <c r="H7" s="129"/>
      <c r="I7" s="130"/>
      <c r="J7" s="50">
        <f>J9+500</f>
        <v>56650</v>
      </c>
    </row>
    <row r="8" spans="1:11" ht="21" customHeight="1">
      <c r="A8" s="49">
        <v>5</v>
      </c>
      <c r="B8" s="41" t="s">
        <v>72</v>
      </c>
      <c r="C8" s="125" t="s">
        <v>73</v>
      </c>
      <c r="D8" s="126"/>
      <c r="E8" s="127"/>
      <c r="F8" s="128">
        <f>F9+500</f>
        <v>56150</v>
      </c>
      <c r="G8" s="129"/>
      <c r="H8" s="129"/>
      <c r="I8" s="130"/>
      <c r="J8" s="50">
        <f>J9+500</f>
        <v>56650</v>
      </c>
    </row>
    <row r="9" spans="1:11" ht="21" customHeight="1">
      <c r="A9" s="49">
        <v>6</v>
      </c>
      <c r="B9" s="41" t="s">
        <v>74</v>
      </c>
      <c r="C9" s="125" t="s">
        <v>75</v>
      </c>
      <c r="D9" s="126"/>
      <c r="E9" s="127"/>
      <c r="F9" s="141">
        <f>51400+750+750+500+1000+1250</f>
        <v>55650</v>
      </c>
      <c r="G9" s="142"/>
      <c r="H9" s="142"/>
      <c r="I9" s="143"/>
      <c r="J9" s="51">
        <f>52900+1250+1000+1000</f>
        <v>56150</v>
      </c>
      <c r="K9" s="68"/>
    </row>
    <row r="10" spans="1:11" ht="21" customHeight="1">
      <c r="A10" s="49">
        <v>7</v>
      </c>
      <c r="B10" s="41" t="s">
        <v>76</v>
      </c>
      <c r="C10" s="125" t="s">
        <v>77</v>
      </c>
      <c r="D10" s="126"/>
      <c r="E10" s="127"/>
      <c r="F10" s="128">
        <f>F9</f>
        <v>55650</v>
      </c>
      <c r="G10" s="129"/>
      <c r="H10" s="129"/>
      <c r="I10" s="130"/>
      <c r="J10" s="50">
        <f>J9</f>
        <v>56150</v>
      </c>
    </row>
    <row r="11" spans="1:11" ht="21" customHeight="1">
      <c r="A11" s="49">
        <v>8</v>
      </c>
      <c r="B11" s="41" t="s">
        <v>78</v>
      </c>
      <c r="C11" s="125" t="s">
        <v>79</v>
      </c>
      <c r="D11" s="126"/>
      <c r="E11" s="127"/>
      <c r="F11" s="128">
        <f>F9</f>
        <v>55650</v>
      </c>
      <c r="G11" s="129"/>
      <c r="H11" s="129"/>
      <c r="I11" s="130"/>
      <c r="J11" s="50">
        <f>J9</f>
        <v>56150</v>
      </c>
    </row>
    <row r="12" spans="1:11" ht="21" customHeight="1">
      <c r="A12" s="49">
        <v>9</v>
      </c>
      <c r="B12" s="44" t="s">
        <v>80</v>
      </c>
      <c r="C12" s="125" t="s">
        <v>81</v>
      </c>
      <c r="D12" s="126"/>
      <c r="E12" s="127"/>
      <c r="F12" s="128">
        <f>F9</f>
        <v>55650</v>
      </c>
      <c r="G12" s="129"/>
      <c r="H12" s="129"/>
      <c r="I12" s="130"/>
      <c r="J12" s="50">
        <f>J9</f>
        <v>56150</v>
      </c>
    </row>
    <row r="13" spans="1:11" ht="21" customHeight="1">
      <c r="A13" s="56">
        <v>10</v>
      </c>
      <c r="B13" s="63" t="s">
        <v>82</v>
      </c>
      <c r="C13" s="153" t="s">
        <v>83</v>
      </c>
      <c r="D13" s="154"/>
      <c r="E13" s="155"/>
      <c r="F13" s="156">
        <f>F9</f>
        <v>55650</v>
      </c>
      <c r="G13" s="157"/>
      <c r="H13" s="157"/>
      <c r="I13" s="158"/>
      <c r="J13" s="64">
        <f>J9</f>
        <v>56150</v>
      </c>
    </row>
    <row r="14" spans="1:11" ht="21" customHeight="1">
      <c r="A14" s="52"/>
      <c r="B14" s="53"/>
      <c r="C14" s="173"/>
      <c r="D14" s="173"/>
      <c r="E14" s="173"/>
      <c r="F14" s="173"/>
      <c r="G14" s="173"/>
      <c r="H14" s="173"/>
      <c r="I14" s="173"/>
      <c r="J14" s="54"/>
    </row>
    <row r="15" spans="1:11" ht="21" customHeight="1">
      <c r="A15" s="49">
        <v>11</v>
      </c>
      <c r="B15" s="42" t="s">
        <v>84</v>
      </c>
      <c r="C15" s="174" t="s">
        <v>85</v>
      </c>
      <c r="D15" s="174"/>
      <c r="E15" s="174"/>
      <c r="F15" s="175">
        <f>F9-750</f>
        <v>54900</v>
      </c>
      <c r="G15" s="175"/>
      <c r="H15" s="175"/>
      <c r="I15" s="175"/>
      <c r="J15" s="50">
        <f>J9-1250</f>
        <v>54900</v>
      </c>
    </row>
    <row r="16" spans="1:11" ht="21" customHeight="1">
      <c r="A16" s="49">
        <v>12</v>
      </c>
      <c r="B16" s="43" t="s">
        <v>86</v>
      </c>
      <c r="C16" s="174" t="s">
        <v>87</v>
      </c>
      <c r="D16" s="174"/>
      <c r="E16" s="174"/>
      <c r="F16" s="175">
        <f>F9-1750</f>
        <v>53900</v>
      </c>
      <c r="G16" s="175"/>
      <c r="H16" s="175"/>
      <c r="I16" s="175"/>
      <c r="J16" s="50">
        <f>J9-1250</f>
        <v>54900</v>
      </c>
    </row>
    <row r="17" spans="1:16" ht="21" customHeight="1">
      <c r="A17" s="65"/>
      <c r="B17" s="66"/>
      <c r="C17" s="176"/>
      <c r="D17" s="177"/>
      <c r="E17" s="178"/>
      <c r="F17" s="176"/>
      <c r="G17" s="177"/>
      <c r="H17" s="177"/>
      <c r="I17" s="178"/>
      <c r="J17" s="67"/>
    </row>
    <row r="18" spans="1:16" ht="21" customHeight="1">
      <c r="A18" s="49">
        <v>13</v>
      </c>
      <c r="B18" s="41" t="s">
        <v>88</v>
      </c>
      <c r="C18" s="125" t="s">
        <v>89</v>
      </c>
      <c r="D18" s="126"/>
      <c r="E18" s="127"/>
      <c r="F18" s="147" t="str">
        <f>F9-1050 &amp; ",  Odisha West - "&amp; F9-1750</f>
        <v>54600,  Odisha West - 53900</v>
      </c>
      <c r="G18" s="148"/>
      <c r="H18" s="148"/>
      <c r="I18" s="149"/>
      <c r="J18" s="55"/>
    </row>
    <row r="19" spans="1:16" ht="21" customHeight="1">
      <c r="A19" s="49">
        <v>14</v>
      </c>
      <c r="B19" s="41" t="s">
        <v>90</v>
      </c>
      <c r="C19" s="125" t="s">
        <v>91</v>
      </c>
      <c r="D19" s="126"/>
      <c r="E19" s="127"/>
      <c r="F19" s="128">
        <f>F9-750</f>
        <v>54900</v>
      </c>
      <c r="G19" s="129"/>
      <c r="H19" s="129"/>
      <c r="I19" s="130"/>
      <c r="J19" s="54"/>
    </row>
    <row r="20" spans="1:16" ht="21" customHeight="1">
      <c r="A20" s="49">
        <v>15</v>
      </c>
      <c r="B20" s="41" t="s">
        <v>92</v>
      </c>
      <c r="C20" s="125" t="s">
        <v>93</v>
      </c>
      <c r="D20" s="126"/>
      <c r="E20" s="127"/>
      <c r="F20" s="128">
        <f>F9-750</f>
        <v>54900</v>
      </c>
      <c r="G20" s="129"/>
      <c r="H20" s="129"/>
      <c r="I20" s="130"/>
      <c r="J20" s="54"/>
    </row>
    <row r="21" spans="1:16" ht="30" customHeight="1">
      <c r="A21" s="49">
        <v>16</v>
      </c>
      <c r="B21" s="42" t="s">
        <v>94</v>
      </c>
      <c r="C21" s="150" t="s">
        <v>95</v>
      </c>
      <c r="D21" s="151"/>
      <c r="E21" s="152"/>
      <c r="F21" s="128">
        <f>F9-250</f>
        <v>55400</v>
      </c>
      <c r="G21" s="129"/>
      <c r="H21" s="129"/>
      <c r="I21" s="130"/>
      <c r="J21" s="54"/>
    </row>
    <row r="22" spans="1:16" ht="21" customHeight="1">
      <c r="A22" s="49">
        <v>17</v>
      </c>
      <c r="B22" s="42" t="s">
        <v>94</v>
      </c>
      <c r="C22" s="125" t="s">
        <v>96</v>
      </c>
      <c r="D22" s="126"/>
      <c r="E22" s="127"/>
      <c r="F22" s="128">
        <f>F9-750</f>
        <v>54900</v>
      </c>
      <c r="G22" s="129"/>
      <c r="H22" s="129"/>
      <c r="I22" s="130"/>
      <c r="J22" s="54"/>
    </row>
    <row r="23" spans="1:16" ht="21" customHeight="1">
      <c r="A23" s="52"/>
      <c r="B23" s="53"/>
      <c r="C23" s="144"/>
      <c r="D23" s="145"/>
      <c r="E23" s="146"/>
      <c r="F23" s="144"/>
      <c r="G23" s="145"/>
      <c r="H23" s="145"/>
      <c r="I23" s="146"/>
      <c r="J23" s="54"/>
    </row>
    <row r="24" spans="1:16" ht="21" customHeight="1">
      <c r="A24" s="56">
        <v>18</v>
      </c>
      <c r="B24" s="45" t="s">
        <v>41</v>
      </c>
      <c r="C24" s="153" t="s">
        <v>97</v>
      </c>
      <c r="D24" s="154"/>
      <c r="E24" s="155"/>
      <c r="F24" s="156">
        <f>F9-750</f>
        <v>54900</v>
      </c>
      <c r="G24" s="157"/>
      <c r="H24" s="157"/>
      <c r="I24" s="158"/>
      <c r="J24" s="50">
        <f>J9-750</f>
        <v>55400</v>
      </c>
    </row>
    <row r="25" spans="1:16" ht="21" customHeight="1">
      <c r="A25" s="57">
        <v>19</v>
      </c>
      <c r="B25" s="46" t="s">
        <v>98</v>
      </c>
      <c r="C25" s="159" t="s">
        <v>99</v>
      </c>
      <c r="D25" s="159"/>
      <c r="E25" s="159"/>
      <c r="F25" s="160">
        <f>F9-1250</f>
        <v>54400</v>
      </c>
      <c r="G25" s="160"/>
      <c r="H25" s="160"/>
      <c r="I25" s="160"/>
      <c r="J25" s="58"/>
    </row>
    <row r="26" spans="1:16" ht="21" customHeight="1">
      <c r="A26" s="59"/>
      <c r="B26" s="60"/>
      <c r="C26" s="60"/>
      <c r="D26" s="60"/>
      <c r="E26" s="60"/>
      <c r="F26" s="60"/>
      <c r="G26" s="60"/>
      <c r="H26" s="60"/>
      <c r="I26" s="60"/>
      <c r="J26" s="61"/>
    </row>
    <row r="27" spans="1:16" ht="21" customHeight="1">
      <c r="A27" s="161" t="s">
        <v>100</v>
      </c>
      <c r="B27" s="162"/>
      <c r="C27" s="162"/>
      <c r="D27" s="162"/>
      <c r="E27" s="162"/>
      <c r="F27" s="162"/>
      <c r="G27" s="162"/>
      <c r="H27" s="162"/>
      <c r="I27" s="162"/>
      <c r="J27" s="163"/>
    </row>
    <row r="28" spans="1:16" s="34" customFormat="1" ht="21" customHeight="1">
      <c r="A28" s="164" t="s">
        <v>46</v>
      </c>
      <c r="B28" s="165"/>
      <c r="C28" s="165"/>
      <c r="D28" s="165"/>
      <c r="E28" s="165"/>
      <c r="F28" s="165"/>
      <c r="G28" s="165"/>
      <c r="H28" s="165"/>
      <c r="I28" s="165"/>
      <c r="J28" s="166"/>
    </row>
    <row r="29" spans="1:16" ht="21" customHeight="1">
      <c r="A29" s="167" t="s">
        <v>101</v>
      </c>
      <c r="B29" s="168"/>
      <c r="C29" s="168"/>
      <c r="D29" s="168"/>
      <c r="E29" s="168"/>
      <c r="F29" s="168"/>
      <c r="G29" s="168" t="s">
        <v>102</v>
      </c>
      <c r="H29" s="168"/>
      <c r="I29" s="168"/>
      <c r="J29" s="169"/>
    </row>
    <row r="30" spans="1:16" ht="21" customHeight="1">
      <c r="A30" s="170" t="s">
        <v>103</v>
      </c>
      <c r="B30" s="171"/>
      <c r="C30" s="171"/>
      <c r="D30" s="171"/>
      <c r="E30" s="171"/>
      <c r="F30" s="171"/>
      <c r="G30" s="171" t="s">
        <v>104</v>
      </c>
      <c r="H30" s="171"/>
      <c r="I30" s="171"/>
      <c r="J30" s="172"/>
    </row>
    <row r="31" spans="1:16" ht="21" customHeight="1">
      <c r="A31" s="170" t="s">
        <v>105</v>
      </c>
      <c r="B31" s="171"/>
      <c r="C31" s="171"/>
      <c r="D31" s="171"/>
      <c r="E31" s="171"/>
      <c r="F31" s="171"/>
      <c r="G31" s="171" t="s">
        <v>106</v>
      </c>
      <c r="H31" s="171"/>
      <c r="I31" s="171"/>
      <c r="J31" s="172"/>
    </row>
    <row r="32" spans="1:16" ht="113.25" customHeight="1">
      <c r="A32" s="121" t="s">
        <v>53</v>
      </c>
      <c r="B32" s="122"/>
      <c r="C32" s="122"/>
      <c r="D32" s="123" t="s">
        <v>54</v>
      </c>
      <c r="E32" s="123"/>
      <c r="F32" s="123"/>
      <c r="G32" s="123"/>
      <c r="H32" s="62"/>
      <c r="I32" s="123" t="s">
        <v>55</v>
      </c>
      <c r="J32" s="124"/>
      <c r="P32" s="4"/>
    </row>
    <row r="33" spans="1:10">
      <c r="A33" s="2"/>
      <c r="B33" s="3"/>
      <c r="C33" s="3"/>
      <c r="D33" s="3"/>
      <c r="E33" s="3"/>
      <c r="F33" s="3"/>
      <c r="G33" s="3"/>
      <c r="H33" s="3"/>
      <c r="I33" s="3"/>
      <c r="J33" s="3"/>
    </row>
    <row r="39" spans="1:10">
      <c r="G39" s="1" t="s">
        <v>56</v>
      </c>
    </row>
  </sheetData>
  <mergeCells count="60">
    <mergeCell ref="A31:F31"/>
    <mergeCell ref="G31:J31"/>
    <mergeCell ref="A32:C32"/>
    <mergeCell ref="D32:G32"/>
    <mergeCell ref="I32:J32"/>
    <mergeCell ref="A27:J27"/>
    <mergeCell ref="A28:J28"/>
    <mergeCell ref="A29:F29"/>
    <mergeCell ref="G29:J29"/>
    <mergeCell ref="A30:F30"/>
    <mergeCell ref="G30:J30"/>
    <mergeCell ref="C23:E23"/>
    <mergeCell ref="F23:I23"/>
    <mergeCell ref="C24:E24"/>
    <mergeCell ref="F24:I24"/>
    <mergeCell ref="C25:E25"/>
    <mergeCell ref="F25:I25"/>
    <mergeCell ref="C20:E20"/>
    <mergeCell ref="F20:I20"/>
    <mergeCell ref="C21:E21"/>
    <mergeCell ref="F21:I21"/>
    <mergeCell ref="C22:E22"/>
    <mergeCell ref="F22:I22"/>
    <mergeCell ref="C17:E17"/>
    <mergeCell ref="F17:I17"/>
    <mergeCell ref="C18:E18"/>
    <mergeCell ref="F18:I18"/>
    <mergeCell ref="C19:E19"/>
    <mergeCell ref="F19:I19"/>
    <mergeCell ref="C14:E14"/>
    <mergeCell ref="F14:I14"/>
    <mergeCell ref="C15:E15"/>
    <mergeCell ref="F15:I15"/>
    <mergeCell ref="C16:E16"/>
    <mergeCell ref="F16:I16"/>
    <mergeCell ref="C11:E11"/>
    <mergeCell ref="F11:I11"/>
    <mergeCell ref="C12:E12"/>
    <mergeCell ref="F12:I12"/>
    <mergeCell ref="C13:E13"/>
    <mergeCell ref="F13:I13"/>
    <mergeCell ref="C8:E8"/>
    <mergeCell ref="F8:I8"/>
    <mergeCell ref="C9:E9"/>
    <mergeCell ref="F9:I9"/>
    <mergeCell ref="C10:E10"/>
    <mergeCell ref="F10:I10"/>
    <mergeCell ref="C5:E5"/>
    <mergeCell ref="F5:I5"/>
    <mergeCell ref="C6:E6"/>
    <mergeCell ref="F6:I6"/>
    <mergeCell ref="C7:E7"/>
    <mergeCell ref="F7:I7"/>
    <mergeCell ref="C4:E4"/>
    <mergeCell ref="F4:I4"/>
    <mergeCell ref="B1:I1"/>
    <mergeCell ref="C2:E2"/>
    <mergeCell ref="F2:I2"/>
    <mergeCell ref="C3:E3"/>
    <mergeCell ref="F3:I3"/>
  </mergeCells>
  <printOptions horizontalCentered="1" verticalCentered="1"/>
  <pageMargins left="0.25" right="0.25" top="0.75" bottom="0.75" header="0.3" footer="0.3"/>
  <pageSetup paperSize="9" scale="90" orientation="landscape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BCA0-395A-4A2B-AE2F-20A7E7C18C25}">
  <sheetPr>
    <pageSetUpPr fitToPage="1"/>
  </sheetPr>
  <dimension ref="A1:P39"/>
  <sheetViews>
    <sheetView topLeftCell="A13" workbookViewId="0">
      <selection activeCell="J24" sqref="J24"/>
    </sheetView>
  </sheetViews>
  <sheetFormatPr defaultColWidth="8.83203125" defaultRowHeight="12.75"/>
  <cols>
    <col min="1" max="1" width="61" style="1" customWidth="1"/>
    <col min="2" max="2" width="48.33203125" style="1" customWidth="1"/>
    <col min="3" max="3" width="11.33203125" style="1" customWidth="1"/>
    <col min="4" max="4" width="30.83203125" style="1" customWidth="1"/>
    <col min="5" max="5" width="13.5" style="1" customWidth="1"/>
    <col min="6" max="6" width="9.5" style="1" customWidth="1"/>
    <col min="7" max="7" width="32.5" style="1" customWidth="1"/>
    <col min="8" max="8" width="24.83203125" style="1" customWidth="1"/>
    <col min="9" max="9" width="14.6640625" style="1" customWidth="1"/>
    <col min="10" max="10" width="57.5" style="1" customWidth="1"/>
    <col min="11" max="16384" width="8.83203125" style="1"/>
  </cols>
  <sheetData>
    <row r="1" spans="1:12" ht="122.25" customHeight="1">
      <c r="A1" s="35" t="s">
        <v>122</v>
      </c>
      <c r="B1" s="131" t="s">
        <v>123</v>
      </c>
      <c r="C1" s="131"/>
      <c r="D1" s="131"/>
      <c r="E1" s="131"/>
      <c r="F1" s="131"/>
      <c r="G1" s="131"/>
      <c r="H1" s="131"/>
      <c r="I1" s="131"/>
      <c r="J1" s="36" t="s">
        <v>124</v>
      </c>
    </row>
    <row r="2" spans="1:12" s="16" customFormat="1" ht="33.75" customHeight="1">
      <c r="A2" s="37" t="s">
        <v>60</v>
      </c>
      <c r="B2" s="38" t="s">
        <v>61</v>
      </c>
      <c r="C2" s="132" t="s">
        <v>62</v>
      </c>
      <c r="D2" s="133"/>
      <c r="E2" s="134"/>
      <c r="F2" s="132" t="s">
        <v>6</v>
      </c>
      <c r="G2" s="133"/>
      <c r="H2" s="133"/>
      <c r="I2" s="134"/>
      <c r="J2" s="39" t="s">
        <v>63</v>
      </c>
    </row>
    <row r="3" spans="1:12" ht="21" customHeight="1">
      <c r="A3" s="47">
        <v>1</v>
      </c>
      <c r="B3" s="40" t="s">
        <v>64</v>
      </c>
      <c r="C3" s="135" t="s">
        <v>65</v>
      </c>
      <c r="D3" s="136"/>
      <c r="E3" s="137"/>
      <c r="F3" s="138">
        <f>F9+2000</f>
        <v>58650</v>
      </c>
      <c r="G3" s="139"/>
      <c r="H3" s="139"/>
      <c r="I3" s="140"/>
      <c r="J3" s="48">
        <f>J9+2500</f>
        <v>59400</v>
      </c>
    </row>
    <row r="4" spans="1:12" ht="21" customHeight="1">
      <c r="A4" s="49">
        <v>2</v>
      </c>
      <c r="B4" s="41" t="s">
        <v>66</v>
      </c>
      <c r="C4" s="125" t="s">
        <v>66</v>
      </c>
      <c r="D4" s="126"/>
      <c r="E4" s="127"/>
      <c r="F4" s="128">
        <f>F9+1500</f>
        <v>58150</v>
      </c>
      <c r="G4" s="129"/>
      <c r="H4" s="129"/>
      <c r="I4" s="130"/>
      <c r="J4" s="50">
        <f>J9+2000</f>
        <v>58900</v>
      </c>
    </row>
    <row r="5" spans="1:12" ht="21" customHeight="1">
      <c r="A5" s="49">
        <v>3</v>
      </c>
      <c r="B5" s="42" t="s">
        <v>67</v>
      </c>
      <c r="C5" s="125" t="s">
        <v>67</v>
      </c>
      <c r="D5" s="126"/>
      <c r="E5" s="127"/>
      <c r="F5" s="128">
        <f>F9+250</f>
        <v>56900</v>
      </c>
      <c r="G5" s="129"/>
      <c r="H5" s="129"/>
      <c r="I5" s="130"/>
      <c r="J5" s="50">
        <f>J9+250</f>
        <v>57150</v>
      </c>
    </row>
    <row r="6" spans="1:12" ht="21" customHeight="1">
      <c r="A6" s="49">
        <v>3</v>
      </c>
      <c r="B6" s="43" t="s">
        <v>68</v>
      </c>
      <c r="C6" s="125" t="s">
        <v>69</v>
      </c>
      <c r="D6" s="126"/>
      <c r="E6" s="127"/>
      <c r="F6" s="128">
        <f>F9+500</f>
        <v>57150</v>
      </c>
      <c r="G6" s="129"/>
      <c r="H6" s="129"/>
      <c r="I6" s="130"/>
      <c r="J6" s="50">
        <f>J9+1000</f>
        <v>57900</v>
      </c>
    </row>
    <row r="7" spans="1:12" ht="21" customHeight="1">
      <c r="A7" s="49">
        <v>4</v>
      </c>
      <c r="B7" s="42" t="s">
        <v>70</v>
      </c>
      <c r="C7" s="125" t="s">
        <v>71</v>
      </c>
      <c r="D7" s="126"/>
      <c r="E7" s="127"/>
      <c r="F7" s="128">
        <f>F9</f>
        <v>56650</v>
      </c>
      <c r="G7" s="129"/>
      <c r="H7" s="129"/>
      <c r="I7" s="130"/>
      <c r="J7" s="50">
        <f>J9+500</f>
        <v>57400</v>
      </c>
    </row>
    <row r="8" spans="1:12" ht="21" customHeight="1">
      <c r="A8" s="49">
        <v>5</v>
      </c>
      <c r="B8" s="41" t="s">
        <v>72</v>
      </c>
      <c r="C8" s="125" t="s">
        <v>73</v>
      </c>
      <c r="D8" s="126"/>
      <c r="E8" s="127"/>
      <c r="F8" s="128">
        <f>F9+500</f>
        <v>57150</v>
      </c>
      <c r="G8" s="129"/>
      <c r="H8" s="129"/>
      <c r="I8" s="130"/>
      <c r="J8" s="50">
        <f>J9+500</f>
        <v>57400</v>
      </c>
    </row>
    <row r="9" spans="1:12" ht="21" customHeight="1">
      <c r="A9" s="49">
        <v>6</v>
      </c>
      <c r="B9" s="41" t="s">
        <v>74</v>
      </c>
      <c r="C9" s="125" t="s">
        <v>75</v>
      </c>
      <c r="D9" s="126"/>
      <c r="E9" s="127"/>
      <c r="F9" s="141">
        <f>51400+750+750+500+1000+1250+1000</f>
        <v>56650</v>
      </c>
      <c r="G9" s="142"/>
      <c r="H9" s="142"/>
      <c r="I9" s="143"/>
      <c r="J9" s="51">
        <f>52900+1250+1000+1000+750</f>
        <v>56900</v>
      </c>
      <c r="K9" s="68"/>
      <c r="L9" s="68"/>
    </row>
    <row r="10" spans="1:12" ht="21" customHeight="1">
      <c r="A10" s="49">
        <v>7</v>
      </c>
      <c r="B10" s="41" t="s">
        <v>76</v>
      </c>
      <c r="C10" s="125" t="s">
        <v>77</v>
      </c>
      <c r="D10" s="126"/>
      <c r="E10" s="127"/>
      <c r="F10" s="128">
        <f>F9</f>
        <v>56650</v>
      </c>
      <c r="G10" s="129"/>
      <c r="H10" s="129"/>
      <c r="I10" s="130"/>
      <c r="J10" s="50">
        <f>J9</f>
        <v>56900</v>
      </c>
    </row>
    <row r="11" spans="1:12" ht="21" customHeight="1">
      <c r="A11" s="49">
        <v>8</v>
      </c>
      <c r="B11" s="41" t="s">
        <v>78</v>
      </c>
      <c r="C11" s="125" t="s">
        <v>79</v>
      </c>
      <c r="D11" s="126"/>
      <c r="E11" s="127"/>
      <c r="F11" s="128">
        <f>F9</f>
        <v>56650</v>
      </c>
      <c r="G11" s="129"/>
      <c r="H11" s="129"/>
      <c r="I11" s="130"/>
      <c r="J11" s="50">
        <f>J9</f>
        <v>56900</v>
      </c>
    </row>
    <row r="12" spans="1:12" ht="21" customHeight="1">
      <c r="A12" s="49">
        <v>9</v>
      </c>
      <c r="B12" s="44" t="s">
        <v>80</v>
      </c>
      <c r="C12" s="125" t="s">
        <v>81</v>
      </c>
      <c r="D12" s="126"/>
      <c r="E12" s="127"/>
      <c r="F12" s="128">
        <f>F9</f>
        <v>56650</v>
      </c>
      <c r="G12" s="129"/>
      <c r="H12" s="129"/>
      <c r="I12" s="130"/>
      <c r="J12" s="50">
        <f>J9</f>
        <v>56900</v>
      </c>
    </row>
    <row r="13" spans="1:12" ht="21" customHeight="1">
      <c r="A13" s="56">
        <v>10</v>
      </c>
      <c r="B13" s="63" t="s">
        <v>82</v>
      </c>
      <c r="C13" s="153" t="s">
        <v>83</v>
      </c>
      <c r="D13" s="154"/>
      <c r="E13" s="155"/>
      <c r="F13" s="156">
        <f>F9</f>
        <v>56650</v>
      </c>
      <c r="G13" s="157"/>
      <c r="H13" s="157"/>
      <c r="I13" s="158"/>
      <c r="J13" s="64">
        <f>J9</f>
        <v>56900</v>
      </c>
    </row>
    <row r="14" spans="1:12" ht="21" customHeight="1">
      <c r="A14" s="52"/>
      <c r="B14" s="53"/>
      <c r="C14" s="173"/>
      <c r="D14" s="173"/>
      <c r="E14" s="173"/>
      <c r="F14" s="173"/>
      <c r="G14" s="173"/>
      <c r="H14" s="173"/>
      <c r="I14" s="173"/>
      <c r="J14" s="54"/>
    </row>
    <row r="15" spans="1:12" ht="21" customHeight="1">
      <c r="A15" s="49">
        <v>11</v>
      </c>
      <c r="B15" s="42" t="s">
        <v>84</v>
      </c>
      <c r="C15" s="174" t="s">
        <v>85</v>
      </c>
      <c r="D15" s="174"/>
      <c r="E15" s="174"/>
      <c r="F15" s="175">
        <f>F9-750</f>
        <v>55900</v>
      </c>
      <c r="G15" s="175"/>
      <c r="H15" s="175"/>
      <c r="I15" s="175"/>
      <c r="J15" s="50">
        <f>J9-1250</f>
        <v>55650</v>
      </c>
    </row>
    <row r="16" spans="1:12" ht="21" customHeight="1">
      <c r="A16" s="49">
        <v>12</v>
      </c>
      <c r="B16" s="43" t="s">
        <v>86</v>
      </c>
      <c r="C16" s="174" t="s">
        <v>87</v>
      </c>
      <c r="D16" s="174"/>
      <c r="E16" s="174"/>
      <c r="F16" s="175">
        <f>F9-1750</f>
        <v>54900</v>
      </c>
      <c r="G16" s="175"/>
      <c r="H16" s="175"/>
      <c r="I16" s="175"/>
      <c r="J16" s="50">
        <f>J9-1250</f>
        <v>55650</v>
      </c>
    </row>
    <row r="17" spans="1:16" ht="21" customHeight="1">
      <c r="A17" s="65"/>
      <c r="B17" s="66"/>
      <c r="C17" s="176"/>
      <c r="D17" s="177"/>
      <c r="E17" s="178"/>
      <c r="F17" s="176"/>
      <c r="G17" s="177"/>
      <c r="H17" s="177"/>
      <c r="I17" s="178"/>
      <c r="J17" s="67"/>
    </row>
    <row r="18" spans="1:16" ht="21" customHeight="1">
      <c r="A18" s="49">
        <v>13</v>
      </c>
      <c r="B18" s="41" t="s">
        <v>88</v>
      </c>
      <c r="C18" s="125" t="s">
        <v>89</v>
      </c>
      <c r="D18" s="126"/>
      <c r="E18" s="127"/>
      <c r="F18" s="147" t="str">
        <f>F9-1050 &amp; ",  Odisha West - "&amp; F9-1750</f>
        <v>55600,  Odisha West - 54900</v>
      </c>
      <c r="G18" s="148"/>
      <c r="H18" s="148"/>
      <c r="I18" s="149"/>
      <c r="J18" s="55"/>
    </row>
    <row r="19" spans="1:16" ht="21" customHeight="1">
      <c r="A19" s="49">
        <v>14</v>
      </c>
      <c r="B19" s="41" t="s">
        <v>90</v>
      </c>
      <c r="C19" s="125" t="s">
        <v>91</v>
      </c>
      <c r="D19" s="126"/>
      <c r="E19" s="127"/>
      <c r="F19" s="128">
        <f>F9-750</f>
        <v>55900</v>
      </c>
      <c r="G19" s="129"/>
      <c r="H19" s="129"/>
      <c r="I19" s="130"/>
      <c r="J19" s="54"/>
    </row>
    <row r="20" spans="1:16" ht="21" customHeight="1">
      <c r="A20" s="49">
        <v>15</v>
      </c>
      <c r="B20" s="41" t="s">
        <v>92</v>
      </c>
      <c r="C20" s="125" t="s">
        <v>93</v>
      </c>
      <c r="D20" s="126"/>
      <c r="E20" s="127"/>
      <c r="F20" s="128">
        <f>F9-750</f>
        <v>55900</v>
      </c>
      <c r="G20" s="129"/>
      <c r="H20" s="129"/>
      <c r="I20" s="130"/>
      <c r="J20" s="54"/>
    </row>
    <row r="21" spans="1:16" ht="30" customHeight="1">
      <c r="A21" s="49">
        <v>16</v>
      </c>
      <c r="B21" s="42" t="s">
        <v>94</v>
      </c>
      <c r="C21" s="150" t="s">
        <v>95</v>
      </c>
      <c r="D21" s="151"/>
      <c r="E21" s="152"/>
      <c r="F21" s="128">
        <f>F9-250</f>
        <v>56400</v>
      </c>
      <c r="G21" s="129"/>
      <c r="H21" s="129"/>
      <c r="I21" s="130"/>
      <c r="J21" s="54"/>
    </row>
    <row r="22" spans="1:16" ht="21" customHeight="1">
      <c r="A22" s="49">
        <v>17</v>
      </c>
      <c r="B22" s="42" t="s">
        <v>94</v>
      </c>
      <c r="C22" s="125" t="s">
        <v>96</v>
      </c>
      <c r="D22" s="126"/>
      <c r="E22" s="127"/>
      <c r="F22" s="128">
        <f>F9-750</f>
        <v>55900</v>
      </c>
      <c r="G22" s="129"/>
      <c r="H22" s="129"/>
      <c r="I22" s="130"/>
      <c r="J22" s="54"/>
    </row>
    <row r="23" spans="1:16" ht="21" customHeight="1">
      <c r="A23" s="52"/>
      <c r="B23" s="53"/>
      <c r="C23" s="144"/>
      <c r="D23" s="145"/>
      <c r="E23" s="146"/>
      <c r="F23" s="144"/>
      <c r="G23" s="145"/>
      <c r="H23" s="145"/>
      <c r="I23" s="146"/>
      <c r="J23" s="54"/>
    </row>
    <row r="24" spans="1:16" ht="21" customHeight="1">
      <c r="A24" s="56">
        <v>18</v>
      </c>
      <c r="B24" s="45" t="s">
        <v>41</v>
      </c>
      <c r="C24" s="153" t="s">
        <v>97</v>
      </c>
      <c r="D24" s="154"/>
      <c r="E24" s="155"/>
      <c r="F24" s="156">
        <f>F9-750</f>
        <v>55900</v>
      </c>
      <c r="G24" s="157"/>
      <c r="H24" s="157"/>
      <c r="I24" s="158"/>
      <c r="J24" s="50">
        <f>J9-750</f>
        <v>56150</v>
      </c>
    </row>
    <row r="25" spans="1:16" ht="21" customHeight="1">
      <c r="A25" s="57">
        <v>19</v>
      </c>
      <c r="B25" s="46" t="s">
        <v>98</v>
      </c>
      <c r="C25" s="159" t="s">
        <v>99</v>
      </c>
      <c r="D25" s="159"/>
      <c r="E25" s="159"/>
      <c r="F25" s="160">
        <f>F9-1250</f>
        <v>55400</v>
      </c>
      <c r="G25" s="160"/>
      <c r="H25" s="160"/>
      <c r="I25" s="160"/>
      <c r="J25" s="58"/>
    </row>
    <row r="26" spans="1:16" ht="21" customHeight="1">
      <c r="A26" s="59"/>
      <c r="B26" s="60"/>
      <c r="C26" s="60"/>
      <c r="D26" s="60"/>
      <c r="E26" s="60"/>
      <c r="F26" s="60"/>
      <c r="G26" s="60"/>
      <c r="H26" s="60"/>
      <c r="I26" s="60"/>
      <c r="J26" s="61"/>
    </row>
    <row r="27" spans="1:16" ht="21" customHeight="1">
      <c r="A27" s="161" t="s">
        <v>100</v>
      </c>
      <c r="B27" s="162"/>
      <c r="C27" s="162"/>
      <c r="D27" s="162"/>
      <c r="E27" s="162"/>
      <c r="F27" s="162"/>
      <c r="G27" s="162"/>
      <c r="H27" s="162"/>
      <c r="I27" s="162"/>
      <c r="J27" s="163"/>
    </row>
    <row r="28" spans="1:16" s="34" customFormat="1" ht="21" customHeight="1">
      <c r="A28" s="164" t="s">
        <v>46</v>
      </c>
      <c r="B28" s="165"/>
      <c r="C28" s="165"/>
      <c r="D28" s="165"/>
      <c r="E28" s="165"/>
      <c r="F28" s="165"/>
      <c r="G28" s="165"/>
      <c r="H28" s="165"/>
      <c r="I28" s="165"/>
      <c r="J28" s="166"/>
    </row>
    <row r="29" spans="1:16" ht="21" customHeight="1">
      <c r="A29" s="167" t="s">
        <v>101</v>
      </c>
      <c r="B29" s="168"/>
      <c r="C29" s="168"/>
      <c r="D29" s="168"/>
      <c r="E29" s="168"/>
      <c r="F29" s="168"/>
      <c r="G29" s="168" t="s">
        <v>102</v>
      </c>
      <c r="H29" s="168"/>
      <c r="I29" s="168"/>
      <c r="J29" s="169"/>
    </row>
    <row r="30" spans="1:16" ht="21" customHeight="1">
      <c r="A30" s="170" t="s">
        <v>103</v>
      </c>
      <c r="B30" s="171"/>
      <c r="C30" s="171"/>
      <c r="D30" s="171"/>
      <c r="E30" s="171"/>
      <c r="F30" s="171"/>
      <c r="G30" s="171" t="s">
        <v>104</v>
      </c>
      <c r="H30" s="171"/>
      <c r="I30" s="171"/>
      <c r="J30" s="172"/>
    </row>
    <row r="31" spans="1:16" ht="21" customHeight="1">
      <c r="A31" s="170" t="s">
        <v>105</v>
      </c>
      <c r="B31" s="171"/>
      <c r="C31" s="171"/>
      <c r="D31" s="171"/>
      <c r="E31" s="171"/>
      <c r="F31" s="171"/>
      <c r="G31" s="171" t="s">
        <v>106</v>
      </c>
      <c r="H31" s="171"/>
      <c r="I31" s="171"/>
      <c r="J31" s="172"/>
    </row>
    <row r="32" spans="1:16" ht="113.25" customHeight="1">
      <c r="A32" s="121" t="s">
        <v>53</v>
      </c>
      <c r="B32" s="122"/>
      <c r="C32" s="122"/>
      <c r="D32" s="123" t="s">
        <v>54</v>
      </c>
      <c r="E32" s="123"/>
      <c r="F32" s="123"/>
      <c r="G32" s="123"/>
      <c r="H32" s="62"/>
      <c r="I32" s="123" t="s">
        <v>55</v>
      </c>
      <c r="J32" s="124"/>
      <c r="P32" s="4"/>
    </row>
    <row r="33" spans="1:10">
      <c r="A33" s="2"/>
      <c r="B33" s="3"/>
      <c r="C33" s="3"/>
      <c r="D33" s="3"/>
      <c r="E33" s="3"/>
      <c r="F33" s="3"/>
      <c r="G33" s="3"/>
      <c r="H33" s="3"/>
      <c r="I33" s="3"/>
      <c r="J33" s="3"/>
    </row>
    <row r="39" spans="1:10">
      <c r="G39" s="1" t="s">
        <v>56</v>
      </c>
    </row>
  </sheetData>
  <mergeCells count="60">
    <mergeCell ref="C4:E4"/>
    <mergeCell ref="F4:I4"/>
    <mergeCell ref="B1:I1"/>
    <mergeCell ref="C2:E2"/>
    <mergeCell ref="F2:I2"/>
    <mergeCell ref="C3:E3"/>
    <mergeCell ref="F3:I3"/>
    <mergeCell ref="C5:E5"/>
    <mergeCell ref="F5:I5"/>
    <mergeCell ref="C6:E6"/>
    <mergeCell ref="F6:I6"/>
    <mergeCell ref="C7:E7"/>
    <mergeCell ref="F7:I7"/>
    <mergeCell ref="C8:E8"/>
    <mergeCell ref="F8:I8"/>
    <mergeCell ref="C9:E9"/>
    <mergeCell ref="F9:I9"/>
    <mergeCell ref="C10:E10"/>
    <mergeCell ref="F10:I10"/>
    <mergeCell ref="C11:E11"/>
    <mergeCell ref="F11:I11"/>
    <mergeCell ref="C12:E12"/>
    <mergeCell ref="F12:I12"/>
    <mergeCell ref="C13:E13"/>
    <mergeCell ref="F13:I13"/>
    <mergeCell ref="C14:E14"/>
    <mergeCell ref="F14:I14"/>
    <mergeCell ref="C15:E15"/>
    <mergeCell ref="F15:I15"/>
    <mergeCell ref="C16:E16"/>
    <mergeCell ref="F16:I16"/>
    <mergeCell ref="C17:E17"/>
    <mergeCell ref="F17:I17"/>
    <mergeCell ref="C18:E18"/>
    <mergeCell ref="F18:I18"/>
    <mergeCell ref="C19:E19"/>
    <mergeCell ref="F19:I19"/>
    <mergeCell ref="C20:E20"/>
    <mergeCell ref="F20:I20"/>
    <mergeCell ref="C21:E21"/>
    <mergeCell ref="F21:I21"/>
    <mergeCell ref="C22:E22"/>
    <mergeCell ref="F22:I22"/>
    <mergeCell ref="C23:E23"/>
    <mergeCell ref="F23:I23"/>
    <mergeCell ref="C24:E24"/>
    <mergeCell ref="F24:I24"/>
    <mergeCell ref="C25:E25"/>
    <mergeCell ref="F25:I25"/>
    <mergeCell ref="A27:J27"/>
    <mergeCell ref="A28:J28"/>
    <mergeCell ref="A29:F29"/>
    <mergeCell ref="G29:J29"/>
    <mergeCell ref="A30:F30"/>
    <mergeCell ref="G30:J30"/>
    <mergeCell ref="A31:F31"/>
    <mergeCell ref="G31:J31"/>
    <mergeCell ref="A32:C32"/>
    <mergeCell ref="D32:G32"/>
    <mergeCell ref="I32:J32"/>
  </mergeCells>
  <printOptions horizontalCentered="1" verticalCentered="1"/>
  <pageMargins left="0.25" right="0.25" top="0.75" bottom="0.75" header="0.3" footer="0.3"/>
  <pageSetup paperSize="9" scale="90" orientation="landscape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9D4E-B158-438A-8F6F-D112EFB5D805}">
  <sheetPr>
    <pageSetUpPr fitToPage="1"/>
  </sheetPr>
  <dimension ref="A1:P39"/>
  <sheetViews>
    <sheetView topLeftCell="B16" workbookViewId="0">
      <selection activeCell="J24" sqref="J24"/>
    </sheetView>
  </sheetViews>
  <sheetFormatPr defaultColWidth="8.83203125" defaultRowHeight="12.75"/>
  <cols>
    <col min="1" max="1" width="61" style="1" customWidth="1"/>
    <col min="2" max="2" width="48.33203125" style="1" customWidth="1"/>
    <col min="3" max="3" width="11.33203125" style="1" customWidth="1"/>
    <col min="4" max="4" width="30.83203125" style="1" customWidth="1"/>
    <col min="5" max="5" width="13.5" style="1" customWidth="1"/>
    <col min="6" max="6" width="9.5" style="1" customWidth="1"/>
    <col min="7" max="7" width="32.5" style="1" customWidth="1"/>
    <col min="8" max="8" width="24.83203125" style="1" customWidth="1"/>
    <col min="9" max="9" width="14.6640625" style="1" customWidth="1"/>
    <col min="10" max="10" width="57.5" style="1" customWidth="1"/>
    <col min="11" max="16384" width="8.83203125" style="1"/>
  </cols>
  <sheetData>
    <row r="1" spans="1:12" ht="122.25" customHeight="1">
      <c r="A1" s="35" t="s">
        <v>125</v>
      </c>
      <c r="B1" s="131" t="s">
        <v>126</v>
      </c>
      <c r="C1" s="131"/>
      <c r="D1" s="131"/>
      <c r="E1" s="131"/>
      <c r="F1" s="131"/>
      <c r="G1" s="131"/>
      <c r="H1" s="131"/>
      <c r="I1" s="131"/>
      <c r="J1" s="36" t="s">
        <v>127</v>
      </c>
    </row>
    <row r="2" spans="1:12" s="16" customFormat="1" ht="33.75" customHeight="1">
      <c r="A2" s="37" t="s">
        <v>60</v>
      </c>
      <c r="B2" s="38" t="s">
        <v>61</v>
      </c>
      <c r="C2" s="132" t="s">
        <v>62</v>
      </c>
      <c r="D2" s="133"/>
      <c r="E2" s="134"/>
      <c r="F2" s="132" t="s">
        <v>6</v>
      </c>
      <c r="G2" s="133"/>
      <c r="H2" s="133"/>
      <c r="I2" s="134"/>
      <c r="J2" s="39" t="s">
        <v>63</v>
      </c>
    </row>
    <row r="3" spans="1:12" ht="21" customHeight="1">
      <c r="A3" s="47">
        <v>1</v>
      </c>
      <c r="B3" s="40" t="s">
        <v>64</v>
      </c>
      <c r="C3" s="135" t="s">
        <v>65</v>
      </c>
      <c r="D3" s="136"/>
      <c r="E3" s="137"/>
      <c r="F3" s="138">
        <f>F9+2000</f>
        <v>58650</v>
      </c>
      <c r="G3" s="139"/>
      <c r="H3" s="139"/>
      <c r="I3" s="140"/>
      <c r="J3" s="48">
        <f>J9+2500</f>
        <v>60150</v>
      </c>
    </row>
    <row r="4" spans="1:12" ht="21" customHeight="1">
      <c r="A4" s="49">
        <v>2</v>
      </c>
      <c r="B4" s="41" t="s">
        <v>66</v>
      </c>
      <c r="C4" s="125" t="s">
        <v>66</v>
      </c>
      <c r="D4" s="126"/>
      <c r="E4" s="127"/>
      <c r="F4" s="128">
        <f>F9+1500</f>
        <v>58150</v>
      </c>
      <c r="G4" s="129"/>
      <c r="H4" s="129"/>
      <c r="I4" s="130"/>
      <c r="J4" s="50">
        <f>J9+2000</f>
        <v>59650</v>
      </c>
    </row>
    <row r="5" spans="1:12" ht="21" customHeight="1">
      <c r="A5" s="49">
        <v>3</v>
      </c>
      <c r="B5" s="42" t="s">
        <v>67</v>
      </c>
      <c r="C5" s="125" t="s">
        <v>67</v>
      </c>
      <c r="D5" s="126"/>
      <c r="E5" s="127"/>
      <c r="F5" s="128">
        <f>F9+250</f>
        <v>56900</v>
      </c>
      <c r="G5" s="129"/>
      <c r="H5" s="129"/>
      <c r="I5" s="130"/>
      <c r="J5" s="50">
        <f>J9+250</f>
        <v>57900</v>
      </c>
    </row>
    <row r="6" spans="1:12" ht="21" customHeight="1">
      <c r="A6" s="49">
        <v>3</v>
      </c>
      <c r="B6" s="43" t="s">
        <v>68</v>
      </c>
      <c r="C6" s="125" t="s">
        <v>69</v>
      </c>
      <c r="D6" s="126"/>
      <c r="E6" s="127"/>
      <c r="F6" s="128">
        <f>F9+500</f>
        <v>57150</v>
      </c>
      <c r="G6" s="129"/>
      <c r="H6" s="129"/>
      <c r="I6" s="130"/>
      <c r="J6" s="50">
        <f>J9+1000</f>
        <v>58650</v>
      </c>
    </row>
    <row r="7" spans="1:12" ht="21" customHeight="1">
      <c r="A7" s="49">
        <v>4</v>
      </c>
      <c r="B7" s="42" t="s">
        <v>70</v>
      </c>
      <c r="C7" s="125" t="s">
        <v>71</v>
      </c>
      <c r="D7" s="126"/>
      <c r="E7" s="127"/>
      <c r="F7" s="128">
        <f>F9</f>
        <v>56650</v>
      </c>
      <c r="G7" s="129"/>
      <c r="H7" s="129"/>
      <c r="I7" s="130"/>
      <c r="J7" s="50">
        <f>J9+500</f>
        <v>58150</v>
      </c>
    </row>
    <row r="8" spans="1:12" ht="21" customHeight="1">
      <c r="A8" s="49">
        <v>5</v>
      </c>
      <c r="B8" s="41" t="s">
        <v>72</v>
      </c>
      <c r="C8" s="125" t="s">
        <v>73</v>
      </c>
      <c r="D8" s="126"/>
      <c r="E8" s="127"/>
      <c r="F8" s="128">
        <f>F9+500</f>
        <v>57150</v>
      </c>
      <c r="G8" s="129"/>
      <c r="H8" s="129"/>
      <c r="I8" s="130"/>
      <c r="J8" s="50">
        <f>J9+500</f>
        <v>58150</v>
      </c>
    </row>
    <row r="9" spans="1:12" ht="21" customHeight="1">
      <c r="A9" s="49">
        <v>6</v>
      </c>
      <c r="B9" s="41" t="s">
        <v>74</v>
      </c>
      <c r="C9" s="125" t="s">
        <v>75</v>
      </c>
      <c r="D9" s="126"/>
      <c r="E9" s="127"/>
      <c r="F9" s="141">
        <f>51400+750+750+500+1000+1250+1000</f>
        <v>56650</v>
      </c>
      <c r="G9" s="142"/>
      <c r="H9" s="142"/>
      <c r="I9" s="143"/>
      <c r="J9" s="51">
        <f>52900+1250+1000+1000+750+750</f>
        <v>57650</v>
      </c>
      <c r="K9" s="68"/>
      <c r="L9" s="68"/>
    </row>
    <row r="10" spans="1:12" ht="21" customHeight="1">
      <c r="A10" s="49">
        <v>7</v>
      </c>
      <c r="B10" s="41" t="s">
        <v>76</v>
      </c>
      <c r="C10" s="125" t="s">
        <v>77</v>
      </c>
      <c r="D10" s="126"/>
      <c r="E10" s="127"/>
      <c r="F10" s="128">
        <f>F9</f>
        <v>56650</v>
      </c>
      <c r="G10" s="129"/>
      <c r="H10" s="129"/>
      <c r="I10" s="130"/>
      <c r="J10" s="50">
        <f>J9</f>
        <v>57650</v>
      </c>
    </row>
    <row r="11" spans="1:12" ht="21" customHeight="1">
      <c r="A11" s="49">
        <v>8</v>
      </c>
      <c r="B11" s="41" t="s">
        <v>78</v>
      </c>
      <c r="C11" s="125" t="s">
        <v>79</v>
      </c>
      <c r="D11" s="126"/>
      <c r="E11" s="127"/>
      <c r="F11" s="128">
        <f>F9</f>
        <v>56650</v>
      </c>
      <c r="G11" s="129"/>
      <c r="H11" s="129"/>
      <c r="I11" s="130"/>
      <c r="J11" s="50">
        <f>J9</f>
        <v>57650</v>
      </c>
    </row>
    <row r="12" spans="1:12" ht="21" customHeight="1">
      <c r="A12" s="49">
        <v>9</v>
      </c>
      <c r="B12" s="44" t="s">
        <v>80</v>
      </c>
      <c r="C12" s="125" t="s">
        <v>81</v>
      </c>
      <c r="D12" s="126"/>
      <c r="E12" s="127"/>
      <c r="F12" s="128">
        <f>F9</f>
        <v>56650</v>
      </c>
      <c r="G12" s="129"/>
      <c r="H12" s="129"/>
      <c r="I12" s="130"/>
      <c r="J12" s="50">
        <f>J9</f>
        <v>57650</v>
      </c>
    </row>
    <row r="13" spans="1:12" ht="21" customHeight="1">
      <c r="A13" s="56">
        <v>10</v>
      </c>
      <c r="B13" s="63" t="s">
        <v>82</v>
      </c>
      <c r="C13" s="153" t="s">
        <v>83</v>
      </c>
      <c r="D13" s="154"/>
      <c r="E13" s="155"/>
      <c r="F13" s="156">
        <f>F9</f>
        <v>56650</v>
      </c>
      <c r="G13" s="157"/>
      <c r="H13" s="157"/>
      <c r="I13" s="158"/>
      <c r="J13" s="64">
        <f>J9</f>
        <v>57650</v>
      </c>
    </row>
    <row r="14" spans="1:12" ht="21" customHeight="1">
      <c r="A14" s="52"/>
      <c r="B14" s="53"/>
      <c r="C14" s="173"/>
      <c r="D14" s="173"/>
      <c r="E14" s="173"/>
      <c r="F14" s="173"/>
      <c r="G14" s="173"/>
      <c r="H14" s="173"/>
      <c r="I14" s="173"/>
      <c r="J14" s="54"/>
    </row>
    <row r="15" spans="1:12" ht="21" customHeight="1">
      <c r="A15" s="49">
        <v>11</v>
      </c>
      <c r="B15" s="42" t="s">
        <v>84</v>
      </c>
      <c r="C15" s="174" t="s">
        <v>85</v>
      </c>
      <c r="D15" s="174"/>
      <c r="E15" s="174"/>
      <c r="F15" s="175">
        <f>F9-750</f>
        <v>55900</v>
      </c>
      <c r="G15" s="175"/>
      <c r="H15" s="175"/>
      <c r="I15" s="175"/>
      <c r="J15" s="50">
        <f>J9-1250</f>
        <v>56400</v>
      </c>
    </row>
    <row r="16" spans="1:12" ht="21" customHeight="1">
      <c r="A16" s="49">
        <v>12</v>
      </c>
      <c r="B16" s="43" t="s">
        <v>86</v>
      </c>
      <c r="C16" s="174" t="s">
        <v>87</v>
      </c>
      <c r="D16" s="174"/>
      <c r="E16" s="174"/>
      <c r="F16" s="175">
        <f>F9-1750</f>
        <v>54900</v>
      </c>
      <c r="G16" s="175"/>
      <c r="H16" s="175"/>
      <c r="I16" s="175"/>
      <c r="J16" s="50">
        <f>J9-1250</f>
        <v>56400</v>
      </c>
    </row>
    <row r="17" spans="1:16" ht="21" customHeight="1">
      <c r="A17" s="65"/>
      <c r="B17" s="66"/>
      <c r="C17" s="176"/>
      <c r="D17" s="177"/>
      <c r="E17" s="178"/>
      <c r="F17" s="176"/>
      <c r="G17" s="177"/>
      <c r="H17" s="177"/>
      <c r="I17" s="178"/>
      <c r="J17" s="67"/>
    </row>
    <row r="18" spans="1:16" ht="21" customHeight="1">
      <c r="A18" s="49">
        <v>13</v>
      </c>
      <c r="B18" s="41" t="s">
        <v>88</v>
      </c>
      <c r="C18" s="125" t="s">
        <v>89</v>
      </c>
      <c r="D18" s="126"/>
      <c r="E18" s="127"/>
      <c r="F18" s="147" t="str">
        <f>F9-1050 &amp; ",  Odisha West - "&amp; F9-1750</f>
        <v>55600,  Odisha West - 54900</v>
      </c>
      <c r="G18" s="148"/>
      <c r="H18" s="148"/>
      <c r="I18" s="149"/>
      <c r="J18" s="55"/>
    </row>
    <row r="19" spans="1:16" ht="21" customHeight="1">
      <c r="A19" s="49">
        <v>14</v>
      </c>
      <c r="B19" s="41" t="s">
        <v>90</v>
      </c>
      <c r="C19" s="125" t="s">
        <v>91</v>
      </c>
      <c r="D19" s="126"/>
      <c r="E19" s="127"/>
      <c r="F19" s="128">
        <f>F9-750</f>
        <v>55900</v>
      </c>
      <c r="G19" s="129"/>
      <c r="H19" s="129"/>
      <c r="I19" s="130"/>
      <c r="J19" s="54"/>
    </row>
    <row r="20" spans="1:16" ht="21" customHeight="1">
      <c r="A20" s="49">
        <v>15</v>
      </c>
      <c r="B20" s="41" t="s">
        <v>92</v>
      </c>
      <c r="C20" s="125" t="s">
        <v>93</v>
      </c>
      <c r="D20" s="126"/>
      <c r="E20" s="127"/>
      <c r="F20" s="128">
        <f>F9-750</f>
        <v>55900</v>
      </c>
      <c r="G20" s="129"/>
      <c r="H20" s="129"/>
      <c r="I20" s="130"/>
      <c r="J20" s="54"/>
    </row>
    <row r="21" spans="1:16" ht="30" customHeight="1">
      <c r="A21" s="49">
        <v>16</v>
      </c>
      <c r="B21" s="42" t="s">
        <v>94</v>
      </c>
      <c r="C21" s="150" t="s">
        <v>95</v>
      </c>
      <c r="D21" s="151"/>
      <c r="E21" s="152"/>
      <c r="F21" s="128">
        <f>F9-250</f>
        <v>56400</v>
      </c>
      <c r="G21" s="129"/>
      <c r="H21" s="129"/>
      <c r="I21" s="130"/>
      <c r="J21" s="54"/>
    </row>
    <row r="22" spans="1:16" ht="21" customHeight="1">
      <c r="A22" s="49">
        <v>17</v>
      </c>
      <c r="B22" s="42" t="s">
        <v>94</v>
      </c>
      <c r="C22" s="125" t="s">
        <v>96</v>
      </c>
      <c r="D22" s="126"/>
      <c r="E22" s="127"/>
      <c r="F22" s="128">
        <f>F9-750</f>
        <v>55900</v>
      </c>
      <c r="G22" s="129"/>
      <c r="H22" s="129"/>
      <c r="I22" s="130"/>
      <c r="J22" s="54"/>
    </row>
    <row r="23" spans="1:16" ht="21" customHeight="1">
      <c r="A23" s="52"/>
      <c r="B23" s="53"/>
      <c r="C23" s="144"/>
      <c r="D23" s="145"/>
      <c r="E23" s="146"/>
      <c r="F23" s="144"/>
      <c r="G23" s="145"/>
      <c r="H23" s="145"/>
      <c r="I23" s="146"/>
      <c r="J23" s="54"/>
    </row>
    <row r="24" spans="1:16" ht="21" customHeight="1">
      <c r="A24" s="56">
        <v>18</v>
      </c>
      <c r="B24" s="45" t="s">
        <v>41</v>
      </c>
      <c r="C24" s="153" t="s">
        <v>97</v>
      </c>
      <c r="D24" s="154"/>
      <c r="E24" s="155"/>
      <c r="F24" s="156">
        <f>F9-750</f>
        <v>55900</v>
      </c>
      <c r="G24" s="157"/>
      <c r="H24" s="157"/>
      <c r="I24" s="158"/>
      <c r="J24" s="50">
        <f>J9-750</f>
        <v>56900</v>
      </c>
    </row>
    <row r="25" spans="1:16" ht="21" customHeight="1">
      <c r="A25" s="57">
        <v>19</v>
      </c>
      <c r="B25" s="46" t="s">
        <v>98</v>
      </c>
      <c r="C25" s="159" t="s">
        <v>99</v>
      </c>
      <c r="D25" s="159"/>
      <c r="E25" s="159"/>
      <c r="F25" s="160">
        <f>F9-1250</f>
        <v>55400</v>
      </c>
      <c r="G25" s="160"/>
      <c r="H25" s="160"/>
      <c r="I25" s="160"/>
      <c r="J25" s="58"/>
    </row>
    <row r="26" spans="1:16" ht="21" customHeight="1">
      <c r="A26" s="59"/>
      <c r="B26" s="60"/>
      <c r="C26" s="60"/>
      <c r="D26" s="60"/>
      <c r="E26" s="60"/>
      <c r="F26" s="60"/>
      <c r="G26" s="60"/>
      <c r="H26" s="60"/>
      <c r="I26" s="60"/>
      <c r="J26" s="61"/>
    </row>
    <row r="27" spans="1:16" ht="21" customHeight="1">
      <c r="A27" s="161" t="s">
        <v>100</v>
      </c>
      <c r="B27" s="162"/>
      <c r="C27" s="162"/>
      <c r="D27" s="162"/>
      <c r="E27" s="162"/>
      <c r="F27" s="162"/>
      <c r="G27" s="162"/>
      <c r="H27" s="162"/>
      <c r="I27" s="162"/>
      <c r="J27" s="163"/>
    </row>
    <row r="28" spans="1:16" s="34" customFormat="1" ht="21" customHeight="1">
      <c r="A28" s="164" t="s">
        <v>46</v>
      </c>
      <c r="B28" s="165"/>
      <c r="C28" s="165"/>
      <c r="D28" s="165"/>
      <c r="E28" s="165"/>
      <c r="F28" s="165"/>
      <c r="G28" s="165"/>
      <c r="H28" s="165"/>
      <c r="I28" s="165"/>
      <c r="J28" s="166"/>
    </row>
    <row r="29" spans="1:16" ht="21" customHeight="1">
      <c r="A29" s="167" t="s">
        <v>101</v>
      </c>
      <c r="B29" s="168"/>
      <c r="C29" s="168"/>
      <c r="D29" s="168"/>
      <c r="E29" s="168"/>
      <c r="F29" s="168"/>
      <c r="G29" s="168" t="s">
        <v>102</v>
      </c>
      <c r="H29" s="168"/>
      <c r="I29" s="168"/>
      <c r="J29" s="169"/>
    </row>
    <row r="30" spans="1:16" ht="21" customHeight="1">
      <c r="A30" s="170" t="s">
        <v>103</v>
      </c>
      <c r="B30" s="171"/>
      <c r="C30" s="171"/>
      <c r="D30" s="171"/>
      <c r="E30" s="171"/>
      <c r="F30" s="171"/>
      <c r="G30" s="171" t="s">
        <v>104</v>
      </c>
      <c r="H30" s="171"/>
      <c r="I30" s="171"/>
      <c r="J30" s="172"/>
    </row>
    <row r="31" spans="1:16" ht="21" customHeight="1">
      <c r="A31" s="170" t="s">
        <v>105</v>
      </c>
      <c r="B31" s="171"/>
      <c r="C31" s="171"/>
      <c r="D31" s="171"/>
      <c r="E31" s="171"/>
      <c r="F31" s="171"/>
      <c r="G31" s="171" t="s">
        <v>106</v>
      </c>
      <c r="H31" s="171"/>
      <c r="I31" s="171"/>
      <c r="J31" s="172"/>
    </row>
    <row r="32" spans="1:16" ht="113.25" customHeight="1">
      <c r="A32" s="121" t="s">
        <v>53</v>
      </c>
      <c r="B32" s="122"/>
      <c r="C32" s="122"/>
      <c r="D32" s="123" t="s">
        <v>54</v>
      </c>
      <c r="E32" s="123"/>
      <c r="F32" s="123"/>
      <c r="G32" s="123"/>
      <c r="H32" s="62"/>
      <c r="I32" s="123" t="s">
        <v>55</v>
      </c>
      <c r="J32" s="124"/>
      <c r="P32" s="4"/>
    </row>
    <row r="33" spans="1:10">
      <c r="A33" s="2"/>
      <c r="B33" s="3"/>
      <c r="C33" s="3"/>
      <c r="D33" s="3"/>
      <c r="E33" s="3"/>
      <c r="F33" s="3"/>
      <c r="G33" s="3"/>
      <c r="H33" s="3"/>
      <c r="I33" s="3"/>
      <c r="J33" s="3"/>
    </row>
    <row r="39" spans="1:10">
      <c r="G39" s="1" t="s">
        <v>56</v>
      </c>
    </row>
  </sheetData>
  <mergeCells count="60">
    <mergeCell ref="C4:E4"/>
    <mergeCell ref="F4:I4"/>
    <mergeCell ref="B1:I1"/>
    <mergeCell ref="C2:E2"/>
    <mergeCell ref="F2:I2"/>
    <mergeCell ref="C3:E3"/>
    <mergeCell ref="F3:I3"/>
    <mergeCell ref="C5:E5"/>
    <mergeCell ref="F5:I5"/>
    <mergeCell ref="C6:E6"/>
    <mergeCell ref="F6:I6"/>
    <mergeCell ref="C7:E7"/>
    <mergeCell ref="F7:I7"/>
    <mergeCell ref="C8:E8"/>
    <mergeCell ref="F8:I8"/>
    <mergeCell ref="C9:E9"/>
    <mergeCell ref="F9:I9"/>
    <mergeCell ref="C10:E10"/>
    <mergeCell ref="F10:I10"/>
    <mergeCell ref="C11:E11"/>
    <mergeCell ref="F11:I11"/>
    <mergeCell ref="C12:E12"/>
    <mergeCell ref="F12:I12"/>
    <mergeCell ref="C13:E13"/>
    <mergeCell ref="F13:I13"/>
    <mergeCell ref="C14:E14"/>
    <mergeCell ref="F14:I14"/>
    <mergeCell ref="C15:E15"/>
    <mergeCell ref="F15:I15"/>
    <mergeCell ref="C16:E16"/>
    <mergeCell ref="F16:I16"/>
    <mergeCell ref="C17:E17"/>
    <mergeCell ref="F17:I17"/>
    <mergeCell ref="C18:E18"/>
    <mergeCell ref="F18:I18"/>
    <mergeCell ref="C19:E19"/>
    <mergeCell ref="F19:I19"/>
    <mergeCell ref="C20:E20"/>
    <mergeCell ref="F20:I20"/>
    <mergeCell ref="C21:E21"/>
    <mergeCell ref="F21:I21"/>
    <mergeCell ref="C22:E22"/>
    <mergeCell ref="F22:I22"/>
    <mergeCell ref="C23:E23"/>
    <mergeCell ref="F23:I23"/>
    <mergeCell ref="C24:E24"/>
    <mergeCell ref="F24:I24"/>
    <mergeCell ref="C25:E25"/>
    <mergeCell ref="F25:I25"/>
    <mergeCell ref="A27:J27"/>
    <mergeCell ref="A28:J28"/>
    <mergeCell ref="A29:F29"/>
    <mergeCell ref="G29:J29"/>
    <mergeCell ref="A30:F30"/>
    <mergeCell ref="G30:J30"/>
    <mergeCell ref="A31:F31"/>
    <mergeCell ref="G31:J31"/>
    <mergeCell ref="A32:C32"/>
    <mergeCell ref="D32:G32"/>
    <mergeCell ref="I32:J32"/>
  </mergeCells>
  <printOptions horizontalCentered="1" verticalCentered="1"/>
  <pageMargins left="0.25" right="0.25" top="0.75" bottom="0.75" header="0.3" footer="0.3"/>
  <pageSetup paperSize="9" scale="90" orientation="landscape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D9ED-CF91-42D9-A3C4-56EE6E1FFA9B}">
  <sheetPr>
    <pageSetUpPr fitToPage="1"/>
  </sheetPr>
  <dimension ref="A1:P39"/>
  <sheetViews>
    <sheetView topLeftCell="A6" workbookViewId="0">
      <selection activeCell="J24" sqref="J24"/>
    </sheetView>
  </sheetViews>
  <sheetFormatPr defaultColWidth="8.83203125" defaultRowHeight="12.75"/>
  <cols>
    <col min="1" max="1" width="61" style="1" customWidth="1"/>
    <col min="2" max="2" width="48.33203125" style="1" customWidth="1"/>
    <col min="3" max="3" width="11.33203125" style="1" customWidth="1"/>
    <col min="4" max="4" width="30.83203125" style="1" customWidth="1"/>
    <col min="5" max="5" width="13.5" style="1" customWidth="1"/>
    <col min="6" max="6" width="9.5" style="1" customWidth="1"/>
    <col min="7" max="7" width="32.5" style="1" customWidth="1"/>
    <col min="8" max="8" width="24.83203125" style="1" customWidth="1"/>
    <col min="9" max="9" width="17" style="1" customWidth="1"/>
    <col min="10" max="10" width="57.5" style="1" customWidth="1"/>
    <col min="11" max="16384" width="8.83203125" style="1"/>
  </cols>
  <sheetData>
    <row r="1" spans="1:12" ht="122.25" customHeight="1">
      <c r="A1" s="35" t="s">
        <v>128</v>
      </c>
      <c r="B1" s="131" t="s">
        <v>129</v>
      </c>
      <c r="C1" s="131"/>
      <c r="D1" s="131"/>
      <c r="E1" s="131"/>
      <c r="F1" s="131"/>
      <c r="G1" s="131"/>
      <c r="H1" s="131"/>
      <c r="I1" s="131"/>
      <c r="J1" s="36" t="s">
        <v>130</v>
      </c>
    </row>
    <row r="2" spans="1:12" s="16" customFormat="1" ht="33.75" customHeight="1">
      <c r="A2" s="37" t="s">
        <v>60</v>
      </c>
      <c r="B2" s="38" t="s">
        <v>61</v>
      </c>
      <c r="C2" s="132" t="s">
        <v>62</v>
      </c>
      <c r="D2" s="133"/>
      <c r="E2" s="134"/>
      <c r="F2" s="132" t="s">
        <v>6</v>
      </c>
      <c r="G2" s="133"/>
      <c r="H2" s="133"/>
      <c r="I2" s="134"/>
      <c r="J2" s="39" t="s">
        <v>63</v>
      </c>
    </row>
    <row r="3" spans="1:12" ht="21" customHeight="1">
      <c r="A3" s="47">
        <v>1</v>
      </c>
      <c r="B3" s="40" t="s">
        <v>64</v>
      </c>
      <c r="C3" s="135" t="s">
        <v>65</v>
      </c>
      <c r="D3" s="136"/>
      <c r="E3" s="137"/>
      <c r="F3" s="138">
        <f>F9+2000</f>
        <v>58650</v>
      </c>
      <c r="G3" s="139"/>
      <c r="H3" s="139"/>
      <c r="I3" s="140"/>
      <c r="J3" s="48">
        <f>J9+2500</f>
        <v>60150</v>
      </c>
    </row>
    <row r="4" spans="1:12" ht="21" customHeight="1">
      <c r="A4" s="49">
        <v>2</v>
      </c>
      <c r="B4" s="41" t="s">
        <v>66</v>
      </c>
      <c r="C4" s="125" t="s">
        <v>66</v>
      </c>
      <c r="D4" s="126"/>
      <c r="E4" s="127"/>
      <c r="F4" s="128">
        <f>F9+1500</f>
        <v>58150</v>
      </c>
      <c r="G4" s="129"/>
      <c r="H4" s="129"/>
      <c r="I4" s="130"/>
      <c r="J4" s="50">
        <f>J9+2000</f>
        <v>59650</v>
      </c>
    </row>
    <row r="5" spans="1:12" ht="21" customHeight="1">
      <c r="A5" s="49">
        <v>3</v>
      </c>
      <c r="B5" s="42" t="s">
        <v>67</v>
      </c>
      <c r="C5" s="125" t="s">
        <v>67</v>
      </c>
      <c r="D5" s="126"/>
      <c r="E5" s="127"/>
      <c r="F5" s="128">
        <f>F9+250</f>
        <v>56900</v>
      </c>
      <c r="G5" s="129"/>
      <c r="H5" s="129"/>
      <c r="I5" s="130"/>
      <c r="J5" s="50">
        <f>J9+250</f>
        <v>57900</v>
      </c>
    </row>
    <row r="6" spans="1:12" ht="21" customHeight="1">
      <c r="A6" s="49">
        <v>3</v>
      </c>
      <c r="B6" s="43" t="s">
        <v>68</v>
      </c>
      <c r="C6" s="125" t="s">
        <v>69</v>
      </c>
      <c r="D6" s="126"/>
      <c r="E6" s="127"/>
      <c r="F6" s="128">
        <f>F9+500</f>
        <v>57150</v>
      </c>
      <c r="G6" s="129"/>
      <c r="H6" s="129"/>
      <c r="I6" s="130"/>
      <c r="J6" s="50">
        <f>J9+1000</f>
        <v>58650</v>
      </c>
    </row>
    <row r="7" spans="1:12" ht="21" customHeight="1">
      <c r="A7" s="49">
        <v>4</v>
      </c>
      <c r="B7" s="42" t="s">
        <v>70</v>
      </c>
      <c r="C7" s="125" t="s">
        <v>71</v>
      </c>
      <c r="D7" s="126"/>
      <c r="E7" s="127"/>
      <c r="F7" s="128">
        <f>F9</f>
        <v>56650</v>
      </c>
      <c r="G7" s="129"/>
      <c r="H7" s="129"/>
      <c r="I7" s="130"/>
      <c r="J7" s="50">
        <f>J9+500</f>
        <v>58150</v>
      </c>
    </row>
    <row r="8" spans="1:12" ht="21" customHeight="1">
      <c r="A8" s="49">
        <v>5</v>
      </c>
      <c r="B8" s="41" t="s">
        <v>72</v>
      </c>
      <c r="C8" s="125" t="s">
        <v>73</v>
      </c>
      <c r="D8" s="126"/>
      <c r="E8" s="127"/>
      <c r="F8" s="128">
        <f>F9+500</f>
        <v>57150</v>
      </c>
      <c r="G8" s="129"/>
      <c r="H8" s="129"/>
      <c r="I8" s="130"/>
      <c r="J8" s="50">
        <f>J9+500</f>
        <v>58150</v>
      </c>
    </row>
    <row r="9" spans="1:12" ht="21" customHeight="1">
      <c r="A9" s="49">
        <v>6</v>
      </c>
      <c r="B9" s="41" t="s">
        <v>74</v>
      </c>
      <c r="C9" s="125" t="s">
        <v>75</v>
      </c>
      <c r="D9" s="126"/>
      <c r="E9" s="127"/>
      <c r="F9" s="141">
        <f>51400+750+750+500+1000+1250+1000</f>
        <v>56650</v>
      </c>
      <c r="G9" s="142"/>
      <c r="H9" s="142"/>
      <c r="I9" s="143"/>
      <c r="J9" s="51">
        <f>52900+1250+1000+1000+750+750</f>
        <v>57650</v>
      </c>
      <c r="K9" s="68"/>
      <c r="L9" s="68"/>
    </row>
    <row r="10" spans="1:12" ht="21" customHeight="1">
      <c r="A10" s="49">
        <v>7</v>
      </c>
      <c r="B10" s="41" t="s">
        <v>76</v>
      </c>
      <c r="C10" s="125" t="s">
        <v>77</v>
      </c>
      <c r="D10" s="126"/>
      <c r="E10" s="127"/>
      <c r="F10" s="128">
        <f>F9</f>
        <v>56650</v>
      </c>
      <c r="G10" s="129"/>
      <c r="H10" s="129"/>
      <c r="I10" s="130"/>
      <c r="J10" s="50">
        <f>J9</f>
        <v>57650</v>
      </c>
    </row>
    <row r="11" spans="1:12" ht="21" customHeight="1">
      <c r="A11" s="49">
        <v>8</v>
      </c>
      <c r="B11" s="41" t="s">
        <v>78</v>
      </c>
      <c r="C11" s="125" t="s">
        <v>79</v>
      </c>
      <c r="D11" s="126"/>
      <c r="E11" s="127"/>
      <c r="F11" s="128">
        <f>F9</f>
        <v>56650</v>
      </c>
      <c r="G11" s="129"/>
      <c r="H11" s="129"/>
      <c r="I11" s="130"/>
      <c r="J11" s="50">
        <f>J9</f>
        <v>57650</v>
      </c>
    </row>
    <row r="12" spans="1:12" ht="21" customHeight="1">
      <c r="A12" s="49">
        <v>9</v>
      </c>
      <c r="B12" s="44" t="s">
        <v>80</v>
      </c>
      <c r="C12" s="125" t="s">
        <v>81</v>
      </c>
      <c r="D12" s="126"/>
      <c r="E12" s="127"/>
      <c r="F12" s="128">
        <f>F9</f>
        <v>56650</v>
      </c>
      <c r="G12" s="129"/>
      <c r="H12" s="129"/>
      <c r="I12" s="130"/>
      <c r="J12" s="50">
        <f>J9</f>
        <v>57650</v>
      </c>
    </row>
    <row r="13" spans="1:12" ht="21" customHeight="1">
      <c r="A13" s="56">
        <v>10</v>
      </c>
      <c r="B13" s="63" t="s">
        <v>82</v>
      </c>
      <c r="C13" s="153" t="s">
        <v>83</v>
      </c>
      <c r="D13" s="154"/>
      <c r="E13" s="155"/>
      <c r="F13" s="156">
        <f>F9</f>
        <v>56650</v>
      </c>
      <c r="G13" s="157"/>
      <c r="H13" s="157"/>
      <c r="I13" s="158"/>
      <c r="J13" s="64">
        <f>J9</f>
        <v>57650</v>
      </c>
    </row>
    <row r="14" spans="1:12" ht="21" customHeight="1">
      <c r="A14" s="52"/>
      <c r="B14" s="53"/>
      <c r="C14" s="173"/>
      <c r="D14" s="173"/>
      <c r="E14" s="173"/>
      <c r="F14" s="173"/>
      <c r="G14" s="173"/>
      <c r="H14" s="173"/>
      <c r="I14" s="173"/>
      <c r="J14" s="54"/>
    </row>
    <row r="15" spans="1:12" ht="21" customHeight="1">
      <c r="A15" s="49">
        <v>11</v>
      </c>
      <c r="B15" s="42" t="s">
        <v>84</v>
      </c>
      <c r="C15" s="174" t="s">
        <v>85</v>
      </c>
      <c r="D15" s="174"/>
      <c r="E15" s="174"/>
      <c r="F15" s="175">
        <f>F9-750</f>
        <v>55900</v>
      </c>
      <c r="G15" s="175"/>
      <c r="H15" s="175"/>
      <c r="I15" s="175"/>
      <c r="J15" s="50">
        <f>J9-1250</f>
        <v>56400</v>
      </c>
    </row>
    <row r="16" spans="1:12" ht="21" customHeight="1">
      <c r="A16" s="49">
        <v>12</v>
      </c>
      <c r="B16" s="43" t="s">
        <v>86</v>
      </c>
      <c r="C16" s="174" t="s">
        <v>87</v>
      </c>
      <c r="D16" s="174"/>
      <c r="E16" s="174"/>
      <c r="F16" s="175">
        <f>F9-1750</f>
        <v>54900</v>
      </c>
      <c r="G16" s="175"/>
      <c r="H16" s="175"/>
      <c r="I16" s="175"/>
      <c r="J16" s="50">
        <f>J9-1250</f>
        <v>56400</v>
      </c>
    </row>
    <row r="17" spans="1:16" ht="21" customHeight="1">
      <c r="A17" s="65"/>
      <c r="B17" s="66"/>
      <c r="C17" s="176"/>
      <c r="D17" s="177"/>
      <c r="E17" s="178"/>
      <c r="F17" s="176"/>
      <c r="G17" s="177"/>
      <c r="H17" s="177"/>
      <c r="I17" s="178"/>
      <c r="J17" s="67"/>
    </row>
    <row r="18" spans="1:16" ht="21" customHeight="1">
      <c r="A18" s="49">
        <v>13</v>
      </c>
      <c r="B18" s="41" t="s">
        <v>88</v>
      </c>
      <c r="C18" s="125" t="s">
        <v>89</v>
      </c>
      <c r="D18" s="126"/>
      <c r="E18" s="127"/>
      <c r="F18" s="147" t="str">
        <f>F9-1050 &amp; ",  Odisha West - "&amp; F9-1750</f>
        <v>55600,  Odisha West - 54900</v>
      </c>
      <c r="G18" s="148"/>
      <c r="H18" s="148"/>
      <c r="I18" s="149"/>
      <c r="J18" s="55"/>
    </row>
    <row r="19" spans="1:16" ht="21" customHeight="1">
      <c r="A19" s="49">
        <v>14</v>
      </c>
      <c r="B19" s="41" t="s">
        <v>90</v>
      </c>
      <c r="C19" s="125" t="s">
        <v>91</v>
      </c>
      <c r="D19" s="126"/>
      <c r="E19" s="127"/>
      <c r="F19" s="128">
        <f>F9-750</f>
        <v>55900</v>
      </c>
      <c r="G19" s="129"/>
      <c r="H19" s="129"/>
      <c r="I19" s="130"/>
      <c r="J19" s="54"/>
    </row>
    <row r="20" spans="1:16" ht="21" customHeight="1">
      <c r="A20" s="49">
        <v>15</v>
      </c>
      <c r="B20" s="41" t="s">
        <v>92</v>
      </c>
      <c r="C20" s="125" t="s">
        <v>93</v>
      </c>
      <c r="D20" s="126"/>
      <c r="E20" s="127"/>
      <c r="F20" s="128">
        <f>F9-750</f>
        <v>55900</v>
      </c>
      <c r="G20" s="129"/>
      <c r="H20" s="129"/>
      <c r="I20" s="130"/>
      <c r="J20" s="54"/>
    </row>
    <row r="21" spans="1:16" ht="30" customHeight="1">
      <c r="A21" s="49">
        <v>16</v>
      </c>
      <c r="B21" s="42" t="s">
        <v>94</v>
      </c>
      <c r="C21" s="150" t="s">
        <v>95</v>
      </c>
      <c r="D21" s="151"/>
      <c r="E21" s="152"/>
      <c r="F21" s="128">
        <f>F9-250</f>
        <v>56400</v>
      </c>
      <c r="G21" s="129"/>
      <c r="H21" s="129"/>
      <c r="I21" s="130"/>
      <c r="J21" s="54"/>
    </row>
    <row r="22" spans="1:16" ht="21" customHeight="1">
      <c r="A22" s="49">
        <v>17</v>
      </c>
      <c r="B22" s="42" t="s">
        <v>94</v>
      </c>
      <c r="C22" s="125" t="s">
        <v>96</v>
      </c>
      <c r="D22" s="126"/>
      <c r="E22" s="127"/>
      <c r="F22" s="128">
        <f>F9-750</f>
        <v>55900</v>
      </c>
      <c r="G22" s="129"/>
      <c r="H22" s="129"/>
      <c r="I22" s="130"/>
      <c r="J22" s="54"/>
    </row>
    <row r="23" spans="1:16" ht="21" customHeight="1">
      <c r="A23" s="52"/>
      <c r="B23" s="53"/>
      <c r="C23" s="144"/>
      <c r="D23" s="145"/>
      <c r="E23" s="146"/>
      <c r="F23" s="144"/>
      <c r="G23" s="145"/>
      <c r="H23" s="145"/>
      <c r="I23" s="146"/>
      <c r="J23" s="54"/>
    </row>
    <row r="24" spans="1:16" ht="21" customHeight="1">
      <c r="A24" s="56">
        <v>18</v>
      </c>
      <c r="B24" s="45" t="s">
        <v>41</v>
      </c>
      <c r="C24" s="153" t="s">
        <v>97</v>
      </c>
      <c r="D24" s="154"/>
      <c r="E24" s="155"/>
      <c r="F24" s="156">
        <f>F9-750</f>
        <v>55900</v>
      </c>
      <c r="G24" s="157"/>
      <c r="H24" s="157"/>
      <c r="I24" s="158"/>
      <c r="J24" s="50">
        <f>J9-750</f>
        <v>56900</v>
      </c>
    </row>
    <row r="25" spans="1:16" ht="21" customHeight="1">
      <c r="A25" s="57">
        <v>19</v>
      </c>
      <c r="B25" s="46" t="s">
        <v>98</v>
      </c>
      <c r="C25" s="159" t="s">
        <v>99</v>
      </c>
      <c r="D25" s="159"/>
      <c r="E25" s="159"/>
      <c r="F25" s="160">
        <f>F9-1250</f>
        <v>55400</v>
      </c>
      <c r="G25" s="160"/>
      <c r="H25" s="160"/>
      <c r="I25" s="160"/>
      <c r="J25" s="69"/>
    </row>
    <row r="26" spans="1:16" ht="21" customHeight="1">
      <c r="A26" s="59"/>
      <c r="B26" s="60"/>
      <c r="C26" s="60"/>
      <c r="D26" s="60"/>
      <c r="E26" s="60"/>
      <c r="F26" s="60"/>
      <c r="G26" s="60"/>
      <c r="H26" s="60"/>
      <c r="I26" s="60"/>
      <c r="J26" s="61"/>
    </row>
    <row r="27" spans="1:16" ht="21" customHeight="1">
      <c r="A27" s="161" t="s">
        <v>100</v>
      </c>
      <c r="B27" s="162"/>
      <c r="C27" s="162"/>
      <c r="D27" s="162"/>
      <c r="E27" s="162"/>
      <c r="F27" s="162"/>
      <c r="G27" s="162"/>
      <c r="H27" s="162"/>
      <c r="I27" s="162"/>
      <c r="J27" s="163"/>
    </row>
    <row r="28" spans="1:16" s="34" customFormat="1" ht="21" customHeight="1">
      <c r="A28" s="164" t="s">
        <v>46</v>
      </c>
      <c r="B28" s="165"/>
      <c r="C28" s="165"/>
      <c r="D28" s="165"/>
      <c r="E28" s="165"/>
      <c r="F28" s="165"/>
      <c r="G28" s="165"/>
      <c r="H28" s="165"/>
      <c r="I28" s="165"/>
      <c r="J28" s="166"/>
    </row>
    <row r="29" spans="1:16" ht="21" customHeight="1">
      <c r="A29" s="167" t="s">
        <v>101</v>
      </c>
      <c r="B29" s="168"/>
      <c r="C29" s="168"/>
      <c r="D29" s="168"/>
      <c r="E29" s="168"/>
      <c r="F29" s="168"/>
      <c r="G29" s="168" t="s">
        <v>102</v>
      </c>
      <c r="H29" s="168"/>
      <c r="I29" s="168"/>
      <c r="J29" s="169"/>
    </row>
    <row r="30" spans="1:16" ht="21" customHeight="1">
      <c r="A30" s="170" t="s">
        <v>103</v>
      </c>
      <c r="B30" s="171"/>
      <c r="C30" s="171"/>
      <c r="D30" s="171"/>
      <c r="E30" s="171"/>
      <c r="F30" s="171"/>
      <c r="G30" s="171" t="s">
        <v>104</v>
      </c>
      <c r="H30" s="171"/>
      <c r="I30" s="171"/>
      <c r="J30" s="172"/>
    </row>
    <row r="31" spans="1:16" ht="21" customHeight="1">
      <c r="A31" s="170" t="s">
        <v>105</v>
      </c>
      <c r="B31" s="171"/>
      <c r="C31" s="171"/>
      <c r="D31" s="171"/>
      <c r="E31" s="171"/>
      <c r="F31" s="171"/>
      <c r="G31" s="171" t="s">
        <v>106</v>
      </c>
      <c r="H31" s="171"/>
      <c r="I31" s="171"/>
      <c r="J31" s="172"/>
    </row>
    <row r="32" spans="1:16" ht="113.25" customHeight="1">
      <c r="A32" s="121" t="s">
        <v>53</v>
      </c>
      <c r="B32" s="122"/>
      <c r="C32" s="122"/>
      <c r="D32" s="123" t="s">
        <v>54</v>
      </c>
      <c r="E32" s="123"/>
      <c r="F32" s="123"/>
      <c r="G32" s="123"/>
      <c r="H32" s="62"/>
      <c r="I32" s="123" t="s">
        <v>55</v>
      </c>
      <c r="J32" s="124"/>
      <c r="P32" s="4"/>
    </row>
    <row r="33" spans="1:10">
      <c r="A33" s="2"/>
      <c r="B33" s="3"/>
      <c r="C33" s="3"/>
      <c r="D33" s="3"/>
      <c r="E33" s="3"/>
      <c r="F33" s="3"/>
      <c r="G33" s="3"/>
      <c r="H33" s="3"/>
      <c r="I33" s="3"/>
      <c r="J33" s="3"/>
    </row>
    <row r="39" spans="1:10">
      <c r="G39" s="1" t="s">
        <v>56</v>
      </c>
    </row>
  </sheetData>
  <mergeCells count="60">
    <mergeCell ref="C4:E4"/>
    <mergeCell ref="F4:I4"/>
    <mergeCell ref="B1:I1"/>
    <mergeCell ref="C2:E2"/>
    <mergeCell ref="F2:I2"/>
    <mergeCell ref="C3:E3"/>
    <mergeCell ref="F3:I3"/>
    <mergeCell ref="C5:E5"/>
    <mergeCell ref="F5:I5"/>
    <mergeCell ref="C6:E6"/>
    <mergeCell ref="F6:I6"/>
    <mergeCell ref="C7:E7"/>
    <mergeCell ref="F7:I7"/>
    <mergeCell ref="C8:E8"/>
    <mergeCell ref="F8:I8"/>
    <mergeCell ref="C9:E9"/>
    <mergeCell ref="F9:I9"/>
    <mergeCell ref="C10:E10"/>
    <mergeCell ref="F10:I10"/>
    <mergeCell ref="C11:E11"/>
    <mergeCell ref="F11:I11"/>
    <mergeCell ref="C12:E12"/>
    <mergeCell ref="F12:I12"/>
    <mergeCell ref="C13:E13"/>
    <mergeCell ref="F13:I13"/>
    <mergeCell ref="C14:E14"/>
    <mergeCell ref="F14:I14"/>
    <mergeCell ref="C15:E15"/>
    <mergeCell ref="F15:I15"/>
    <mergeCell ref="C16:E16"/>
    <mergeCell ref="F16:I16"/>
    <mergeCell ref="C17:E17"/>
    <mergeCell ref="F17:I17"/>
    <mergeCell ref="C18:E18"/>
    <mergeCell ref="F18:I18"/>
    <mergeCell ref="C19:E19"/>
    <mergeCell ref="F19:I19"/>
    <mergeCell ref="C20:E20"/>
    <mergeCell ref="F20:I20"/>
    <mergeCell ref="C21:E21"/>
    <mergeCell ref="F21:I21"/>
    <mergeCell ref="C22:E22"/>
    <mergeCell ref="F22:I22"/>
    <mergeCell ref="C23:E23"/>
    <mergeCell ref="F23:I23"/>
    <mergeCell ref="C24:E24"/>
    <mergeCell ref="F24:I24"/>
    <mergeCell ref="C25:E25"/>
    <mergeCell ref="F25:I25"/>
    <mergeCell ref="A27:J27"/>
    <mergeCell ref="A28:J28"/>
    <mergeCell ref="A29:F29"/>
    <mergeCell ref="G29:J29"/>
    <mergeCell ref="A30:F30"/>
    <mergeCell ref="G30:J30"/>
    <mergeCell ref="A31:F31"/>
    <mergeCell ref="G31:J31"/>
    <mergeCell ref="A32:C32"/>
    <mergeCell ref="D32:G32"/>
    <mergeCell ref="I32:J32"/>
  </mergeCells>
  <printOptions horizontalCentered="1" verticalCentered="1"/>
  <pageMargins left="0.25" right="0.25" top="0.75" bottom="0.75" header="0.3" footer="0.3"/>
  <pageSetup paperSize="9" scale="90" orientation="landscape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E201-E325-456A-BDCE-02E0A5B2F096}">
  <sheetPr>
    <pageSetUpPr fitToPage="1"/>
  </sheetPr>
  <dimension ref="A1:P67"/>
  <sheetViews>
    <sheetView workbookViewId="0">
      <selection activeCell="M32" sqref="M32"/>
    </sheetView>
  </sheetViews>
  <sheetFormatPr defaultColWidth="8.83203125" defaultRowHeight="12.75"/>
  <cols>
    <col min="1" max="1" width="61" style="1" customWidth="1"/>
    <col min="2" max="2" width="48.33203125" style="1" customWidth="1"/>
    <col min="3" max="3" width="11.33203125" style="1" customWidth="1"/>
    <col min="4" max="4" width="30.83203125" style="1" customWidth="1"/>
    <col min="5" max="5" width="13.5" style="1" customWidth="1"/>
    <col min="6" max="6" width="9.5" style="1" customWidth="1"/>
    <col min="7" max="7" width="32.5" style="1" customWidth="1"/>
    <col min="8" max="8" width="24.83203125" style="1" customWidth="1"/>
    <col min="9" max="9" width="17" style="1" customWidth="1"/>
    <col min="10" max="10" width="57.5" style="70" customWidth="1"/>
    <col min="11" max="16384" width="8.83203125" style="1"/>
  </cols>
  <sheetData>
    <row r="1" spans="1:15" ht="122.25" customHeight="1">
      <c r="A1" s="35" t="s">
        <v>131</v>
      </c>
      <c r="B1" s="131" t="s">
        <v>132</v>
      </c>
      <c r="C1" s="131"/>
      <c r="D1" s="131"/>
      <c r="E1" s="131"/>
      <c r="F1" s="131"/>
      <c r="G1" s="131"/>
      <c r="H1" s="131"/>
      <c r="I1" s="131"/>
      <c r="J1" s="36" t="s">
        <v>133</v>
      </c>
    </row>
    <row r="2" spans="1:15" s="16" customFormat="1" ht="33.75" customHeight="1">
      <c r="A2" s="37" t="s">
        <v>60</v>
      </c>
      <c r="B2" s="38" t="s">
        <v>61</v>
      </c>
      <c r="C2" s="132" t="s">
        <v>62</v>
      </c>
      <c r="D2" s="133"/>
      <c r="E2" s="134"/>
      <c r="F2" s="132" t="s">
        <v>6</v>
      </c>
      <c r="G2" s="133"/>
      <c r="H2" s="133"/>
      <c r="I2" s="134"/>
      <c r="J2" s="39" t="s">
        <v>63</v>
      </c>
    </row>
    <row r="3" spans="1:15" ht="21" customHeight="1">
      <c r="A3" s="47">
        <v>1</v>
      </c>
      <c r="B3" s="40" t="s">
        <v>64</v>
      </c>
      <c r="C3" s="135" t="s">
        <v>65</v>
      </c>
      <c r="D3" s="136"/>
      <c r="E3" s="137"/>
      <c r="F3" s="138">
        <f>F9+2000</f>
        <v>59400</v>
      </c>
      <c r="G3" s="139"/>
      <c r="H3" s="139"/>
      <c r="I3" s="140"/>
      <c r="J3" s="48">
        <f>J9+2500</f>
        <v>60900</v>
      </c>
      <c r="N3" s="68"/>
      <c r="O3" s="68"/>
    </row>
    <row r="4" spans="1:15" ht="21" customHeight="1">
      <c r="A4" s="49">
        <v>2</v>
      </c>
      <c r="B4" s="41" t="s">
        <v>66</v>
      </c>
      <c r="C4" s="125" t="s">
        <v>66</v>
      </c>
      <c r="D4" s="126"/>
      <c r="E4" s="127"/>
      <c r="F4" s="128">
        <f>F9+1500</f>
        <v>58900</v>
      </c>
      <c r="G4" s="129"/>
      <c r="H4" s="129"/>
      <c r="I4" s="130"/>
      <c r="J4" s="50">
        <f>J9+2000</f>
        <v>60400</v>
      </c>
      <c r="N4" s="68"/>
      <c r="O4" s="68"/>
    </row>
    <row r="5" spans="1:15" ht="21" customHeight="1">
      <c r="A5" s="49">
        <v>3</v>
      </c>
      <c r="B5" s="42" t="s">
        <v>67</v>
      </c>
      <c r="C5" s="125" t="s">
        <v>67</v>
      </c>
      <c r="D5" s="126"/>
      <c r="E5" s="127"/>
      <c r="F5" s="128">
        <f>F9+250</f>
        <v>57650</v>
      </c>
      <c r="G5" s="129"/>
      <c r="H5" s="129"/>
      <c r="I5" s="130"/>
      <c r="J5" s="50">
        <f>J9+250</f>
        <v>58650</v>
      </c>
      <c r="N5" s="68"/>
      <c r="O5" s="68"/>
    </row>
    <row r="6" spans="1:15" ht="21" customHeight="1">
      <c r="A6" s="49">
        <v>3</v>
      </c>
      <c r="B6" s="43" t="s">
        <v>68</v>
      </c>
      <c r="C6" s="125" t="s">
        <v>69</v>
      </c>
      <c r="D6" s="126"/>
      <c r="E6" s="127"/>
      <c r="F6" s="128">
        <f>F9+500</f>
        <v>57900</v>
      </c>
      <c r="G6" s="129"/>
      <c r="H6" s="129"/>
      <c r="I6" s="130"/>
      <c r="J6" s="50">
        <f>J9+1000</f>
        <v>59400</v>
      </c>
      <c r="N6" s="68"/>
      <c r="O6" s="68"/>
    </row>
    <row r="7" spans="1:15" ht="21" customHeight="1">
      <c r="A7" s="49">
        <v>4</v>
      </c>
      <c r="B7" s="42" t="s">
        <v>70</v>
      </c>
      <c r="C7" s="125" t="s">
        <v>71</v>
      </c>
      <c r="D7" s="126"/>
      <c r="E7" s="127"/>
      <c r="F7" s="128">
        <f>F9</f>
        <v>57400</v>
      </c>
      <c r="G7" s="129"/>
      <c r="H7" s="129"/>
      <c r="I7" s="130"/>
      <c r="J7" s="50">
        <f>J9+500</f>
        <v>58900</v>
      </c>
      <c r="N7" s="68"/>
      <c r="O7" s="68"/>
    </row>
    <row r="8" spans="1:15" ht="21" customHeight="1">
      <c r="A8" s="49">
        <v>5</v>
      </c>
      <c r="B8" s="41" t="s">
        <v>72</v>
      </c>
      <c r="C8" s="125" t="s">
        <v>73</v>
      </c>
      <c r="D8" s="126"/>
      <c r="E8" s="127"/>
      <c r="F8" s="128">
        <f>F9+500</f>
        <v>57900</v>
      </c>
      <c r="G8" s="129"/>
      <c r="H8" s="129"/>
      <c r="I8" s="130"/>
      <c r="J8" s="50">
        <f>J9+500</f>
        <v>58900</v>
      </c>
      <c r="N8" s="68"/>
      <c r="O8" s="68"/>
    </row>
    <row r="9" spans="1:15" ht="21" customHeight="1">
      <c r="A9" s="49">
        <v>6</v>
      </c>
      <c r="B9" s="41" t="s">
        <v>74</v>
      </c>
      <c r="C9" s="125" t="s">
        <v>75</v>
      </c>
      <c r="D9" s="126"/>
      <c r="E9" s="127"/>
      <c r="F9" s="141">
        <f>51400+750+750+500+1000+1250+1000+750</f>
        <v>57400</v>
      </c>
      <c r="G9" s="142"/>
      <c r="H9" s="142"/>
      <c r="I9" s="143"/>
      <c r="J9" s="51">
        <f>52900+1250+1000+1000+750+750+750</f>
        <v>58400</v>
      </c>
      <c r="K9" s="68"/>
      <c r="L9" s="68"/>
      <c r="N9" s="68"/>
      <c r="O9" s="68"/>
    </row>
    <row r="10" spans="1:15" ht="21" customHeight="1">
      <c r="A10" s="49">
        <v>7</v>
      </c>
      <c r="B10" s="41" t="s">
        <v>76</v>
      </c>
      <c r="C10" s="125" t="s">
        <v>77</v>
      </c>
      <c r="D10" s="126"/>
      <c r="E10" s="127"/>
      <c r="F10" s="128">
        <f>F9</f>
        <v>57400</v>
      </c>
      <c r="G10" s="129"/>
      <c r="H10" s="129"/>
      <c r="I10" s="130"/>
      <c r="J10" s="50">
        <f>J9</f>
        <v>58400</v>
      </c>
      <c r="N10" s="68"/>
      <c r="O10" s="68"/>
    </row>
    <row r="11" spans="1:15" ht="21" customHeight="1">
      <c r="A11" s="49">
        <v>8</v>
      </c>
      <c r="B11" s="41" t="s">
        <v>78</v>
      </c>
      <c r="C11" s="125" t="s">
        <v>79</v>
      </c>
      <c r="D11" s="126"/>
      <c r="E11" s="127"/>
      <c r="F11" s="128">
        <f>F9</f>
        <v>57400</v>
      </c>
      <c r="G11" s="129"/>
      <c r="H11" s="129"/>
      <c r="I11" s="130"/>
      <c r="J11" s="50">
        <f>J9</f>
        <v>58400</v>
      </c>
      <c r="N11" s="68"/>
      <c r="O11" s="68"/>
    </row>
    <row r="12" spans="1:15" ht="21" customHeight="1">
      <c r="A12" s="49">
        <v>9</v>
      </c>
      <c r="B12" s="44" t="s">
        <v>80</v>
      </c>
      <c r="C12" s="125" t="s">
        <v>81</v>
      </c>
      <c r="D12" s="126"/>
      <c r="E12" s="127"/>
      <c r="F12" s="128">
        <f>F9</f>
        <v>57400</v>
      </c>
      <c r="G12" s="129"/>
      <c r="H12" s="129"/>
      <c r="I12" s="130"/>
      <c r="J12" s="50">
        <f>J9</f>
        <v>58400</v>
      </c>
      <c r="N12" s="68"/>
      <c r="O12" s="68"/>
    </row>
    <row r="13" spans="1:15" ht="21" customHeight="1">
      <c r="A13" s="56">
        <v>10</v>
      </c>
      <c r="B13" s="63" t="s">
        <v>82</v>
      </c>
      <c r="C13" s="153" t="s">
        <v>83</v>
      </c>
      <c r="D13" s="154"/>
      <c r="E13" s="155"/>
      <c r="F13" s="156">
        <f>F9</f>
        <v>57400</v>
      </c>
      <c r="G13" s="157"/>
      <c r="H13" s="157"/>
      <c r="I13" s="158"/>
      <c r="J13" s="64">
        <f>J9</f>
        <v>58400</v>
      </c>
      <c r="N13" s="68"/>
      <c r="O13" s="68"/>
    </row>
    <row r="14" spans="1:15" ht="21" customHeight="1">
      <c r="A14" s="52"/>
      <c r="B14" s="53"/>
      <c r="C14" s="173"/>
      <c r="D14" s="173"/>
      <c r="E14" s="173"/>
      <c r="F14" s="173"/>
      <c r="G14" s="173"/>
      <c r="H14" s="173"/>
      <c r="I14" s="173"/>
      <c r="J14" s="54"/>
      <c r="N14" s="68"/>
      <c r="O14" s="68"/>
    </row>
    <row r="15" spans="1:15" ht="21" customHeight="1">
      <c r="A15" s="49">
        <v>11</v>
      </c>
      <c r="B15" s="42" t="s">
        <v>84</v>
      </c>
      <c r="C15" s="174" t="s">
        <v>85</v>
      </c>
      <c r="D15" s="174"/>
      <c r="E15" s="174"/>
      <c r="F15" s="175">
        <f>F9-750</f>
        <v>56650</v>
      </c>
      <c r="G15" s="175"/>
      <c r="H15" s="175"/>
      <c r="I15" s="175"/>
      <c r="J15" s="50">
        <f>J9-1250</f>
        <v>57150</v>
      </c>
      <c r="N15" s="68"/>
      <c r="O15" s="68"/>
    </row>
    <row r="16" spans="1:15" ht="21" customHeight="1">
      <c r="A16" s="49">
        <v>12</v>
      </c>
      <c r="B16" s="43" t="s">
        <v>86</v>
      </c>
      <c r="C16" s="174" t="s">
        <v>87</v>
      </c>
      <c r="D16" s="174"/>
      <c r="E16" s="174"/>
      <c r="F16" s="175">
        <f>F9-1750</f>
        <v>55650</v>
      </c>
      <c r="G16" s="175"/>
      <c r="H16" s="175"/>
      <c r="I16" s="175"/>
      <c r="J16" s="50">
        <f>J9-1250</f>
        <v>57150</v>
      </c>
      <c r="N16" s="68"/>
      <c r="O16" s="68"/>
    </row>
    <row r="17" spans="1:16" ht="21" customHeight="1">
      <c r="A17" s="65"/>
      <c r="B17" s="66"/>
      <c r="C17" s="176"/>
      <c r="D17" s="177"/>
      <c r="E17" s="178"/>
      <c r="F17" s="176"/>
      <c r="G17" s="177"/>
      <c r="H17" s="177"/>
      <c r="I17" s="178"/>
      <c r="J17" s="67"/>
      <c r="N17" s="68"/>
      <c r="O17" s="68"/>
    </row>
    <row r="18" spans="1:16" ht="21" customHeight="1">
      <c r="A18" s="49">
        <v>13</v>
      </c>
      <c r="B18" s="41" t="s">
        <v>88</v>
      </c>
      <c r="C18" s="125" t="s">
        <v>89</v>
      </c>
      <c r="D18" s="126"/>
      <c r="E18" s="127"/>
      <c r="F18" s="147" t="str">
        <f>F9-1050 &amp; ",  Odisha West - "&amp; F9-1750</f>
        <v>56350,  Odisha West - 55650</v>
      </c>
      <c r="G18" s="148"/>
      <c r="H18" s="148"/>
      <c r="I18" s="149"/>
      <c r="J18" s="55"/>
      <c r="N18" s="68"/>
      <c r="O18" s="68"/>
    </row>
    <row r="19" spans="1:16" ht="21" customHeight="1">
      <c r="A19" s="49">
        <v>14</v>
      </c>
      <c r="B19" s="41" t="s">
        <v>90</v>
      </c>
      <c r="C19" s="125" t="s">
        <v>91</v>
      </c>
      <c r="D19" s="126"/>
      <c r="E19" s="127"/>
      <c r="F19" s="128">
        <f>F9-750</f>
        <v>56650</v>
      </c>
      <c r="G19" s="129"/>
      <c r="H19" s="129"/>
      <c r="I19" s="130"/>
      <c r="J19" s="54"/>
      <c r="N19" s="68"/>
      <c r="O19" s="68"/>
    </row>
    <row r="20" spans="1:16" ht="21" customHeight="1">
      <c r="A20" s="49">
        <v>15</v>
      </c>
      <c r="B20" s="41" t="s">
        <v>92</v>
      </c>
      <c r="C20" s="125" t="s">
        <v>93</v>
      </c>
      <c r="D20" s="126"/>
      <c r="E20" s="127"/>
      <c r="F20" s="128">
        <f>F9-750</f>
        <v>56650</v>
      </c>
      <c r="G20" s="129"/>
      <c r="H20" s="129"/>
      <c r="I20" s="130"/>
      <c r="J20" s="54"/>
      <c r="N20" s="68"/>
      <c r="O20" s="68"/>
    </row>
    <row r="21" spans="1:16" ht="30" customHeight="1">
      <c r="A21" s="49">
        <v>16</v>
      </c>
      <c r="B21" s="42" t="s">
        <v>94</v>
      </c>
      <c r="C21" s="150" t="s">
        <v>95</v>
      </c>
      <c r="D21" s="151"/>
      <c r="E21" s="152"/>
      <c r="F21" s="128">
        <f>F9-250</f>
        <v>57150</v>
      </c>
      <c r="G21" s="129"/>
      <c r="H21" s="129"/>
      <c r="I21" s="130"/>
      <c r="J21" s="54"/>
      <c r="N21" s="68"/>
      <c r="O21" s="68"/>
    </row>
    <row r="22" spans="1:16" ht="21" customHeight="1">
      <c r="A22" s="49">
        <v>17</v>
      </c>
      <c r="B22" s="42" t="s">
        <v>94</v>
      </c>
      <c r="C22" s="125" t="s">
        <v>96</v>
      </c>
      <c r="D22" s="126"/>
      <c r="E22" s="127"/>
      <c r="F22" s="128">
        <f>F9-750</f>
        <v>56650</v>
      </c>
      <c r="G22" s="129"/>
      <c r="H22" s="129"/>
      <c r="I22" s="130"/>
      <c r="J22" s="54"/>
      <c r="N22" s="68"/>
      <c r="O22" s="68"/>
    </row>
    <row r="23" spans="1:16" ht="21" customHeight="1">
      <c r="A23" s="52"/>
      <c r="B23" s="53"/>
      <c r="C23" s="144"/>
      <c r="D23" s="145"/>
      <c r="E23" s="146"/>
      <c r="F23" s="144"/>
      <c r="G23" s="145"/>
      <c r="H23" s="145"/>
      <c r="I23" s="146"/>
      <c r="J23" s="54"/>
      <c r="N23" s="68"/>
      <c r="O23" s="68"/>
    </row>
    <row r="24" spans="1:16" ht="21" customHeight="1">
      <c r="A24" s="56">
        <v>18</v>
      </c>
      <c r="B24" s="45" t="s">
        <v>41</v>
      </c>
      <c r="C24" s="153" t="s">
        <v>97</v>
      </c>
      <c r="D24" s="154"/>
      <c r="E24" s="155"/>
      <c r="F24" s="156">
        <f>F9-750</f>
        <v>56650</v>
      </c>
      <c r="G24" s="157"/>
      <c r="H24" s="157"/>
      <c r="I24" s="158"/>
      <c r="J24" s="50">
        <f>J9-750</f>
        <v>57650</v>
      </c>
      <c r="N24" s="68"/>
      <c r="O24" s="68"/>
    </row>
    <row r="25" spans="1:16" ht="21" customHeight="1">
      <c r="A25" s="57">
        <v>19</v>
      </c>
      <c r="B25" s="46" t="s">
        <v>98</v>
      </c>
      <c r="C25" s="159" t="s">
        <v>99</v>
      </c>
      <c r="D25" s="159"/>
      <c r="E25" s="159"/>
      <c r="F25" s="160">
        <f>F9-1250</f>
        <v>56150</v>
      </c>
      <c r="G25" s="160"/>
      <c r="H25" s="160"/>
      <c r="I25" s="160"/>
      <c r="J25" s="69"/>
      <c r="N25" s="68"/>
      <c r="O25" s="68"/>
    </row>
    <row r="26" spans="1:16" ht="21" customHeight="1">
      <c r="A26" s="59"/>
      <c r="B26" s="60"/>
      <c r="C26" s="60"/>
      <c r="D26" s="60"/>
      <c r="E26" s="60"/>
      <c r="F26" s="60"/>
      <c r="G26" s="60"/>
      <c r="H26" s="60"/>
      <c r="I26" s="60"/>
      <c r="J26" s="61"/>
    </row>
    <row r="27" spans="1:16" ht="21" customHeight="1">
      <c r="A27" s="161" t="s">
        <v>100</v>
      </c>
      <c r="B27" s="162"/>
      <c r="C27" s="162"/>
      <c r="D27" s="162"/>
      <c r="E27" s="162"/>
      <c r="F27" s="162"/>
      <c r="G27" s="162"/>
      <c r="H27" s="162"/>
      <c r="I27" s="162"/>
      <c r="J27" s="163"/>
    </row>
    <row r="28" spans="1:16" s="34" customFormat="1" ht="21" customHeight="1">
      <c r="A28" s="164" t="s">
        <v>46</v>
      </c>
      <c r="B28" s="165"/>
      <c r="C28" s="165"/>
      <c r="D28" s="165"/>
      <c r="E28" s="165"/>
      <c r="F28" s="165"/>
      <c r="G28" s="165"/>
      <c r="H28" s="165"/>
      <c r="I28" s="165"/>
      <c r="J28" s="166"/>
    </row>
    <row r="29" spans="1:16" ht="21" customHeight="1">
      <c r="A29" s="167" t="s">
        <v>101</v>
      </c>
      <c r="B29" s="168"/>
      <c r="C29" s="168"/>
      <c r="D29" s="168"/>
      <c r="E29" s="168"/>
      <c r="F29" s="168"/>
      <c r="G29" s="168" t="s">
        <v>102</v>
      </c>
      <c r="H29" s="168"/>
      <c r="I29" s="168"/>
      <c r="J29" s="169"/>
    </row>
    <row r="30" spans="1:16" ht="21" customHeight="1">
      <c r="A30" s="170" t="s">
        <v>103</v>
      </c>
      <c r="B30" s="171"/>
      <c r="C30" s="171"/>
      <c r="D30" s="171"/>
      <c r="E30" s="171"/>
      <c r="F30" s="171"/>
      <c r="G30" s="171" t="s">
        <v>104</v>
      </c>
      <c r="H30" s="171"/>
      <c r="I30" s="171"/>
      <c r="J30" s="172"/>
    </row>
    <row r="31" spans="1:16" ht="21" customHeight="1">
      <c r="A31" s="170" t="s">
        <v>105</v>
      </c>
      <c r="B31" s="171"/>
      <c r="C31" s="171"/>
      <c r="D31" s="171"/>
      <c r="E31" s="171"/>
      <c r="F31" s="171"/>
      <c r="G31" s="171" t="s">
        <v>106</v>
      </c>
      <c r="H31" s="171"/>
      <c r="I31" s="171"/>
      <c r="J31" s="172"/>
    </row>
    <row r="32" spans="1:16" ht="113.25" customHeight="1">
      <c r="A32" s="121" t="s">
        <v>53</v>
      </c>
      <c r="B32" s="122"/>
      <c r="C32" s="122"/>
      <c r="D32" s="123" t="s">
        <v>54</v>
      </c>
      <c r="E32" s="123"/>
      <c r="F32" s="123"/>
      <c r="G32" s="123"/>
      <c r="H32" s="62"/>
      <c r="I32" s="123" t="s">
        <v>55</v>
      </c>
      <c r="J32" s="124"/>
      <c r="P32" s="4"/>
    </row>
    <row r="33" spans="1:10">
      <c r="A33" s="2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J34" s="1"/>
    </row>
    <row r="35" spans="1:10">
      <c r="J35" s="1"/>
    </row>
    <row r="36" spans="1:10">
      <c r="J36" s="1"/>
    </row>
    <row r="37" spans="1:10">
      <c r="J37" s="1"/>
    </row>
    <row r="38" spans="1:10">
      <c r="J38" s="1"/>
    </row>
    <row r="39" spans="1:10">
      <c r="G39" s="1" t="s">
        <v>56</v>
      </c>
      <c r="J39" s="1"/>
    </row>
    <row r="40" spans="1:10">
      <c r="J40" s="1"/>
    </row>
    <row r="41" spans="1:10">
      <c r="J41" s="1"/>
    </row>
    <row r="42" spans="1:10">
      <c r="J42" s="1"/>
    </row>
    <row r="43" spans="1:10">
      <c r="J43" s="1"/>
    </row>
    <row r="44" spans="1:10">
      <c r="J44" s="1"/>
    </row>
    <row r="45" spans="1:10">
      <c r="J45" s="1"/>
    </row>
    <row r="46" spans="1:10">
      <c r="J46" s="1"/>
    </row>
    <row r="47" spans="1:10">
      <c r="J47" s="1"/>
    </row>
    <row r="48" spans="1:10">
      <c r="J48" s="1"/>
    </row>
    <row r="49" spans="10:10">
      <c r="J49" s="1"/>
    </row>
    <row r="50" spans="10:10">
      <c r="J50" s="1"/>
    </row>
    <row r="51" spans="10:10">
      <c r="J51" s="1"/>
    </row>
    <row r="52" spans="10:10">
      <c r="J52" s="1"/>
    </row>
    <row r="53" spans="10:10">
      <c r="J53" s="1"/>
    </row>
    <row r="54" spans="10:10">
      <c r="J54" s="1"/>
    </row>
    <row r="55" spans="10:10">
      <c r="J55" s="1"/>
    </row>
    <row r="56" spans="10:10">
      <c r="J56" s="1"/>
    </row>
    <row r="57" spans="10:10">
      <c r="J57" s="1"/>
    </row>
    <row r="58" spans="10:10">
      <c r="J58" s="1"/>
    </row>
    <row r="59" spans="10:10">
      <c r="J59" s="1"/>
    </row>
    <row r="60" spans="10:10">
      <c r="J60" s="1"/>
    </row>
    <row r="61" spans="10:10">
      <c r="J61" s="1"/>
    </row>
    <row r="62" spans="10:10">
      <c r="J62" s="1"/>
    </row>
    <row r="63" spans="10:10">
      <c r="J63" s="1"/>
    </row>
    <row r="64" spans="10:10">
      <c r="J64" s="1"/>
    </row>
    <row r="65" spans="10:10">
      <c r="J65" s="1"/>
    </row>
    <row r="66" spans="10:10">
      <c r="J66" s="1"/>
    </row>
    <row r="67" spans="10:10">
      <c r="J67" s="1"/>
    </row>
  </sheetData>
  <mergeCells count="60">
    <mergeCell ref="A31:F31"/>
    <mergeCell ref="G31:J31"/>
    <mergeCell ref="A32:C32"/>
    <mergeCell ref="D32:G32"/>
    <mergeCell ref="I32:J32"/>
    <mergeCell ref="A27:J27"/>
    <mergeCell ref="A28:J28"/>
    <mergeCell ref="A29:F29"/>
    <mergeCell ref="G29:J29"/>
    <mergeCell ref="A30:F30"/>
    <mergeCell ref="G30:J30"/>
    <mergeCell ref="C23:E23"/>
    <mergeCell ref="F23:I23"/>
    <mergeCell ref="C24:E24"/>
    <mergeCell ref="F24:I24"/>
    <mergeCell ref="C25:E25"/>
    <mergeCell ref="F25:I25"/>
    <mergeCell ref="C20:E20"/>
    <mergeCell ref="F20:I20"/>
    <mergeCell ref="C21:E21"/>
    <mergeCell ref="F21:I21"/>
    <mergeCell ref="C22:E22"/>
    <mergeCell ref="F22:I22"/>
    <mergeCell ref="C17:E17"/>
    <mergeCell ref="F17:I17"/>
    <mergeCell ref="C18:E18"/>
    <mergeCell ref="F18:I18"/>
    <mergeCell ref="C19:E19"/>
    <mergeCell ref="F19:I19"/>
    <mergeCell ref="C14:E14"/>
    <mergeCell ref="F14:I14"/>
    <mergeCell ref="C15:E15"/>
    <mergeCell ref="F15:I15"/>
    <mergeCell ref="C16:E16"/>
    <mergeCell ref="F16:I16"/>
    <mergeCell ref="C11:E11"/>
    <mergeCell ref="F11:I11"/>
    <mergeCell ref="C12:E12"/>
    <mergeCell ref="F12:I12"/>
    <mergeCell ref="C13:E13"/>
    <mergeCell ref="F13:I13"/>
    <mergeCell ref="C8:E8"/>
    <mergeCell ref="F8:I8"/>
    <mergeCell ref="C9:E9"/>
    <mergeCell ref="F9:I9"/>
    <mergeCell ref="C10:E10"/>
    <mergeCell ref="F10:I10"/>
    <mergeCell ref="C5:E5"/>
    <mergeCell ref="F5:I5"/>
    <mergeCell ref="C6:E6"/>
    <mergeCell ref="F6:I6"/>
    <mergeCell ref="C7:E7"/>
    <mergeCell ref="F7:I7"/>
    <mergeCell ref="C4:E4"/>
    <mergeCell ref="F4:I4"/>
    <mergeCell ref="B1:I1"/>
    <mergeCell ref="C2:E2"/>
    <mergeCell ref="F2:I2"/>
    <mergeCell ref="C3:E3"/>
    <mergeCell ref="F3:I3"/>
  </mergeCells>
  <printOptions horizontalCentered="1" verticalCentered="1"/>
  <pageMargins left="0.25" right="0.25" top="0.75" bottom="0.75" header="0.3" footer="0.3"/>
  <pageSetup paperSize="9" scale="90" orientation="landscape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5C12-B1F8-4F6B-9F74-A13B0332E753}">
  <sheetPr>
    <pageSetUpPr fitToPage="1"/>
  </sheetPr>
  <dimension ref="A1:P67"/>
  <sheetViews>
    <sheetView tabSelected="1" workbookViewId="0">
      <selection activeCell="B29" sqref="A29:F29"/>
    </sheetView>
  </sheetViews>
  <sheetFormatPr defaultColWidth="8.83203125" defaultRowHeight="12.75"/>
  <cols>
    <col min="1" max="1" width="61" style="1" customWidth="1"/>
    <col min="2" max="2" width="48.33203125" style="1" customWidth="1"/>
    <col min="3" max="3" width="11.33203125" style="1" customWidth="1"/>
    <col min="4" max="4" width="30.83203125" style="1" customWidth="1"/>
    <col min="5" max="5" width="13.5" style="1" customWidth="1"/>
    <col min="6" max="6" width="9.5" style="1" customWidth="1"/>
    <col min="7" max="7" width="32.5" style="1" customWidth="1"/>
    <col min="8" max="8" width="24.83203125" style="1" customWidth="1"/>
    <col min="9" max="9" width="17" style="1" customWidth="1"/>
    <col min="10" max="10" width="57.5" style="70" customWidth="1"/>
    <col min="11" max="16384" width="8.83203125" style="1"/>
  </cols>
  <sheetData>
    <row r="1" spans="1:15" ht="122.25" customHeight="1">
      <c r="A1" s="35" t="s">
        <v>134</v>
      </c>
      <c r="B1" s="131" t="s">
        <v>135</v>
      </c>
      <c r="C1" s="131"/>
      <c r="D1" s="131"/>
      <c r="E1" s="131"/>
      <c r="F1" s="131"/>
      <c r="G1" s="131"/>
      <c r="H1" s="131"/>
      <c r="I1" s="131"/>
      <c r="J1" s="36" t="s">
        <v>136</v>
      </c>
    </row>
    <row r="2" spans="1:15" s="16" customFormat="1" ht="33.75" customHeight="1">
      <c r="A2" s="37" t="s">
        <v>60</v>
      </c>
      <c r="B2" s="38" t="s">
        <v>61</v>
      </c>
      <c r="C2" s="132" t="s">
        <v>62</v>
      </c>
      <c r="D2" s="133"/>
      <c r="E2" s="134"/>
      <c r="F2" s="132" t="s">
        <v>6</v>
      </c>
      <c r="G2" s="133"/>
      <c r="H2" s="133"/>
      <c r="I2" s="134"/>
      <c r="J2" s="39" t="s">
        <v>63</v>
      </c>
    </row>
    <row r="3" spans="1:15" ht="21" customHeight="1">
      <c r="A3" s="47">
        <v>1</v>
      </c>
      <c r="B3" s="40" t="s">
        <v>64</v>
      </c>
      <c r="C3" s="135" t="s">
        <v>65</v>
      </c>
      <c r="D3" s="136"/>
      <c r="E3" s="137"/>
      <c r="F3" s="138">
        <f>F9+2000</f>
        <v>60150</v>
      </c>
      <c r="G3" s="139"/>
      <c r="H3" s="139"/>
      <c r="I3" s="140"/>
      <c r="J3" s="48">
        <f>J9+2500</f>
        <v>61650</v>
      </c>
      <c r="N3" s="68"/>
      <c r="O3" s="68"/>
    </row>
    <row r="4" spans="1:15" ht="21" customHeight="1">
      <c r="A4" s="49">
        <v>2</v>
      </c>
      <c r="B4" s="41" t="s">
        <v>66</v>
      </c>
      <c r="C4" s="125" t="s">
        <v>66</v>
      </c>
      <c r="D4" s="126"/>
      <c r="E4" s="127"/>
      <c r="F4" s="128">
        <f>F9+1500</f>
        <v>59650</v>
      </c>
      <c r="G4" s="129"/>
      <c r="H4" s="129"/>
      <c r="I4" s="130"/>
      <c r="J4" s="50">
        <f>J9+2000</f>
        <v>61150</v>
      </c>
      <c r="N4" s="68"/>
      <c r="O4" s="68"/>
    </row>
    <row r="5" spans="1:15" ht="21" customHeight="1">
      <c r="A5" s="49">
        <v>3</v>
      </c>
      <c r="B5" s="42" t="s">
        <v>67</v>
      </c>
      <c r="C5" s="125" t="s">
        <v>67</v>
      </c>
      <c r="D5" s="126"/>
      <c r="E5" s="127"/>
      <c r="F5" s="128">
        <f>F9+250</f>
        <v>58400</v>
      </c>
      <c r="G5" s="129"/>
      <c r="H5" s="129"/>
      <c r="I5" s="130"/>
      <c r="J5" s="50">
        <f>J9+250</f>
        <v>59400</v>
      </c>
      <c r="N5" s="68"/>
      <c r="O5" s="68"/>
    </row>
    <row r="6" spans="1:15" ht="21" customHeight="1">
      <c r="A6" s="49">
        <v>3</v>
      </c>
      <c r="B6" s="43" t="s">
        <v>68</v>
      </c>
      <c r="C6" s="125" t="s">
        <v>69</v>
      </c>
      <c r="D6" s="126"/>
      <c r="E6" s="127"/>
      <c r="F6" s="128">
        <f>F9+500</f>
        <v>58650</v>
      </c>
      <c r="G6" s="129"/>
      <c r="H6" s="129"/>
      <c r="I6" s="130"/>
      <c r="J6" s="50">
        <f>J9+1000</f>
        <v>60150</v>
      </c>
      <c r="N6" s="68"/>
      <c r="O6" s="68"/>
    </row>
    <row r="7" spans="1:15" ht="21" customHeight="1">
      <c r="A7" s="49">
        <v>4</v>
      </c>
      <c r="B7" s="42" t="s">
        <v>70</v>
      </c>
      <c r="C7" s="125" t="s">
        <v>71</v>
      </c>
      <c r="D7" s="126"/>
      <c r="E7" s="127"/>
      <c r="F7" s="128">
        <f>F9</f>
        <v>58150</v>
      </c>
      <c r="G7" s="129"/>
      <c r="H7" s="129"/>
      <c r="I7" s="130"/>
      <c r="J7" s="50">
        <f>J9+500</f>
        <v>59650</v>
      </c>
      <c r="N7" s="68"/>
      <c r="O7" s="68"/>
    </row>
    <row r="8" spans="1:15" ht="21" customHeight="1">
      <c r="A8" s="49">
        <v>5</v>
      </c>
      <c r="B8" s="41" t="s">
        <v>72</v>
      </c>
      <c r="C8" s="125" t="s">
        <v>73</v>
      </c>
      <c r="D8" s="126"/>
      <c r="E8" s="127"/>
      <c r="F8" s="128">
        <f>F9+500</f>
        <v>58650</v>
      </c>
      <c r="G8" s="129"/>
      <c r="H8" s="129"/>
      <c r="I8" s="130"/>
      <c r="J8" s="50">
        <f>J9+500</f>
        <v>59650</v>
      </c>
      <c r="N8" s="68"/>
      <c r="O8" s="68"/>
    </row>
    <row r="9" spans="1:15" ht="21" customHeight="1">
      <c r="A9" s="49">
        <v>6</v>
      </c>
      <c r="B9" s="41" t="s">
        <v>74</v>
      </c>
      <c r="C9" s="125" t="s">
        <v>75</v>
      </c>
      <c r="D9" s="126"/>
      <c r="E9" s="127"/>
      <c r="F9" s="141">
        <f>51400+750+750+500+1000+1250+1000+750+750</f>
        <v>58150</v>
      </c>
      <c r="G9" s="142"/>
      <c r="H9" s="142"/>
      <c r="I9" s="143"/>
      <c r="J9" s="51">
        <f>52900+1250+1000+1000+750+750+750+750</f>
        <v>59150</v>
      </c>
      <c r="K9" s="68"/>
      <c r="L9" s="68"/>
      <c r="N9" s="68"/>
      <c r="O9" s="68"/>
    </row>
    <row r="10" spans="1:15" ht="21" customHeight="1">
      <c r="A10" s="49">
        <v>7</v>
      </c>
      <c r="B10" s="41" t="s">
        <v>76</v>
      </c>
      <c r="C10" s="125" t="s">
        <v>77</v>
      </c>
      <c r="D10" s="126"/>
      <c r="E10" s="127"/>
      <c r="F10" s="128">
        <f>F9</f>
        <v>58150</v>
      </c>
      <c r="G10" s="129"/>
      <c r="H10" s="129"/>
      <c r="I10" s="130"/>
      <c r="J10" s="50">
        <f>J9</f>
        <v>59150</v>
      </c>
      <c r="N10" s="68"/>
      <c r="O10" s="68"/>
    </row>
    <row r="11" spans="1:15" ht="21" customHeight="1">
      <c r="A11" s="49">
        <v>8</v>
      </c>
      <c r="B11" s="41" t="s">
        <v>78</v>
      </c>
      <c r="C11" s="125" t="s">
        <v>79</v>
      </c>
      <c r="D11" s="126"/>
      <c r="E11" s="127"/>
      <c r="F11" s="128">
        <f>F9</f>
        <v>58150</v>
      </c>
      <c r="G11" s="129"/>
      <c r="H11" s="129"/>
      <c r="I11" s="130"/>
      <c r="J11" s="50">
        <f>J9</f>
        <v>59150</v>
      </c>
      <c r="N11" s="68"/>
      <c r="O11" s="68"/>
    </row>
    <row r="12" spans="1:15" ht="21" customHeight="1">
      <c r="A12" s="49">
        <v>9</v>
      </c>
      <c r="B12" s="44" t="s">
        <v>80</v>
      </c>
      <c r="C12" s="125" t="s">
        <v>81</v>
      </c>
      <c r="D12" s="126"/>
      <c r="E12" s="127"/>
      <c r="F12" s="128">
        <f>F9</f>
        <v>58150</v>
      </c>
      <c r="G12" s="129"/>
      <c r="H12" s="129"/>
      <c r="I12" s="130"/>
      <c r="J12" s="50">
        <f>J9</f>
        <v>59150</v>
      </c>
      <c r="N12" s="68"/>
      <c r="O12" s="68"/>
    </row>
    <row r="13" spans="1:15" ht="21" customHeight="1">
      <c r="A13" s="56">
        <v>10</v>
      </c>
      <c r="B13" s="63" t="s">
        <v>82</v>
      </c>
      <c r="C13" s="153" t="s">
        <v>83</v>
      </c>
      <c r="D13" s="154"/>
      <c r="E13" s="155"/>
      <c r="F13" s="156">
        <f>F9</f>
        <v>58150</v>
      </c>
      <c r="G13" s="157"/>
      <c r="H13" s="157"/>
      <c r="I13" s="158"/>
      <c r="J13" s="64">
        <f>J9</f>
        <v>59150</v>
      </c>
      <c r="N13" s="68"/>
      <c r="O13" s="68"/>
    </row>
    <row r="14" spans="1:15" ht="21" customHeight="1">
      <c r="A14" s="52"/>
      <c r="B14" s="53"/>
      <c r="C14" s="173"/>
      <c r="D14" s="173"/>
      <c r="E14" s="173"/>
      <c r="F14" s="173"/>
      <c r="G14" s="173"/>
      <c r="H14" s="173"/>
      <c r="I14" s="173"/>
      <c r="J14" s="54"/>
      <c r="N14" s="68"/>
      <c r="O14" s="68"/>
    </row>
    <row r="15" spans="1:15" ht="21" customHeight="1">
      <c r="A15" s="49">
        <v>11</v>
      </c>
      <c r="B15" s="42" t="s">
        <v>84</v>
      </c>
      <c r="C15" s="174" t="s">
        <v>85</v>
      </c>
      <c r="D15" s="174"/>
      <c r="E15" s="174"/>
      <c r="F15" s="175">
        <f>F9-750</f>
        <v>57400</v>
      </c>
      <c r="G15" s="175"/>
      <c r="H15" s="175"/>
      <c r="I15" s="175"/>
      <c r="J15" s="50">
        <f>J9-1250</f>
        <v>57900</v>
      </c>
      <c r="N15" s="68"/>
      <c r="O15" s="68"/>
    </row>
    <row r="16" spans="1:15" ht="21" customHeight="1">
      <c r="A16" s="49">
        <v>12</v>
      </c>
      <c r="B16" s="43" t="s">
        <v>86</v>
      </c>
      <c r="C16" s="174" t="s">
        <v>87</v>
      </c>
      <c r="D16" s="174"/>
      <c r="E16" s="174"/>
      <c r="F16" s="175">
        <f>F9-1750</f>
        <v>56400</v>
      </c>
      <c r="G16" s="175"/>
      <c r="H16" s="175"/>
      <c r="I16" s="175"/>
      <c r="J16" s="50">
        <f>J9-1250</f>
        <v>57900</v>
      </c>
      <c r="N16" s="68"/>
      <c r="O16" s="68"/>
    </row>
    <row r="17" spans="1:16" ht="21" customHeight="1">
      <c r="A17" s="65"/>
      <c r="B17" s="66"/>
      <c r="C17" s="176"/>
      <c r="D17" s="177"/>
      <c r="E17" s="178"/>
      <c r="F17" s="176"/>
      <c r="G17" s="177"/>
      <c r="H17" s="177"/>
      <c r="I17" s="178"/>
      <c r="J17" s="67"/>
      <c r="N17" s="68"/>
      <c r="O17" s="68"/>
    </row>
    <row r="18" spans="1:16" ht="21" customHeight="1">
      <c r="A18" s="49">
        <v>13</v>
      </c>
      <c r="B18" s="41" t="s">
        <v>88</v>
      </c>
      <c r="C18" s="125" t="s">
        <v>89</v>
      </c>
      <c r="D18" s="126"/>
      <c r="E18" s="127"/>
      <c r="F18" s="147" t="str">
        <f>F9-1050 &amp; ",  Odisha West - "&amp; F9-1750</f>
        <v>57100,  Odisha West - 56400</v>
      </c>
      <c r="G18" s="148"/>
      <c r="H18" s="148"/>
      <c r="I18" s="149"/>
      <c r="J18" s="55"/>
      <c r="N18" s="68"/>
      <c r="O18" s="68"/>
    </row>
    <row r="19" spans="1:16" ht="21" customHeight="1">
      <c r="A19" s="49">
        <v>14</v>
      </c>
      <c r="B19" s="41" t="s">
        <v>90</v>
      </c>
      <c r="C19" s="125" t="s">
        <v>91</v>
      </c>
      <c r="D19" s="126"/>
      <c r="E19" s="127"/>
      <c r="F19" s="128">
        <f>F9-750</f>
        <v>57400</v>
      </c>
      <c r="G19" s="129"/>
      <c r="H19" s="129"/>
      <c r="I19" s="130"/>
      <c r="J19" s="54"/>
      <c r="N19" s="68"/>
      <c r="O19" s="68"/>
    </row>
    <row r="20" spans="1:16" ht="21" customHeight="1">
      <c r="A20" s="49">
        <v>15</v>
      </c>
      <c r="B20" s="41" t="s">
        <v>92</v>
      </c>
      <c r="C20" s="125" t="s">
        <v>93</v>
      </c>
      <c r="D20" s="126"/>
      <c r="E20" s="127"/>
      <c r="F20" s="128">
        <f>F9-750</f>
        <v>57400</v>
      </c>
      <c r="G20" s="129"/>
      <c r="H20" s="129"/>
      <c r="I20" s="130"/>
      <c r="J20" s="54"/>
      <c r="N20" s="68"/>
      <c r="O20" s="68"/>
    </row>
    <row r="21" spans="1:16" ht="30" customHeight="1">
      <c r="A21" s="49">
        <v>16</v>
      </c>
      <c r="B21" s="42" t="s">
        <v>94</v>
      </c>
      <c r="C21" s="150" t="s">
        <v>95</v>
      </c>
      <c r="D21" s="151"/>
      <c r="E21" s="152"/>
      <c r="F21" s="128">
        <f>F9-250</f>
        <v>57900</v>
      </c>
      <c r="G21" s="129"/>
      <c r="H21" s="129"/>
      <c r="I21" s="130"/>
      <c r="J21" s="54"/>
      <c r="N21" s="68"/>
      <c r="O21" s="68"/>
    </row>
    <row r="22" spans="1:16" ht="21" customHeight="1">
      <c r="A22" s="49">
        <v>17</v>
      </c>
      <c r="B22" s="42" t="s">
        <v>94</v>
      </c>
      <c r="C22" s="125" t="s">
        <v>96</v>
      </c>
      <c r="D22" s="126"/>
      <c r="E22" s="127"/>
      <c r="F22" s="128">
        <f>F9-750</f>
        <v>57400</v>
      </c>
      <c r="G22" s="129"/>
      <c r="H22" s="129"/>
      <c r="I22" s="130"/>
      <c r="J22" s="54"/>
      <c r="N22" s="68"/>
      <c r="O22" s="68"/>
    </row>
    <row r="23" spans="1:16" ht="21" customHeight="1">
      <c r="A23" s="52"/>
      <c r="B23" s="53"/>
      <c r="C23" s="144"/>
      <c r="D23" s="145"/>
      <c r="E23" s="146"/>
      <c r="F23" s="144"/>
      <c r="G23" s="145"/>
      <c r="H23" s="145"/>
      <c r="I23" s="146"/>
      <c r="J23" s="54"/>
      <c r="N23" s="68"/>
      <c r="O23" s="68"/>
    </row>
    <row r="24" spans="1:16" ht="21" customHeight="1">
      <c r="A24" s="56">
        <v>18</v>
      </c>
      <c r="B24" s="45" t="s">
        <v>41</v>
      </c>
      <c r="C24" s="153" t="s">
        <v>97</v>
      </c>
      <c r="D24" s="154"/>
      <c r="E24" s="155"/>
      <c r="F24" s="156">
        <f>F9-750</f>
        <v>57400</v>
      </c>
      <c r="G24" s="157"/>
      <c r="H24" s="157"/>
      <c r="I24" s="158"/>
      <c r="J24" s="50">
        <f>J9-750</f>
        <v>58400</v>
      </c>
      <c r="N24" s="68"/>
      <c r="O24" s="68"/>
    </row>
    <row r="25" spans="1:16" ht="21" customHeight="1">
      <c r="A25" s="57">
        <v>19</v>
      </c>
      <c r="B25" s="46" t="s">
        <v>98</v>
      </c>
      <c r="C25" s="159" t="s">
        <v>99</v>
      </c>
      <c r="D25" s="159"/>
      <c r="E25" s="159"/>
      <c r="F25" s="160">
        <f>F9-1250</f>
        <v>56900</v>
      </c>
      <c r="G25" s="160"/>
      <c r="H25" s="160"/>
      <c r="I25" s="160"/>
      <c r="J25" s="69"/>
      <c r="N25" s="68"/>
      <c r="O25" s="68"/>
    </row>
    <row r="26" spans="1:16" ht="21" customHeight="1">
      <c r="A26" s="59"/>
      <c r="B26" s="60"/>
      <c r="C26" s="60"/>
      <c r="D26" s="60"/>
      <c r="E26" s="60"/>
      <c r="F26" s="60"/>
      <c r="G26" s="60"/>
      <c r="H26" s="60"/>
      <c r="I26" s="60"/>
      <c r="J26" s="61"/>
    </row>
    <row r="27" spans="1:16" ht="21" customHeight="1">
      <c r="A27" s="180" t="s">
        <v>137</v>
      </c>
      <c r="B27" s="181"/>
      <c r="C27" s="181"/>
      <c r="D27" s="181"/>
      <c r="E27" s="181"/>
      <c r="F27" s="181"/>
      <c r="G27" s="181"/>
      <c r="H27" s="181"/>
      <c r="I27" s="181"/>
      <c r="J27" s="182"/>
    </row>
    <row r="28" spans="1:16" ht="21" customHeight="1">
      <c r="A28" s="71"/>
      <c r="B28" s="179" t="s">
        <v>138</v>
      </c>
      <c r="C28" s="179"/>
      <c r="D28" s="179"/>
      <c r="E28" s="179"/>
      <c r="F28" s="179"/>
      <c r="G28" s="179"/>
      <c r="H28" s="179"/>
      <c r="I28" s="179"/>
      <c r="J28" s="72"/>
    </row>
    <row r="29" spans="1:16" ht="21" customHeight="1">
      <c r="A29" s="183" t="s">
        <v>101</v>
      </c>
      <c r="B29" s="183"/>
      <c r="C29" s="183"/>
      <c r="D29" s="183"/>
      <c r="E29" s="183"/>
      <c r="F29" s="183"/>
      <c r="G29" s="184" t="s">
        <v>102</v>
      </c>
      <c r="H29" s="183"/>
      <c r="I29" s="183"/>
      <c r="J29" s="185"/>
    </row>
    <row r="30" spans="1:16" ht="21" customHeight="1">
      <c r="A30" s="186" t="s">
        <v>103</v>
      </c>
      <c r="B30" s="187"/>
      <c r="C30" s="187"/>
      <c r="D30" s="187"/>
      <c r="E30" s="187"/>
      <c r="F30" s="187"/>
      <c r="G30" s="187" t="s">
        <v>104</v>
      </c>
      <c r="H30" s="187"/>
      <c r="I30" s="187"/>
      <c r="J30" s="188"/>
    </row>
    <row r="31" spans="1:16" ht="21" customHeight="1">
      <c r="A31" s="170" t="s">
        <v>105</v>
      </c>
      <c r="B31" s="171"/>
      <c r="C31" s="171"/>
      <c r="D31" s="171"/>
      <c r="E31" s="171"/>
      <c r="F31" s="171"/>
      <c r="G31" s="171" t="s">
        <v>106</v>
      </c>
      <c r="H31" s="171"/>
      <c r="I31" s="171"/>
      <c r="J31" s="172"/>
    </row>
    <row r="32" spans="1:16" ht="113.25" customHeight="1">
      <c r="A32" s="121" t="s">
        <v>53</v>
      </c>
      <c r="B32" s="122"/>
      <c r="C32" s="122"/>
      <c r="D32" s="123" t="s">
        <v>54</v>
      </c>
      <c r="E32" s="123"/>
      <c r="F32" s="123"/>
      <c r="G32" s="123"/>
      <c r="H32" s="62"/>
      <c r="I32" s="123" t="s">
        <v>55</v>
      </c>
      <c r="J32" s="124"/>
      <c r="P32" s="4"/>
    </row>
    <row r="33" spans="1:10">
      <c r="A33" s="2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J34" s="1"/>
    </row>
    <row r="35" spans="1:10">
      <c r="J35" s="1"/>
    </row>
    <row r="36" spans="1:10">
      <c r="J36" s="1"/>
    </row>
    <row r="37" spans="1:10">
      <c r="J37" s="1"/>
    </row>
    <row r="38" spans="1:10">
      <c r="J38" s="1"/>
    </row>
    <row r="39" spans="1:10">
      <c r="G39" s="1" t="s">
        <v>56</v>
      </c>
      <c r="J39" s="1"/>
    </row>
    <row r="40" spans="1:10">
      <c r="J40" s="1"/>
    </row>
    <row r="41" spans="1:10">
      <c r="J41" s="1"/>
    </row>
    <row r="42" spans="1:10">
      <c r="J42" s="1"/>
    </row>
    <row r="43" spans="1:10">
      <c r="J43" s="1"/>
    </row>
    <row r="44" spans="1:10">
      <c r="J44" s="1"/>
    </row>
    <row r="45" spans="1:10">
      <c r="J45" s="1"/>
    </row>
    <row r="46" spans="1:10">
      <c r="J46" s="1"/>
    </row>
    <row r="47" spans="1:10">
      <c r="J47" s="1"/>
    </row>
    <row r="48" spans="1:10">
      <c r="J48" s="1"/>
    </row>
    <row r="49" spans="10:10">
      <c r="J49" s="1"/>
    </row>
    <row r="50" spans="10:10">
      <c r="J50" s="1"/>
    </row>
    <row r="51" spans="10:10">
      <c r="J51" s="1"/>
    </row>
    <row r="52" spans="10:10">
      <c r="J52" s="1"/>
    </row>
    <row r="53" spans="10:10">
      <c r="J53" s="1"/>
    </row>
    <row r="54" spans="10:10">
      <c r="J54" s="1"/>
    </row>
    <row r="55" spans="10:10">
      <c r="J55" s="1"/>
    </row>
    <row r="56" spans="10:10">
      <c r="J56" s="1"/>
    </row>
    <row r="57" spans="10:10">
      <c r="J57" s="1"/>
    </row>
    <row r="58" spans="10:10">
      <c r="J58" s="1"/>
    </row>
    <row r="59" spans="10:10">
      <c r="J59" s="1"/>
    </row>
    <row r="60" spans="10:10">
      <c r="J60" s="1"/>
    </row>
    <row r="61" spans="10:10">
      <c r="J61" s="1"/>
    </row>
    <row r="62" spans="10:10">
      <c r="J62" s="1"/>
    </row>
    <row r="63" spans="10:10">
      <c r="J63" s="1"/>
    </row>
    <row r="64" spans="10:10">
      <c r="J64" s="1"/>
    </row>
    <row r="65" spans="10:10">
      <c r="J65" s="1"/>
    </row>
    <row r="66" spans="10:10">
      <c r="J66" s="1"/>
    </row>
    <row r="67" spans="10:10">
      <c r="J67" s="1"/>
    </row>
  </sheetData>
  <mergeCells count="60">
    <mergeCell ref="A31:F31"/>
    <mergeCell ref="G31:J31"/>
    <mergeCell ref="A32:C32"/>
    <mergeCell ref="D32:G32"/>
    <mergeCell ref="I32:J32"/>
    <mergeCell ref="B28:I28"/>
    <mergeCell ref="A27:J27"/>
    <mergeCell ref="A29:F29"/>
    <mergeCell ref="G29:J29"/>
    <mergeCell ref="A30:F30"/>
    <mergeCell ref="G30:J30"/>
    <mergeCell ref="C23:E23"/>
    <mergeCell ref="F23:I23"/>
    <mergeCell ref="C24:E24"/>
    <mergeCell ref="F24:I24"/>
    <mergeCell ref="C25:E25"/>
    <mergeCell ref="F25:I25"/>
    <mergeCell ref="C20:E20"/>
    <mergeCell ref="F20:I20"/>
    <mergeCell ref="C21:E21"/>
    <mergeCell ref="F21:I21"/>
    <mergeCell ref="C22:E22"/>
    <mergeCell ref="F22:I22"/>
    <mergeCell ref="C17:E17"/>
    <mergeCell ref="F17:I17"/>
    <mergeCell ref="C18:E18"/>
    <mergeCell ref="F18:I18"/>
    <mergeCell ref="C19:E19"/>
    <mergeCell ref="F19:I19"/>
    <mergeCell ref="C14:E14"/>
    <mergeCell ref="F14:I14"/>
    <mergeCell ref="C15:E15"/>
    <mergeCell ref="F15:I15"/>
    <mergeCell ref="C16:E16"/>
    <mergeCell ref="F16:I16"/>
    <mergeCell ref="C11:E11"/>
    <mergeCell ref="F11:I11"/>
    <mergeCell ref="C12:E12"/>
    <mergeCell ref="F12:I12"/>
    <mergeCell ref="C13:E13"/>
    <mergeCell ref="F13:I13"/>
    <mergeCell ref="C8:E8"/>
    <mergeCell ref="F8:I8"/>
    <mergeCell ref="C9:E9"/>
    <mergeCell ref="F9:I9"/>
    <mergeCell ref="C10:E10"/>
    <mergeCell ref="F10:I10"/>
    <mergeCell ref="C5:E5"/>
    <mergeCell ref="F5:I5"/>
    <mergeCell ref="C6:E6"/>
    <mergeCell ref="F6:I6"/>
    <mergeCell ref="C7:E7"/>
    <mergeCell ref="F7:I7"/>
    <mergeCell ref="C4:E4"/>
    <mergeCell ref="F4:I4"/>
    <mergeCell ref="B1:I1"/>
    <mergeCell ref="C2:E2"/>
    <mergeCell ref="F2:I2"/>
    <mergeCell ref="C3:E3"/>
    <mergeCell ref="F3:I3"/>
  </mergeCells>
  <printOptions horizontalCentered="1" verticalCentered="1"/>
  <pageMargins left="0.25" right="0.25" top="0.75" bottom="0.75" header="0.3" footer="0.3"/>
  <pageSetup paperSize="9" scale="90" orientation="landscape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0F868649F798439A3CFEC3346B2416" ma:contentTypeVersion="4" ma:contentTypeDescription="Create a new document." ma:contentTypeScope="" ma:versionID="cfdafb41ebbc8511b97b9f39e46f05d2">
  <xsd:schema xmlns:xsd="http://www.w3.org/2001/XMLSchema" xmlns:xs="http://www.w3.org/2001/XMLSchema" xmlns:p="http://schemas.microsoft.com/office/2006/metadata/properties" xmlns:ns2="5da9c72a-7fd0-4e3d-b06d-9997d20ea30f" targetNamespace="http://schemas.microsoft.com/office/2006/metadata/properties" ma:root="true" ma:fieldsID="903146a611de93bd119f6c448220dd01" ns2:_="">
    <xsd:import namespace="5da9c72a-7fd0-4e3d-b06d-9997d20ea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a9c72a-7fd0-4e3d-b06d-9997d20ea3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B7A537-B9D9-44AF-B8FD-4331E0652E77}"/>
</file>

<file path=customXml/itemProps2.xml><?xml version="1.0" encoding="utf-8"?>
<ds:datastoreItem xmlns:ds="http://schemas.openxmlformats.org/officeDocument/2006/customXml" ds:itemID="{AE4EC254-35D4-4092-BB06-D9B5076EE226}"/>
</file>

<file path=customXml/itemProps3.xml><?xml version="1.0" encoding="utf-8"?>
<ds:datastoreItem xmlns:ds="http://schemas.openxmlformats.org/officeDocument/2006/customXml" ds:itemID="{050DB12A-F0B3-4EDB-9599-446BAC445C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Hritik Kumar</dc:creator>
  <cp:keywords/>
  <dc:description/>
  <cp:lastModifiedBy/>
  <cp:revision/>
  <dcterms:created xsi:type="dcterms:W3CDTF">2026-01-16T11:24:34Z</dcterms:created>
  <dcterms:modified xsi:type="dcterms:W3CDTF">2026-03-17T11:29:35Z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2026-01-16T00:00:00Z</vt:filetime>
  </property>
  <property fmtid="{D5CDD505-2E9C-101B-9397-08002B2CF9AE}" pid="3" name="Creator">
    <vt:lpwstr>Microsoft Word</vt:lpwstr>
  </property>
  <property fmtid="{D5CDD505-2E9C-101B-9397-08002B2CF9AE}" pid="4" name="LastSaved">
    <vt:filetime>2026-01-16T00:00:00Z</vt:filetime>
  </property>
  <property fmtid="{D5CDD505-2E9C-101B-9397-08002B2CF9AE}" pid="5" name="ContentTypeId">
    <vt:lpwstr>0x010100FE0F868649F798439A3CFEC3346B2416</vt:lpwstr>
  </property>
</Properties>
</file>