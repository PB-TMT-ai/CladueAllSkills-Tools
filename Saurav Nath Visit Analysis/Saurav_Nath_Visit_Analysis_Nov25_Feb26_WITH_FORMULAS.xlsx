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isit_Log" sheetId="1" state="visible" r:id="rId1"/>
    <sheet xmlns:r="http://schemas.openxmlformats.org/officeDocument/2006/relationships" name="Productivity_Monthly" sheetId="2" state="visible" r:id="rId2"/>
    <sheet xmlns:r="http://schemas.openxmlformats.org/officeDocument/2006/relationships" name="Territory_Coverage" sheetId="3" state="visible" r:id="rId3"/>
    <sheet xmlns:r="http://schemas.openxmlformats.org/officeDocument/2006/relationships" name="Monthly_Trends" sheetId="4" state="visible" r:id="rId4"/>
    <sheet xmlns:r="http://schemas.openxmlformats.org/officeDocument/2006/relationships" name="Executive_Dashboard" sheetId="5" state="visible" r:id="rId5"/>
    <sheet xmlns:r="http://schemas.openxmlformats.org/officeDocument/2006/relationships" name="Repeat_Visits_Analysis" sheetId="6" state="visible" r:id="rId6"/>
    <sheet xmlns:r="http://schemas.openxmlformats.org/officeDocument/2006/relationships" name="Short_Duration_Flags" sheetId="7" state="visible" r:id="rId7"/>
    <sheet xmlns:r="http://schemas.openxmlformats.org/officeDocument/2006/relationships" name="Notes_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2" customWidth="1" min="4" max="4"/>
    <col width="22" customWidth="1" min="5" max="5"/>
    <col width="20" customWidth="1" min="6" max="6"/>
    <col width="50" customWidth="1" min="7" max="7"/>
    <col width="24" customWidth="1" min="8" max="8"/>
    <col width="19" customWidth="1" min="9" max="9"/>
    <col width="24" customWidth="1" min="10" max="10"/>
    <col width="22" customWidth="1" min="11" max="11"/>
    <col width="24" customWidth="1" min="12" max="12"/>
    <col width="23" customWidth="1" min="13" max="13"/>
    <col width="50" customWidth="1" min="14" max="14"/>
    <col width="50" customWidth="1" min="15" max="15"/>
    <col width="50" customWidth="1" min="16" max="16"/>
    <col width="49" customWidth="1" min="17" max="17"/>
    <col width="33" customWidth="1" min="18" max="18"/>
    <col width="34" customWidth="1" min="19" max="19"/>
    <col width="26" customWidth="1" min="20" max="20"/>
    <col width="24" customWidth="1" min="21" max="21"/>
    <col width="40" customWidth="1" min="22" max="22"/>
    <col width="50" customWidth="1" min="23" max="23"/>
    <col width="17" customWidth="1" min="24" max="24"/>
    <col width="50" customWidth="1" min="25" max="25"/>
  </cols>
  <sheetData>
    <row r="1">
      <c r="A1" s="2" t="inlineStr">
        <is>
          <t>Date</t>
        </is>
      </c>
      <c r="B1" s="2" t="inlineStr">
        <is>
          <t>Day of Week</t>
        </is>
      </c>
      <c r="C1" s="2" t="inlineStr">
        <is>
          <t>Month</t>
        </is>
      </c>
      <c r="D1" s="2" t="inlineStr">
        <is>
          <t>Check-in Date/Time</t>
        </is>
      </c>
      <c r="E1" s="2" t="inlineStr">
        <is>
          <t>Check-out Date/Time</t>
        </is>
      </c>
      <c r="F1" s="2" t="inlineStr">
        <is>
          <t>Duration (min)</t>
        </is>
      </c>
      <c r="G1" s="2" t="inlineStr">
        <is>
          <t>Account: Registered Company Name</t>
        </is>
      </c>
      <c r="H1" s="2" t="inlineStr">
        <is>
          <t>Account: Account SF Id</t>
        </is>
      </c>
      <c r="I1" s="2" t="inlineStr">
        <is>
          <t>Account: Pin code</t>
        </is>
      </c>
      <c r="J1" s="2" t="inlineStr">
        <is>
          <t>Account: Auto district</t>
        </is>
      </c>
      <c r="K1" s="2" t="inlineStr">
        <is>
          <t>Account: Auto taluka</t>
        </is>
      </c>
      <c r="L1" s="2" t="inlineStr">
        <is>
          <t>Account: Customer type</t>
        </is>
      </c>
      <c r="M1" s="2" t="inlineStr">
        <is>
          <t>Meeting outcome</t>
        </is>
      </c>
      <c r="N1" s="2" t="inlineStr">
        <is>
          <t>Check-in Comments</t>
        </is>
      </c>
      <c r="O1" s="2" t="inlineStr">
        <is>
          <t>Check-out Comments</t>
        </is>
      </c>
      <c r="P1" s="2" t="inlineStr">
        <is>
          <t>Combined Comments</t>
        </is>
      </c>
      <c r="Q1" s="2" t="inlineStr">
        <is>
          <t>Comments Word Count</t>
        </is>
      </c>
      <c r="R1" s="2" t="inlineStr">
        <is>
          <t>Check-in Coordinates (Latitude)</t>
        </is>
      </c>
      <c r="S1" s="2" t="inlineStr">
        <is>
          <t>Check-in Coordinates (Longitude)</t>
        </is>
      </c>
      <c r="T1" s="2" t="inlineStr">
        <is>
          <t>Visit Number</t>
        </is>
      </c>
      <c r="U1" s="2" t="inlineStr">
        <is>
          <t>Short Visit Flag</t>
        </is>
      </c>
      <c r="V1" s="2" t="inlineStr">
        <is>
          <t>Documentation Complete</t>
        </is>
      </c>
      <c r="W1" s="2" t="inlineStr">
        <is>
          <t>Time Slot</t>
        </is>
      </c>
      <c r="X1" s="2" t="inlineStr">
        <is>
          <t>Same Day Visits</t>
        </is>
      </c>
      <c r="Y1" s="2" t="inlineStr">
        <is>
          <t>Duration Band</t>
        </is>
      </c>
    </row>
    <row r="2">
      <c r="A2" s="3" t="n">
        <v>45995</v>
      </c>
      <c r="B2" s="4" t="inlineStr">
        <is>
          <t>Thursday</t>
        </is>
      </c>
      <c r="C2" s="4" t="inlineStr">
        <is>
          <t>Dec 25</t>
        </is>
      </c>
      <c r="D2" s="4" t="inlineStr">
        <is>
          <t>04/12/2025, 5:09 pm</t>
        </is>
      </c>
      <c r="E2" s="4" t="inlineStr">
        <is>
          <t>04/12/2025, 5:10 pm</t>
        </is>
      </c>
      <c r="F2" s="4">
        <f>(E2-D2)*24*60</f>
        <v/>
      </c>
      <c r="G2" s="4" t="inlineStr">
        <is>
          <t>A.S ENTERPRISES</t>
        </is>
      </c>
      <c r="H2" s="4" t="inlineStr">
        <is>
          <t>001fw00000EVFafAAH</t>
        </is>
      </c>
      <c r="I2" s="4" t="n">
        <v>831003</v>
      </c>
      <c r="J2" s="4" t="inlineStr">
        <is>
          <t>EAST SINGHBUM</t>
        </is>
      </c>
      <c r="K2" s="4" t="inlineStr"/>
      <c r="L2" s="4" t="inlineStr">
        <is>
          <t>Retailer PB</t>
        </is>
      </c>
      <c r="M2" s="4" t="inlineStr">
        <is>
          <t>Account created</t>
        </is>
      </c>
      <c r="N2" s="4" t="inlineStr">
        <is>
          <t>Dealer of Tata tiscon and rungta tmt . Potential of 150 mt. Rates given 55000 landed owner not available</t>
        </is>
      </c>
      <c r="O2" s="4" t="inlineStr">
        <is>
          <t>Will connect us . Asking to decide later . Need time .</t>
        </is>
      </c>
      <c r="P2" s="4" t="inlineStr">
        <is>
          <t>Dealer of Tata tiscon and rungta tmt . Potential of 150 mt. Rates given 55000 landed owner not available | Will connect us . Asking to decide later . Need time .</t>
        </is>
      </c>
      <c r="Q2" s="4">
        <f>LEN(TRIM(P2))-LEN(SUBSTITUTE(P2," ",""))+1</f>
        <v/>
      </c>
      <c r="R2" s="4" t="n">
        <v>22.6862739</v>
      </c>
      <c r="S2" s="4" t="n">
        <v>85.61946589999999</v>
      </c>
      <c r="T2" s="4">
        <f>COUNTIF($G$2:G2,G2)</f>
        <v/>
      </c>
      <c r="U2" s="4">
        <f>IF(F2&lt;5,"YES","NO")</f>
        <v/>
      </c>
      <c r="V2" s="4">
        <f>IF(AND(N2&lt;&gt;"",O2&lt;&gt;""),"YES","NO")</f>
        <v/>
      </c>
      <c r="W2" s="4">
        <f>IF(HOUR(D2)&lt;12,"Morning",IF(HOUR(D2)&lt;17,"Afternoon","Evening"))</f>
        <v/>
      </c>
      <c r="X2" s="4" t="n">
        <v>6</v>
      </c>
      <c r="Y2" s="4">
        <f>IF(F2&lt;5,"&lt;5 min",IF(F2&lt;15,"5-15 min",IF(F2&lt;30,"15-30 min","30+ min")))</f>
        <v/>
      </c>
    </row>
    <row r="3">
      <c r="A3" s="3" t="n">
        <v>45966</v>
      </c>
      <c r="B3" s="4" t="inlineStr">
        <is>
          <t>Wednesday</t>
        </is>
      </c>
      <c r="C3" s="4" t="inlineStr">
        <is>
          <t>Nov 25</t>
        </is>
      </c>
      <c r="D3" s="4" t="inlineStr">
        <is>
          <t>05/11/2025, 4:25 pm</t>
        </is>
      </c>
      <c r="E3" s="4" t="inlineStr">
        <is>
          <t>05/11/2025, 4:28 pm</t>
        </is>
      </c>
      <c r="F3" s="4">
        <f>(E3-D3)*24*60</f>
        <v/>
      </c>
      <c r="G3" s="4" t="inlineStr">
        <is>
          <t>AAKASH INDIA PROJECTS &amp; BUILDERS PRIVATE LIMITED</t>
        </is>
      </c>
      <c r="H3" s="4" t="inlineStr">
        <is>
          <t>001J100000Vo0f6IAB</t>
        </is>
      </c>
      <c r="I3" s="4" t="n">
        <v>831012</v>
      </c>
      <c r="J3" s="4" t="inlineStr">
        <is>
          <t>EAST SINGHBUM</t>
        </is>
      </c>
      <c r="K3" s="4" t="inlineStr"/>
      <c r="L3" s="4" t="inlineStr">
        <is>
          <t>Retailer PB</t>
        </is>
      </c>
      <c r="M3" s="4" t="inlineStr">
        <is>
          <t>Got future date</t>
        </is>
      </c>
      <c r="N3" s="4" t="inlineStr">
        <is>
          <t>Contractor of commercial and residential projects . Using panther tiscon and jsw one tmt . Rates given 46000 basic to the customer.</t>
        </is>
      </c>
      <c r="O3" s="4" t="inlineStr">
        <is>
          <t>Need time . Will share inquiry for site . Asking to be in touch .Last purcha tiscon @ 64 landed .</t>
        </is>
      </c>
      <c r="P3" s="4" t="inlineStr">
        <is>
          <t>Contractor of commercial and residential projects . Using panther tiscon and jsw one tmt . Rates given 46000 basic to the customer. | Need time . Will share inquiry for site . Asking to be in touch .Last purcha tiscon @ 64 landed .</t>
        </is>
      </c>
      <c r="Q3" s="4">
        <f>LEN(TRIM(P3))-LEN(SUBSTITUTE(P3," ",""))+1</f>
        <v/>
      </c>
      <c r="R3" s="4" t="n">
        <v>22.8120926</v>
      </c>
      <c r="S3" s="4" t="n">
        <v>86.21511099999999</v>
      </c>
      <c r="T3" s="4">
        <f>COUNTIF($G$2:G3,G3)</f>
        <v/>
      </c>
      <c r="U3" s="4">
        <f>IF(F3&lt;5,"YES","NO")</f>
        <v/>
      </c>
      <c r="V3" s="4">
        <f>IF(AND(N3&lt;&gt;"",O3&lt;&gt;""),"YES","NO")</f>
        <v/>
      </c>
      <c r="W3" s="4">
        <f>IF(HOUR(D3)&lt;12,"Morning",IF(HOUR(D3)&lt;17,"Afternoon","Evening"))</f>
        <v/>
      </c>
      <c r="X3" s="4" t="n">
        <v>6</v>
      </c>
      <c r="Y3" s="4">
        <f>IF(F3&lt;5,"&lt;5 min",IF(F3&lt;15,"5-15 min",IF(F3&lt;30,"15-30 min","30+ min")))</f>
        <v/>
      </c>
    </row>
    <row r="4">
      <c r="A4" s="3" t="n">
        <v>45975</v>
      </c>
      <c r="B4" s="4" t="inlineStr">
        <is>
          <t>Friday</t>
        </is>
      </c>
      <c r="C4" s="4" t="inlineStr">
        <is>
          <t>Nov 25</t>
        </is>
      </c>
      <c r="D4" s="4" t="inlineStr">
        <is>
          <t>14/11/2025, 3:58 pm</t>
        </is>
      </c>
      <c r="E4" s="4" t="inlineStr">
        <is>
          <t>14/11/2025, 3:58 pm</t>
        </is>
      </c>
      <c r="F4" s="4">
        <f>(E4-D4)*24*60</f>
        <v/>
      </c>
      <c r="G4" s="4" t="inlineStr">
        <is>
          <t>AAKASH INDIA PROJECTS &amp; BUILDERS PRIVATE LIMITED</t>
        </is>
      </c>
      <c r="H4" s="4" t="inlineStr">
        <is>
          <t>001J100000Vo0f6IAB</t>
        </is>
      </c>
      <c r="I4" s="4" t="n">
        <v>831012</v>
      </c>
      <c r="J4" s="4" t="inlineStr">
        <is>
          <t>EAST SINGHBUM</t>
        </is>
      </c>
      <c r="K4" s="4" t="inlineStr"/>
      <c r="L4" s="4" t="inlineStr">
        <is>
          <t>Retailer PB</t>
        </is>
      </c>
      <c r="M4" s="4" t="inlineStr">
        <is>
          <t>Got future date</t>
        </is>
      </c>
      <c r="N4" s="4" t="inlineStr">
        <is>
          <t>Contractor and engineer of commercial and residential projects . Rates given 59 landed to customer in projects.</t>
        </is>
      </c>
      <c r="O4" s="4" t="inlineStr">
        <is>
          <t>Will share inquiry as soon as possible . Waiting</t>
        </is>
      </c>
      <c r="P4" s="4" t="inlineStr">
        <is>
          <t>Contractor and engineer of commercial and residential projects . Rates given 59 landed to customer in projects. | Will share inquiry as soon as possible . Waiting</t>
        </is>
      </c>
      <c r="Q4" s="4">
        <f>LEN(TRIM(P4))-LEN(SUBSTITUTE(P4," ",""))+1</f>
        <v/>
      </c>
      <c r="R4" s="4" t="n">
        <v>22.8121045</v>
      </c>
      <c r="S4" s="4" t="n">
        <v>86.21515650000001</v>
      </c>
      <c r="T4" s="4">
        <f>COUNTIF($G$2:G4,G4)</f>
        <v/>
      </c>
      <c r="U4" s="4">
        <f>IF(F4&lt;5,"YES","NO")</f>
        <v/>
      </c>
      <c r="V4" s="4">
        <f>IF(AND(N4&lt;&gt;"",O4&lt;&gt;""),"YES","NO")</f>
        <v/>
      </c>
      <c r="W4" s="4">
        <f>IF(HOUR(D4)&lt;12,"Morning",IF(HOUR(D4)&lt;17,"Afternoon","Evening"))</f>
        <v/>
      </c>
      <c r="X4" s="4" t="n">
        <v>5</v>
      </c>
      <c r="Y4" s="4">
        <f>IF(F4&lt;5,"&lt;5 min",IF(F4&lt;15,"5-15 min",IF(F4&lt;30,"15-30 min","30+ min")))</f>
        <v/>
      </c>
    </row>
    <row r="5">
      <c r="A5" s="3" t="n">
        <v>45981</v>
      </c>
      <c r="B5" s="4" t="inlineStr">
        <is>
          <t>Thursday</t>
        </is>
      </c>
      <c r="C5" s="4" t="inlineStr">
        <is>
          <t>Nov 25</t>
        </is>
      </c>
      <c r="D5" s="4" t="inlineStr">
        <is>
          <t>20/11/2025, 5:30 pm</t>
        </is>
      </c>
      <c r="E5" s="4" t="inlineStr">
        <is>
          <t>20/11/2025, 5:32 pm</t>
        </is>
      </c>
      <c r="F5" s="4">
        <f>(E5-D5)*24*60</f>
        <v/>
      </c>
      <c r="G5" s="4" t="inlineStr">
        <is>
          <t>AAKASH INDIA PROJECTS &amp; BUILDERS PRIVATE LIMITED</t>
        </is>
      </c>
      <c r="H5" s="4" t="inlineStr">
        <is>
          <t>001J100000Vo0f6IAB</t>
        </is>
      </c>
      <c r="I5" s="4" t="n">
        <v>831012</v>
      </c>
      <c r="J5" s="4" t="inlineStr">
        <is>
          <t>EAST SINGHBUM</t>
        </is>
      </c>
      <c r="K5" s="4" t="inlineStr"/>
      <c r="L5" s="4" t="inlineStr">
        <is>
          <t>Retailer PB</t>
        </is>
      </c>
      <c r="M5" s="4" t="inlineStr">
        <is>
          <t>Got future date</t>
        </is>
      </c>
      <c r="N5" s="4" t="inlineStr">
        <is>
          <t>Contractor of real estate and commercial projects. Using tiscon, panther and rungta tmt . Rates given 55000 landed to the customer.</t>
        </is>
      </c>
      <c r="O5" s="4" t="inlineStr">
        <is>
          <t>Will share inquiry after this week as soon received from site.</t>
        </is>
      </c>
      <c r="P5" s="4" t="inlineStr">
        <is>
          <t>Contractor of real estate and commercial projects. Using tiscon, panther and rungta tmt . Rates given 55000 landed to the customer. | Will share inquiry after this week as soon received from site.</t>
        </is>
      </c>
      <c r="Q5" s="4">
        <f>LEN(TRIM(P5))-LEN(SUBSTITUTE(P5," ",""))+1</f>
        <v/>
      </c>
      <c r="R5" s="4" t="n">
        <v>22.8121294</v>
      </c>
      <c r="S5" s="4" t="n">
        <v>86.2151884</v>
      </c>
      <c r="T5" s="4">
        <f>COUNTIF($G$2:G5,G5)</f>
        <v/>
      </c>
      <c r="U5" s="4">
        <f>IF(F5&lt;5,"YES","NO")</f>
        <v/>
      </c>
      <c r="V5" s="4">
        <f>IF(AND(N5&lt;&gt;"",O5&lt;&gt;""),"YES","NO")</f>
        <v/>
      </c>
      <c r="W5" s="4">
        <f>IF(HOUR(D5)&lt;12,"Morning",IF(HOUR(D5)&lt;17,"Afternoon","Evening"))</f>
        <v/>
      </c>
      <c r="X5" s="4" t="n">
        <v>6</v>
      </c>
      <c r="Y5" s="4">
        <f>IF(F5&lt;5,"&lt;5 min",IF(F5&lt;15,"5-15 min",IF(F5&lt;30,"15-30 min","30+ min")))</f>
        <v/>
      </c>
    </row>
    <row r="6">
      <c r="A6" s="3" t="n">
        <v>45994</v>
      </c>
      <c r="B6" s="4" t="inlineStr">
        <is>
          <t>Wednesday</t>
        </is>
      </c>
      <c r="C6" s="4" t="inlineStr">
        <is>
          <t>Dec 25</t>
        </is>
      </c>
      <c r="D6" s="4" t="inlineStr">
        <is>
          <t>03/12/2025, 11:41 am</t>
        </is>
      </c>
      <c r="E6" s="4" t="inlineStr">
        <is>
          <t>03/12/2025, 11:43 am</t>
        </is>
      </c>
      <c r="F6" s="4">
        <f>(E6-D6)*24*60</f>
        <v/>
      </c>
      <c r="G6" s="4" t="inlineStr">
        <is>
          <t>AAKASH INDIA PROJECTS &amp; BUILDERS PRIVATE LIMITED</t>
        </is>
      </c>
      <c r="H6" s="4" t="inlineStr">
        <is>
          <t>001J100000Vo0f6IAB</t>
        </is>
      </c>
      <c r="I6" s="4" t="n">
        <v>831012</v>
      </c>
      <c r="J6" s="4" t="inlineStr">
        <is>
          <t>EAST SINGHBUM</t>
        </is>
      </c>
      <c r="K6" s="4" t="inlineStr"/>
      <c r="L6" s="4" t="inlineStr">
        <is>
          <t>Retailer PB</t>
        </is>
      </c>
      <c r="M6" s="4" t="inlineStr">
        <is>
          <t>Got future date</t>
        </is>
      </c>
      <c r="N6" s="4" t="inlineStr">
        <is>
          <t>Contractor of real estate and commercial projects . Rates given 55000 landed to the custumer . Will share inquiry soon</t>
        </is>
      </c>
      <c r="O6" s="4" t="inlineStr">
        <is>
          <t>Will connect when inquiry comes from site . Asking to wait .</t>
        </is>
      </c>
      <c r="P6" s="4" t="inlineStr">
        <is>
          <t>Contractor of real estate and commercial projects . Rates given 55000 landed to the custumer . Will share inquiry soon | Will connect when inquiry comes from site . Asking to wait .</t>
        </is>
      </c>
      <c r="Q6" s="4">
        <f>LEN(TRIM(P6))-LEN(SUBSTITUTE(P6," ",""))+1</f>
        <v/>
      </c>
      <c r="R6" s="4" t="n">
        <v>22.8119741</v>
      </c>
      <c r="S6" s="4" t="n">
        <v>86.2151774</v>
      </c>
      <c r="T6" s="4">
        <f>COUNTIF($G$2:G6,G6)</f>
        <v/>
      </c>
      <c r="U6" s="4">
        <f>IF(F6&lt;5,"YES","NO")</f>
        <v/>
      </c>
      <c r="V6" s="4">
        <f>IF(AND(N6&lt;&gt;"",O6&lt;&gt;""),"YES","NO")</f>
        <v/>
      </c>
      <c r="W6" s="4">
        <f>IF(HOUR(D6)&lt;12,"Morning",IF(HOUR(D6)&lt;17,"Afternoon","Evening"))</f>
        <v/>
      </c>
      <c r="X6" s="4" t="n">
        <v>6</v>
      </c>
      <c r="Y6" s="4">
        <f>IF(F6&lt;5,"&lt;5 min",IF(F6&lt;15,"5-15 min",IF(F6&lt;30,"15-30 min","30+ min")))</f>
        <v/>
      </c>
    </row>
    <row r="7">
      <c r="A7" s="3" t="n">
        <v>46013</v>
      </c>
      <c r="B7" s="4" t="inlineStr">
        <is>
          <t>Monday</t>
        </is>
      </c>
      <c r="C7" s="4" t="inlineStr">
        <is>
          <t>Dec 25</t>
        </is>
      </c>
      <c r="D7" s="4" t="inlineStr">
        <is>
          <t>22/12/2025, 1:57 pm</t>
        </is>
      </c>
      <c r="E7" s="4" t="inlineStr">
        <is>
          <t>22/12/2025, 1:58 pm</t>
        </is>
      </c>
      <c r="F7" s="4">
        <f>(E7-D7)*24*60</f>
        <v/>
      </c>
      <c r="G7" s="4" t="inlineStr">
        <is>
          <t>AAKASH INDIA PROJECTS &amp; BUILDERS PRIVATE LIMITED</t>
        </is>
      </c>
      <c r="H7" s="4" t="inlineStr">
        <is>
          <t>001J100000Vo0f6IAB</t>
        </is>
      </c>
      <c r="I7" s="4" t="n">
        <v>831012</v>
      </c>
      <c r="J7" s="4" t="inlineStr">
        <is>
          <t>EAST SINGHBUM</t>
        </is>
      </c>
      <c r="K7" s="4" t="inlineStr"/>
      <c r="L7" s="4" t="inlineStr">
        <is>
          <t>Retailer PB</t>
        </is>
      </c>
      <c r="M7" s="4" t="inlineStr">
        <is>
          <t>Got future date</t>
        </is>
      </c>
      <c r="N7" s="4" t="inlineStr">
        <is>
          <t>Contractor of commercial and residential projects. Using tiscon , panther and rungta in his projects . Rates given 56500 landed to the custumer .</t>
        </is>
      </c>
      <c r="O7" s="4" t="inlineStr">
        <is>
          <t>Will share us inquiry as soon as received indent from project site .</t>
        </is>
      </c>
      <c r="P7" s="4" t="inlineStr">
        <is>
          <t>Contractor of commercial and residential projects. Using tiscon , panther and rungta in his projects . Rates given 56500 landed to the custumer . | Will share us inquiry as soon as received indent from project site .</t>
        </is>
      </c>
      <c r="Q7" s="4">
        <f>LEN(TRIM(P7))-LEN(SUBSTITUTE(P7," ",""))+1</f>
        <v/>
      </c>
      <c r="R7" s="4" t="n">
        <v>22.8119995</v>
      </c>
      <c r="S7" s="4" t="n">
        <v>86.2152099</v>
      </c>
      <c r="T7" s="4">
        <f>COUNTIF($G$2:G7,G7)</f>
        <v/>
      </c>
      <c r="U7" s="4">
        <f>IF(F7&lt;5,"YES","NO")</f>
        <v/>
      </c>
      <c r="V7" s="4">
        <f>IF(AND(N7&lt;&gt;"",O7&lt;&gt;""),"YES","NO")</f>
        <v/>
      </c>
      <c r="W7" s="4">
        <f>IF(HOUR(D7)&lt;12,"Morning",IF(HOUR(D7)&lt;17,"Afternoon","Evening"))</f>
        <v/>
      </c>
      <c r="X7" s="4" t="n">
        <v>7</v>
      </c>
      <c r="Y7" s="4">
        <f>IF(F7&lt;5,"&lt;5 min",IF(F7&lt;15,"5-15 min",IF(F7&lt;30,"15-30 min","30+ min")))</f>
        <v/>
      </c>
    </row>
    <row r="8">
      <c r="A8" s="3" t="n">
        <v>46020</v>
      </c>
      <c r="B8" s="4" t="inlineStr">
        <is>
          <t>Monday</t>
        </is>
      </c>
      <c r="C8" s="4" t="inlineStr">
        <is>
          <t>Dec 25</t>
        </is>
      </c>
      <c r="D8" s="4" t="inlineStr">
        <is>
          <t>29/12/2025, 2:02 pm</t>
        </is>
      </c>
      <c r="E8" s="4" t="inlineStr">
        <is>
          <t>29/12/2025, 2:04 pm</t>
        </is>
      </c>
      <c r="F8" s="4">
        <f>(E8-D8)*24*60</f>
        <v/>
      </c>
      <c r="G8" s="4" t="inlineStr">
        <is>
          <t>AAKASH INDIA PROJECTS &amp; BUILDERS PRIVATE LIMITED</t>
        </is>
      </c>
      <c r="H8" s="4" t="inlineStr">
        <is>
          <t>001J100000Vo0f6IAB</t>
        </is>
      </c>
      <c r="I8" s="4" t="n">
        <v>831012</v>
      </c>
      <c r="J8" s="4" t="inlineStr">
        <is>
          <t>EAST SINGHBUM</t>
        </is>
      </c>
      <c r="K8" s="4" t="inlineStr"/>
      <c r="L8" s="4" t="inlineStr">
        <is>
          <t>Retailer PB</t>
        </is>
      </c>
      <c r="M8" s="4" t="inlineStr">
        <is>
          <t>Got future date</t>
        </is>
      </c>
      <c r="N8" s="4" t="inlineStr">
        <is>
          <t>Ihb commercial and real estate projects contractor. Using jsw one Tata and rungta tmt. Rates given 57000 landed to the customer</t>
        </is>
      </c>
      <c r="O8" s="4" t="inlineStr">
        <is>
          <t>Will communicate us when indent of steel comes from working site.</t>
        </is>
      </c>
      <c r="P8" s="4" t="inlineStr">
        <is>
          <t>Ihb commercial and real estate projects contractor. Using jsw one Tata and rungta tmt. Rates given 57000 landed to the customer | Will communicate us when indent of steel comes from working site.</t>
        </is>
      </c>
      <c r="Q8" s="4">
        <f>LEN(TRIM(P8))-LEN(SUBSTITUTE(P8," ",""))+1</f>
        <v/>
      </c>
      <c r="R8" s="4" t="n">
        <v>22.8121112</v>
      </c>
      <c r="S8" s="4" t="n">
        <v>86.21514809999999</v>
      </c>
      <c r="T8" s="4">
        <f>COUNTIF($G$2:G8,G8)</f>
        <v/>
      </c>
      <c r="U8" s="4">
        <f>IF(F8&lt;5,"YES","NO")</f>
        <v/>
      </c>
      <c r="V8" s="4">
        <f>IF(AND(N8&lt;&gt;"",O8&lt;&gt;""),"YES","NO")</f>
        <v/>
      </c>
      <c r="W8" s="4">
        <f>IF(HOUR(D8)&lt;12,"Morning",IF(HOUR(D8)&lt;17,"Afternoon","Evening"))</f>
        <v/>
      </c>
      <c r="X8" s="4" t="n">
        <v>6</v>
      </c>
      <c r="Y8" s="4">
        <f>IF(F8&lt;5,"&lt;5 min",IF(F8&lt;15,"5-15 min",IF(F8&lt;30,"15-30 min","30+ min")))</f>
        <v/>
      </c>
    </row>
    <row r="9">
      <c r="A9" s="3" t="n">
        <v>46027</v>
      </c>
      <c r="B9" s="4" t="inlineStr">
        <is>
          <t>Monday</t>
        </is>
      </c>
      <c r="C9" s="4" t="inlineStr">
        <is>
          <t>Jan 26</t>
        </is>
      </c>
      <c r="D9" s="4" t="inlineStr">
        <is>
          <t>05/01/2026, 6:05 pm</t>
        </is>
      </c>
      <c r="E9" s="4" t="inlineStr">
        <is>
          <t>05/01/2026, 6:07 pm</t>
        </is>
      </c>
      <c r="F9" s="4">
        <f>(E9-D9)*24*60</f>
        <v/>
      </c>
      <c r="G9" s="4" t="inlineStr">
        <is>
          <t>AAKASH INDIA PROJECTS &amp; BUILDERS PRIVATE LIMITED</t>
        </is>
      </c>
      <c r="H9" s="4" t="inlineStr">
        <is>
          <t>001J100000Vo0f6IAB</t>
        </is>
      </c>
      <c r="I9" s="4" t="n">
        <v>831012</v>
      </c>
      <c r="J9" s="4" t="inlineStr">
        <is>
          <t>EAST SINGHBUM</t>
        </is>
      </c>
      <c r="K9" s="4" t="inlineStr"/>
      <c r="L9" s="4" t="inlineStr">
        <is>
          <t>Retailer PB</t>
        </is>
      </c>
      <c r="M9" s="4" t="inlineStr">
        <is>
          <t>Got future date</t>
        </is>
      </c>
      <c r="N9" s="4" t="inlineStr">
        <is>
          <t>IHB commercial real estate projects contactor. Rates given 60000 lanes to the CUSTUMER.</t>
        </is>
      </c>
      <c r="O9" s="4" t="inlineStr">
        <is>
          <t>Will connect us when indent received from site. Need to wait.</t>
        </is>
      </c>
      <c r="P9" s="4" t="inlineStr">
        <is>
          <t>IHB commercial real estate projects contactor. Rates given 60000 lanes to the CUSTUMER. | Will connect us when indent received from site. Need to wait.</t>
        </is>
      </c>
      <c r="Q9" s="4">
        <f>LEN(TRIM(P9))-LEN(SUBSTITUTE(P9," ",""))+1</f>
        <v/>
      </c>
      <c r="R9" s="4" t="n">
        <v>22.8119994</v>
      </c>
      <c r="S9" s="4" t="n">
        <v>86.2152052</v>
      </c>
      <c r="T9" s="4">
        <f>COUNTIF($G$2:G9,G9)</f>
        <v/>
      </c>
      <c r="U9" s="4">
        <f>IF(F9&lt;5,"YES","NO")</f>
        <v/>
      </c>
      <c r="V9" s="4">
        <f>IF(AND(N9&lt;&gt;"",O9&lt;&gt;""),"YES","NO")</f>
        <v/>
      </c>
      <c r="W9" s="4">
        <f>IF(HOUR(D9)&lt;12,"Morning",IF(HOUR(D9)&lt;17,"Afternoon","Evening"))</f>
        <v/>
      </c>
      <c r="X9" s="4" t="n">
        <v>7</v>
      </c>
      <c r="Y9" s="4">
        <f>IF(F9&lt;5,"&lt;5 min",IF(F9&lt;15,"5-15 min",IF(F9&lt;30,"15-30 min","30+ min")))</f>
        <v/>
      </c>
    </row>
    <row r="10">
      <c r="A10" s="3" t="n">
        <v>46035</v>
      </c>
      <c r="B10" s="4" t="inlineStr">
        <is>
          <t>Tuesday</t>
        </is>
      </c>
      <c r="C10" s="4" t="inlineStr">
        <is>
          <t>Jan 26</t>
        </is>
      </c>
      <c r="D10" s="4" t="inlineStr">
        <is>
          <t>13/01/2026, 7:33 pm</t>
        </is>
      </c>
      <c r="E10" s="4" t="inlineStr">
        <is>
          <t>13/01/2026, 7:42 pm</t>
        </is>
      </c>
      <c r="F10" s="4">
        <f>(E10-D10)*24*60</f>
        <v/>
      </c>
      <c r="G10" s="4" t="inlineStr">
        <is>
          <t>AAKASH INDIA PROJECTS &amp; BUILDERS PRIVATE LIMITED</t>
        </is>
      </c>
      <c r="H10" s="4" t="inlineStr">
        <is>
          <t>001J100000Vo0f6IAB</t>
        </is>
      </c>
      <c r="I10" s="4" t="n">
        <v>831012</v>
      </c>
      <c r="J10" s="4" t="inlineStr">
        <is>
          <t>EAST SINGHBUM</t>
        </is>
      </c>
      <c r="K10" s="4" t="inlineStr"/>
      <c r="L10" s="4" t="inlineStr">
        <is>
          <t>Retailer PB</t>
        </is>
      </c>
      <c r="M10" s="4" t="inlineStr">
        <is>
          <t>Got future date</t>
        </is>
      </c>
      <c r="N10" s="4" t="inlineStr">
        <is>
          <t>Commercial project and real estate projects contactor.Using Tata tiscon, panther and RUNGTA TMT.. Rates given 61500 landed to the CUSTUMER.</t>
        </is>
      </c>
      <c r="O10" s="4" t="inlineStr">
        <is>
          <t>Need time. Will share inquiries with us on Mail. Will let us know.</t>
        </is>
      </c>
      <c r="P10" s="4" t="inlineStr">
        <is>
          <t>Commercial project and real estate projects contactor.Using Tata tiscon, panther and RUNGTA TMT.. Rates given 61500 landed to the CUSTUMER. | Need time. Will share inquiries with us on Mail. Will let us know.</t>
        </is>
      </c>
      <c r="Q10" s="4">
        <f>LEN(TRIM(P10))-LEN(SUBSTITUTE(P10," ",""))+1</f>
        <v/>
      </c>
      <c r="R10" s="4" t="n">
        <v>22.8123657</v>
      </c>
      <c r="S10" s="4" t="n">
        <v>86.2156287</v>
      </c>
      <c r="T10" s="4">
        <f>COUNTIF($G$2:G10,G10)</f>
        <v/>
      </c>
      <c r="U10" s="4">
        <f>IF(F10&lt;5,"YES","NO")</f>
        <v/>
      </c>
      <c r="V10" s="4">
        <f>IF(AND(N10&lt;&gt;"",O10&lt;&gt;""),"YES","NO")</f>
        <v/>
      </c>
      <c r="W10" s="4">
        <f>IF(HOUR(D10)&lt;12,"Morning",IF(HOUR(D10)&lt;17,"Afternoon","Evening"))</f>
        <v/>
      </c>
      <c r="X10" s="4" t="n">
        <v>6</v>
      </c>
      <c r="Y10" s="4">
        <f>IF(F10&lt;5,"&lt;5 min",IF(F10&lt;15,"5-15 min",IF(F10&lt;30,"15-30 min","30+ min")))</f>
        <v/>
      </c>
    </row>
    <row r="11">
      <c r="A11" s="3" t="n">
        <v>46041</v>
      </c>
      <c r="B11" s="4" t="inlineStr">
        <is>
          <t>Monday</t>
        </is>
      </c>
      <c r="C11" s="4" t="inlineStr">
        <is>
          <t>Jan 26</t>
        </is>
      </c>
      <c r="D11" s="4" t="inlineStr">
        <is>
          <t>19/01/2026, 6:44 pm</t>
        </is>
      </c>
      <c r="E11" s="4" t="inlineStr">
        <is>
          <t>19/01/2026, 6:45 pm</t>
        </is>
      </c>
      <c r="F11" s="4">
        <f>(E11-D11)*24*60</f>
        <v/>
      </c>
      <c r="G11" s="4" t="inlineStr">
        <is>
          <t>AAKASH INDIA PROJECTS &amp; BUILDERS PRIVATE LIMITED</t>
        </is>
      </c>
      <c r="H11" s="4" t="inlineStr">
        <is>
          <t>001J100000Vo0f6IAB</t>
        </is>
      </c>
      <c r="I11" s="4" t="n">
        <v>831012</v>
      </c>
      <c r="J11" s="4" t="inlineStr">
        <is>
          <t>EAST SINGHBUM</t>
        </is>
      </c>
      <c r="K11" s="4" t="inlineStr"/>
      <c r="L11" s="4" t="inlineStr">
        <is>
          <t>Retailer PB</t>
        </is>
      </c>
      <c r="M11" s="4" t="inlineStr">
        <is>
          <t>Got future date</t>
        </is>
      </c>
      <c r="N11" s="4" t="inlineStr">
        <is>
          <t>Contractor and a hietect of real estate commercial projects contactor. Using tiscon and RUNGTA jsw one. Rates given 63000 landed to the CUSTUMER.</t>
        </is>
      </c>
      <c r="O11" s="4" t="inlineStr">
        <is>
          <t>Will let us know when inquiry comes from any site. Will connect us.</t>
        </is>
      </c>
      <c r="P11" s="4" t="inlineStr">
        <is>
          <t>Contractor and a hietect of real estate commercial projects contactor. Using tiscon and RUNGTA jsw one. Rates given 63000 landed to the CUSTUMER. | Will let us know when inquiry comes from any site. Will connect us.</t>
        </is>
      </c>
      <c r="Q11" s="4">
        <f>LEN(TRIM(P11))-LEN(SUBSTITUTE(P11," ",""))+1</f>
        <v/>
      </c>
      <c r="R11" s="4" t="n">
        <v>22.8121771</v>
      </c>
      <c r="S11" s="4" t="n">
        <v>86.21524220000001</v>
      </c>
      <c r="T11" s="4">
        <f>COUNTIF($G$2:G11,G11)</f>
        <v/>
      </c>
      <c r="U11" s="4">
        <f>IF(F11&lt;5,"YES","NO")</f>
        <v/>
      </c>
      <c r="V11" s="4">
        <f>IF(AND(N11&lt;&gt;"",O11&lt;&gt;""),"YES","NO")</f>
        <v/>
      </c>
      <c r="W11" s="4">
        <f>IF(HOUR(D11)&lt;12,"Morning",IF(HOUR(D11)&lt;17,"Afternoon","Evening"))</f>
        <v/>
      </c>
      <c r="X11" s="4" t="n">
        <v>6</v>
      </c>
      <c r="Y11" s="4">
        <f>IF(F11&lt;5,"&lt;5 min",IF(F11&lt;15,"5-15 min",IF(F11&lt;30,"15-30 min","30+ min")))</f>
        <v/>
      </c>
    </row>
    <row r="12">
      <c r="A12" s="3" t="n">
        <v>46057</v>
      </c>
      <c r="B12" s="4" t="inlineStr">
        <is>
          <t>Wednesday</t>
        </is>
      </c>
      <c r="C12" s="4" t="inlineStr">
        <is>
          <t>Feb 26</t>
        </is>
      </c>
      <c r="D12" s="4" t="inlineStr">
        <is>
          <t>04/02/2026, 10:47 am</t>
        </is>
      </c>
      <c r="E12" s="4" t="inlineStr">
        <is>
          <t>04/02/2026, 10:48 am</t>
        </is>
      </c>
      <c r="F12" s="4">
        <f>(E12-D12)*24*60</f>
        <v/>
      </c>
      <c r="G12" s="4" t="inlineStr">
        <is>
          <t>AAKASH INDIA PROJECTS &amp; BUILDERS PRIVATE LIMITED</t>
        </is>
      </c>
      <c r="H12" s="4" t="inlineStr">
        <is>
          <t>001J100000Vo0f6IAB</t>
        </is>
      </c>
      <c r="I12" s="4" t="n">
        <v>831012</v>
      </c>
      <c r="J12" s="4" t="inlineStr">
        <is>
          <t>EAST SINGHBUM</t>
        </is>
      </c>
      <c r="K12" s="4" t="inlineStr"/>
      <c r="L12" s="4" t="inlineStr">
        <is>
          <t>Retailer PB</t>
        </is>
      </c>
      <c r="M12" s="4" t="inlineStr">
        <is>
          <t>Got future date</t>
        </is>
      </c>
      <c r="N12" s="4" t="inlineStr">
        <is>
          <t>Contractor and architect using Tata tiscon rungta and panther. Rates given 63 landed for site. Using rungta now.</t>
        </is>
      </c>
      <c r="O12" s="4" t="inlineStr">
        <is>
          <t>Will let us know. Purchased rungta @ 55 landed. Will share inquiries of another site also. Asking to wait.</t>
        </is>
      </c>
      <c r="P12" s="4" t="inlineStr">
        <is>
          <t>Contractor and architect using Tata tiscon rungta and panther. Rates given 63 landed for site. Using rungta now. | Will let us know. Purchased rungta @ 55 landed. Will share inquiries of another site also. Asking to wait.</t>
        </is>
      </c>
      <c r="Q12" s="4">
        <f>LEN(TRIM(P12))-LEN(SUBSTITUTE(P12," ",""))+1</f>
        <v/>
      </c>
      <c r="R12" s="4" t="n">
        <v>22.8119461</v>
      </c>
      <c r="S12" s="4" t="n">
        <v>86.2152114</v>
      </c>
      <c r="T12" s="4">
        <f>COUNTIF($G$2:G12,G12)</f>
        <v/>
      </c>
      <c r="U12" s="4">
        <f>IF(F12&lt;5,"YES","NO")</f>
        <v/>
      </c>
      <c r="V12" s="4">
        <f>IF(AND(N12&lt;&gt;"",O12&lt;&gt;""),"YES","NO")</f>
        <v/>
      </c>
      <c r="W12" s="4">
        <f>IF(HOUR(D12)&lt;12,"Morning",IF(HOUR(D12)&lt;17,"Afternoon","Evening"))</f>
        <v/>
      </c>
      <c r="X12" s="4" t="n">
        <v>2</v>
      </c>
      <c r="Y12" s="4">
        <f>IF(F12&lt;5,"&lt;5 min",IF(F12&lt;15,"5-15 min",IF(F12&lt;30,"15-30 min","30+ min")))</f>
        <v/>
      </c>
    </row>
    <row r="13">
      <c r="A13" s="3" t="n">
        <v>45965</v>
      </c>
      <c r="B13" s="4" t="inlineStr">
        <is>
          <t>Tuesday</t>
        </is>
      </c>
      <c r="C13" s="4" t="inlineStr">
        <is>
          <t>Nov 25</t>
        </is>
      </c>
      <c r="D13" s="4" t="inlineStr">
        <is>
          <t>04/11/2025, 12:27 pm</t>
        </is>
      </c>
      <c r="E13" s="4" t="inlineStr">
        <is>
          <t>04/11/2025, 12:28 pm</t>
        </is>
      </c>
      <c r="F13" s="4">
        <f>(E13-D13)*24*60</f>
        <v/>
      </c>
      <c r="G13" s="4" t="inlineStr">
        <is>
          <t>AAKRITI CONSULTANTS</t>
        </is>
      </c>
      <c r="H13" s="4" t="inlineStr">
        <is>
          <t>001J100000Vo4iiIAB</t>
        </is>
      </c>
      <c r="I13" s="4" t="n">
        <v>831001</v>
      </c>
      <c r="J13" s="4" t="inlineStr">
        <is>
          <t>EAST SINGHBUM</t>
        </is>
      </c>
      <c r="K13" s="4" t="inlineStr"/>
      <c r="L13" s="4" t="inlineStr">
        <is>
          <t>Retailer PB</t>
        </is>
      </c>
      <c r="M13" s="4" t="inlineStr">
        <is>
          <t>Got future date</t>
        </is>
      </c>
      <c r="N13" s="4" t="inlineStr">
        <is>
          <t>Contractor and architect of ihb commercial and real estate projects . Using panther and Tata.</t>
        </is>
      </c>
      <c r="O13" s="4" t="inlineStr">
        <is>
          <t>Rates given 47 basic to the customer. Taking rungta now . Will share inquiry soon .</t>
        </is>
      </c>
      <c r="P13" s="4" t="inlineStr">
        <is>
          <t>Contractor and architect of ihb commercial and real estate projects . Using panther and Tata. | Rates given 47 basic to the customer. Taking rungta now . Will share inquiry soon .</t>
        </is>
      </c>
      <c r="Q13" s="4">
        <f>LEN(TRIM(P13))-LEN(SUBSTITUTE(P13," ",""))+1</f>
        <v/>
      </c>
      <c r="R13" s="4" t="n">
        <v>22.81199</v>
      </c>
      <c r="S13" s="4" t="n">
        <v>86.215175</v>
      </c>
      <c r="T13" s="4">
        <f>COUNTIF($G$2:G13,G13)</f>
        <v/>
      </c>
      <c r="U13" s="4">
        <f>IF(F13&lt;5,"YES","NO")</f>
        <v/>
      </c>
      <c r="V13" s="4">
        <f>IF(AND(N13&lt;&gt;"",O13&lt;&gt;""),"YES","NO")</f>
        <v/>
      </c>
      <c r="W13" s="4">
        <f>IF(HOUR(D13)&lt;12,"Morning",IF(HOUR(D13)&lt;17,"Afternoon","Evening"))</f>
        <v/>
      </c>
      <c r="X13" s="4" t="n">
        <v>7</v>
      </c>
      <c r="Y13" s="4">
        <f>IF(F13&lt;5,"&lt;5 min",IF(F13&lt;15,"5-15 min",IF(F13&lt;30,"15-30 min","30+ min")))</f>
        <v/>
      </c>
    </row>
    <row r="14">
      <c r="A14" s="3" t="n">
        <v>45981</v>
      </c>
      <c r="B14" s="4" t="inlineStr">
        <is>
          <t>Thursday</t>
        </is>
      </c>
      <c r="C14" s="4" t="inlineStr">
        <is>
          <t>Nov 25</t>
        </is>
      </c>
      <c r="D14" s="4" t="inlineStr">
        <is>
          <t>20/11/2025, 4:43 pm</t>
        </is>
      </c>
      <c r="E14" s="4" t="inlineStr">
        <is>
          <t>20/11/2025, 4:45 pm</t>
        </is>
      </c>
      <c r="F14" s="4">
        <f>(E14-D14)*24*60</f>
        <v/>
      </c>
      <c r="G14" s="4" t="inlineStr">
        <is>
          <t>AAKRITI CONSULTANTS</t>
        </is>
      </c>
      <c r="H14" s="4" t="inlineStr">
        <is>
          <t>001J100000Vo4iiIAB</t>
        </is>
      </c>
      <c r="I14" s="4" t="n">
        <v>831001</v>
      </c>
      <c r="J14" s="4" t="inlineStr">
        <is>
          <t>EAST SINGHBUM</t>
        </is>
      </c>
      <c r="K14" s="4" t="inlineStr"/>
      <c r="L14" s="4" t="inlineStr">
        <is>
          <t>Retailer PB</t>
        </is>
      </c>
      <c r="M14" s="4" t="inlineStr">
        <is>
          <t>Got future date</t>
        </is>
      </c>
      <c r="N14" s="4" t="inlineStr">
        <is>
          <t>Archietect and contractor of commercial and ihb projects. Rates given 54000 landed to the dealer.</t>
        </is>
      </c>
      <c r="O14" s="4" t="inlineStr">
        <is>
          <t>Will share inquiry once received from end user. Asking to wait.</t>
        </is>
      </c>
      <c r="P14" s="4" t="inlineStr">
        <is>
          <t>Archietect and contractor of commercial and ihb projects. Rates given 54000 landed to the dealer. | Will share inquiry once received from end user. Asking to wait.</t>
        </is>
      </c>
      <c r="Q14" s="4">
        <f>LEN(TRIM(P14))-LEN(SUBSTITUTE(P14," ",""))+1</f>
        <v/>
      </c>
      <c r="R14" s="4" t="n">
        <v>22.8121587</v>
      </c>
      <c r="S14" s="4" t="n">
        <v>86.2152231</v>
      </c>
      <c r="T14" s="4">
        <f>COUNTIF($G$2:G14,G14)</f>
        <v/>
      </c>
      <c r="U14" s="4">
        <f>IF(F14&lt;5,"YES","NO")</f>
        <v/>
      </c>
      <c r="V14" s="4">
        <f>IF(AND(N14&lt;&gt;"",O14&lt;&gt;""),"YES","NO")</f>
        <v/>
      </c>
      <c r="W14" s="4">
        <f>IF(HOUR(D14)&lt;12,"Morning",IF(HOUR(D14)&lt;17,"Afternoon","Evening"))</f>
        <v/>
      </c>
      <c r="X14" s="4" t="n">
        <v>6</v>
      </c>
      <c r="Y14" s="4">
        <f>IF(F14&lt;5,"&lt;5 min",IF(F14&lt;15,"5-15 min",IF(F14&lt;30,"15-30 min","30+ min")))</f>
        <v/>
      </c>
    </row>
    <row r="15">
      <c r="A15" s="3" t="n">
        <v>45993</v>
      </c>
      <c r="B15" s="4" t="inlineStr">
        <is>
          <t>Tuesday</t>
        </is>
      </c>
      <c r="C15" s="4" t="inlineStr">
        <is>
          <t>Dec 25</t>
        </is>
      </c>
      <c r="D15" s="4" t="inlineStr">
        <is>
          <t>02/12/2025, 11:46 am</t>
        </is>
      </c>
      <c r="E15" s="4" t="inlineStr">
        <is>
          <t>02/12/2025, 11:50 am</t>
        </is>
      </c>
      <c r="F15" s="4">
        <f>(E15-D15)*24*60</f>
        <v/>
      </c>
      <c r="G15" s="4" t="inlineStr">
        <is>
          <t>AAKRITI CONSULTANTS</t>
        </is>
      </c>
      <c r="H15" s="4" t="inlineStr">
        <is>
          <t>001J100000Vo4iiIAB</t>
        </is>
      </c>
      <c r="I15" s="4" t="n">
        <v>831001</v>
      </c>
      <c r="J15" s="4" t="inlineStr">
        <is>
          <t>EAST SINGHBUM</t>
        </is>
      </c>
      <c r="K15" s="4" t="inlineStr"/>
      <c r="L15" s="4" t="inlineStr">
        <is>
          <t>Retailer PB</t>
        </is>
      </c>
      <c r="M15" s="4" t="inlineStr">
        <is>
          <t>Got future date</t>
        </is>
      </c>
      <c r="N15" s="4" t="inlineStr">
        <is>
          <t>Influencer contractor and architect of commercial and ihb projects. Using panther and rungta . Rates given 54000 landed to the custumer will connect and pass on demand</t>
        </is>
      </c>
      <c r="O15" s="4" t="inlineStr">
        <is>
          <t>Will be connecting as soon as demand comes by him for rates .</t>
        </is>
      </c>
      <c r="P15" s="4" t="inlineStr">
        <is>
          <t>Influencer contractor and architect of commercial and ihb projects. Using panther and rungta . Rates given 54000 landed to the custumer will connect and pass on demand | Will be connecting as soon as demand comes by him for rates .</t>
        </is>
      </c>
      <c r="Q15" s="4">
        <f>LEN(TRIM(P15))-LEN(SUBSTITUTE(P15," ",""))+1</f>
        <v/>
      </c>
      <c r="R15" s="4" t="n">
        <v>22.8119835</v>
      </c>
      <c r="S15" s="4" t="n">
        <v>86.21519410000001</v>
      </c>
      <c r="T15" s="4">
        <f>COUNTIF($G$2:G15,G15)</f>
        <v/>
      </c>
      <c r="U15" s="4">
        <f>IF(F15&lt;5,"YES","NO")</f>
        <v/>
      </c>
      <c r="V15" s="4">
        <f>IF(AND(N15&lt;&gt;"",O15&lt;&gt;""),"YES","NO")</f>
        <v/>
      </c>
      <c r="W15" s="4">
        <f>IF(HOUR(D15)&lt;12,"Morning",IF(HOUR(D15)&lt;17,"Afternoon","Evening"))</f>
        <v/>
      </c>
      <c r="X15" s="4" t="n">
        <v>7</v>
      </c>
      <c r="Y15" s="4">
        <f>IF(F15&lt;5,"&lt;5 min",IF(F15&lt;15,"5-15 min",IF(F15&lt;30,"15-30 min","30+ min")))</f>
        <v/>
      </c>
    </row>
    <row r="16">
      <c r="A16" s="3" t="n">
        <v>45999</v>
      </c>
      <c r="B16" s="4" t="inlineStr">
        <is>
          <t>Monday</t>
        </is>
      </c>
      <c r="C16" s="4" t="inlineStr">
        <is>
          <t>Dec 25</t>
        </is>
      </c>
      <c r="D16" s="4" t="inlineStr">
        <is>
          <t>08/12/2025, 12:07 pm</t>
        </is>
      </c>
      <c r="E16" s="4" t="inlineStr">
        <is>
          <t>08/12/2025, 12:11 pm</t>
        </is>
      </c>
      <c r="F16" s="4">
        <f>(E16-D16)*24*60</f>
        <v/>
      </c>
      <c r="G16" s="4" t="inlineStr">
        <is>
          <t>AAKRITI CONSULTANTS</t>
        </is>
      </c>
      <c r="H16" s="4" t="inlineStr">
        <is>
          <t>001J100000Vo4iiIAB</t>
        </is>
      </c>
      <c r="I16" s="4" t="n">
        <v>831001</v>
      </c>
      <c r="J16" s="4" t="inlineStr">
        <is>
          <t>EAST SINGHBUM</t>
        </is>
      </c>
      <c r="K16" s="4" t="inlineStr"/>
      <c r="L16" s="4" t="inlineStr">
        <is>
          <t>Retailer PB</t>
        </is>
      </c>
      <c r="M16" s="4" t="inlineStr">
        <is>
          <t>Got future date</t>
        </is>
      </c>
      <c r="N16" s="4" t="inlineStr">
        <is>
          <t>Archietect and contractor of commercial and residential projects. Rates given 55000 to the customer.</t>
        </is>
      </c>
      <c r="O16" s="4" t="inlineStr">
        <is>
          <t>Currently using rungta and shyam steel . Will connect us .</t>
        </is>
      </c>
      <c r="P16" s="4" t="inlineStr">
        <is>
          <t>Archietect and contractor of commercial and residential projects. Rates given 55000 to the customer. | Currently using rungta and shyam steel . Will connect us .</t>
        </is>
      </c>
      <c r="Q16" s="4">
        <f>LEN(TRIM(P16))-LEN(SUBSTITUTE(P16," ",""))+1</f>
        <v/>
      </c>
      <c r="R16" s="4" t="n">
        <v>22.8121843</v>
      </c>
      <c r="S16" s="4" t="n">
        <v>86.21520099999999</v>
      </c>
      <c r="T16" s="4">
        <f>COUNTIF($G$2:G16,G16)</f>
        <v/>
      </c>
      <c r="U16" s="4">
        <f>IF(F16&lt;5,"YES","NO")</f>
        <v/>
      </c>
      <c r="V16" s="4">
        <f>IF(AND(N16&lt;&gt;"",O16&lt;&gt;""),"YES","NO")</f>
        <v/>
      </c>
      <c r="W16" s="4">
        <f>IF(HOUR(D16)&lt;12,"Morning",IF(HOUR(D16)&lt;17,"Afternoon","Evening"))</f>
        <v/>
      </c>
      <c r="X16" s="4" t="n">
        <v>6</v>
      </c>
      <c r="Y16" s="4">
        <f>IF(F16&lt;5,"&lt;5 min",IF(F16&lt;15,"5-15 min",IF(F16&lt;30,"15-30 min","30+ min")))</f>
        <v/>
      </c>
    </row>
    <row r="17">
      <c r="A17" s="3" t="n">
        <v>46017</v>
      </c>
      <c r="B17" s="4" t="inlineStr">
        <is>
          <t>Friday</t>
        </is>
      </c>
      <c r="C17" s="4" t="inlineStr">
        <is>
          <t>Dec 25</t>
        </is>
      </c>
      <c r="D17" s="4" t="inlineStr">
        <is>
          <t>26/12/2025, 11:07 am</t>
        </is>
      </c>
      <c r="E17" s="4" t="inlineStr">
        <is>
          <t>26/12/2025, 11:08 am</t>
        </is>
      </c>
      <c r="F17" s="4">
        <f>(E17-D17)*24*60</f>
        <v/>
      </c>
      <c r="G17" s="4" t="inlineStr">
        <is>
          <t>AAKRITI CONSULTANTS</t>
        </is>
      </c>
      <c r="H17" s="4" t="inlineStr">
        <is>
          <t>001J100000Vo4iiIAB</t>
        </is>
      </c>
      <c r="I17" s="4" t="n">
        <v>831001</v>
      </c>
      <c r="J17" s="4" t="inlineStr">
        <is>
          <t>EAST SINGHBUM</t>
        </is>
      </c>
      <c r="K17" s="4" t="inlineStr"/>
      <c r="L17" s="4" t="inlineStr">
        <is>
          <t>Retailer PB</t>
        </is>
      </c>
      <c r="M17" s="4" t="inlineStr">
        <is>
          <t>Got future date</t>
        </is>
      </c>
      <c r="N17" s="4" t="inlineStr">
        <is>
          <t>Contractor and engineer of real estate and commercial projects . Using panther and rungta . Rates given 57500 landed to custumer.</t>
        </is>
      </c>
      <c r="O17" s="4" t="inlineStr">
        <is>
          <t>Will connect us . When requirement comes from site.</t>
        </is>
      </c>
      <c r="P17" s="4" t="inlineStr">
        <is>
          <t>Contractor and engineer of real estate and commercial projects . Using panther and rungta . Rates given 57500 landed to custumer. | Will connect us . When requirement comes from site.</t>
        </is>
      </c>
      <c r="Q17" s="4">
        <f>LEN(TRIM(P17))-LEN(SUBSTITUTE(P17," ",""))+1</f>
        <v/>
      </c>
      <c r="R17" s="4" t="n">
        <v>22.8119965</v>
      </c>
      <c r="S17" s="4" t="n">
        <v>86.215203</v>
      </c>
      <c r="T17" s="4">
        <f>COUNTIF($G$2:G17,G17)</f>
        <v/>
      </c>
      <c r="U17" s="4">
        <f>IF(F17&lt;5,"YES","NO")</f>
        <v/>
      </c>
      <c r="V17" s="4">
        <f>IF(AND(N17&lt;&gt;"",O17&lt;&gt;""),"YES","NO")</f>
        <v/>
      </c>
      <c r="W17" s="4">
        <f>IF(HOUR(D17)&lt;12,"Morning",IF(HOUR(D17)&lt;17,"Afternoon","Evening"))</f>
        <v/>
      </c>
      <c r="X17" s="4" t="n">
        <v>6</v>
      </c>
      <c r="Y17" s="4">
        <f>IF(F17&lt;5,"&lt;5 min",IF(F17&lt;15,"5-15 min",IF(F17&lt;30,"15-30 min","30+ min")))</f>
        <v/>
      </c>
    </row>
    <row r="18">
      <c r="A18" s="3" t="n">
        <v>46027</v>
      </c>
      <c r="B18" s="4" t="inlineStr">
        <is>
          <t>Monday</t>
        </is>
      </c>
      <c r="C18" s="4" t="inlineStr">
        <is>
          <t>Jan 26</t>
        </is>
      </c>
      <c r="D18" s="4" t="inlineStr">
        <is>
          <t>05/01/2026, 7:20 pm</t>
        </is>
      </c>
      <c r="E18" s="4" t="inlineStr">
        <is>
          <t>05/01/2026, 7:22 pm</t>
        </is>
      </c>
      <c r="F18" s="4">
        <f>(E18-D18)*24*60</f>
        <v/>
      </c>
      <c r="G18" s="4" t="inlineStr">
        <is>
          <t>AAKRITI CONSULTANTS</t>
        </is>
      </c>
      <c r="H18" s="4" t="inlineStr">
        <is>
          <t>001J100000Vo4iiIAB</t>
        </is>
      </c>
      <c r="I18" s="4" t="n">
        <v>831001</v>
      </c>
      <c r="J18" s="4" t="inlineStr">
        <is>
          <t>EAST SINGHBUM</t>
        </is>
      </c>
      <c r="K18" s="4" t="inlineStr"/>
      <c r="L18" s="4" t="inlineStr">
        <is>
          <t>Retailer PB</t>
        </is>
      </c>
      <c r="M18" s="4" t="inlineStr">
        <is>
          <t>Got future date</t>
        </is>
      </c>
      <c r="N18" s="4" t="inlineStr">
        <is>
          <t>IHB and commercial project contractor and Sr hietect. Using rungta and Tata for his projects. Rates given 59500 landed.</t>
        </is>
      </c>
      <c r="O18" s="4" t="inlineStr">
        <is>
          <t>Will connect us when inquiry comes from site or end CUSTUMER.</t>
        </is>
      </c>
      <c r="P18" s="4" t="inlineStr">
        <is>
          <t>IHB and commercial project contractor and Sr hietect. Using rungta and Tata for his projects. Rates given 59500 landed. | Will connect us when inquiry comes from site or end CUSTUMER.</t>
        </is>
      </c>
      <c r="Q18" s="4">
        <f>LEN(TRIM(P18))-LEN(SUBSTITUTE(P18," ",""))+1</f>
        <v/>
      </c>
      <c r="R18" s="4" t="n">
        <v>22.811996</v>
      </c>
      <c r="S18" s="4" t="n">
        <v>86.2152061</v>
      </c>
      <c r="T18" s="4">
        <f>COUNTIF($G$2:G18,G18)</f>
        <v/>
      </c>
      <c r="U18" s="4">
        <f>IF(F18&lt;5,"YES","NO")</f>
        <v/>
      </c>
      <c r="V18" s="4">
        <f>IF(AND(N18&lt;&gt;"",O18&lt;&gt;""),"YES","NO")</f>
        <v/>
      </c>
      <c r="W18" s="4">
        <f>IF(HOUR(D18)&lt;12,"Morning",IF(HOUR(D18)&lt;17,"Afternoon","Evening"))</f>
        <v/>
      </c>
      <c r="X18" s="4" t="n">
        <v>7</v>
      </c>
      <c r="Y18" s="4">
        <f>IF(F18&lt;5,"&lt;5 min",IF(F18&lt;15,"5-15 min",IF(F18&lt;30,"15-30 min","30+ min")))</f>
        <v/>
      </c>
    </row>
    <row r="19">
      <c r="A19" s="3" t="n">
        <v>46036</v>
      </c>
      <c r="B19" s="4" t="inlineStr">
        <is>
          <t>Wednesday</t>
        </is>
      </c>
      <c r="C19" s="4" t="inlineStr">
        <is>
          <t>Jan 26</t>
        </is>
      </c>
      <c r="D19" s="4" t="inlineStr">
        <is>
          <t>14/01/2026, 11:23 am</t>
        </is>
      </c>
      <c r="E19" s="4" t="inlineStr">
        <is>
          <t>14/01/2026, 11:24 am</t>
        </is>
      </c>
      <c r="F19" s="4">
        <f>(E19-D19)*24*60</f>
        <v/>
      </c>
      <c r="G19" s="4" t="inlineStr">
        <is>
          <t>AAKRITI CONSULTANTS</t>
        </is>
      </c>
      <c r="H19" s="4" t="inlineStr">
        <is>
          <t>001J100000Vo4iiIAB</t>
        </is>
      </c>
      <c r="I19" s="4" t="n">
        <v>831001</v>
      </c>
      <c r="J19" s="4" t="inlineStr">
        <is>
          <t>EAST SINGHBUM</t>
        </is>
      </c>
      <c r="K19" s="4" t="inlineStr"/>
      <c r="L19" s="4" t="inlineStr">
        <is>
          <t>Retailer PB</t>
        </is>
      </c>
      <c r="M19" s="4" t="inlineStr">
        <is>
          <t>Got future date</t>
        </is>
      </c>
      <c r="N19" s="4" t="inlineStr">
        <is>
          <t>Architecture and contractor of commercial IHB and real estate project. Using Tata tiscon rungta tmt and panther TMT. Rates given 61500 landed</t>
        </is>
      </c>
      <c r="O19" s="4" t="inlineStr">
        <is>
          <t>Rates given to the CUSTUMER. Working with the projects site. Will connect us.</t>
        </is>
      </c>
      <c r="P19" s="4" t="inlineStr">
        <is>
          <t>Architecture and contractor of commercial IHB and real estate project. Using Tata tiscon rungta tmt and panther TMT. Rates given 61500 landed | Rates given to the CUSTUMER. Working with the projects site. Will connect us.</t>
        </is>
      </c>
      <c r="Q19" s="4">
        <f>LEN(TRIM(P19))-LEN(SUBSTITUTE(P19," ",""))+1</f>
        <v/>
      </c>
      <c r="R19" s="4" t="n">
        <v>22.8119268</v>
      </c>
      <c r="S19" s="4" t="n">
        <v>86.21521559999999</v>
      </c>
      <c r="T19" s="4">
        <f>COUNTIF($G$2:G19,G19)</f>
        <v/>
      </c>
      <c r="U19" s="4">
        <f>IF(F19&lt;5,"YES","NO")</f>
        <v/>
      </c>
      <c r="V19" s="4">
        <f>IF(AND(N19&lt;&gt;"",O19&lt;&gt;""),"YES","NO")</f>
        <v/>
      </c>
      <c r="W19" s="4">
        <f>IF(HOUR(D19)&lt;12,"Morning",IF(HOUR(D19)&lt;17,"Afternoon","Evening"))</f>
        <v/>
      </c>
      <c r="X19" s="4" t="n">
        <v>6</v>
      </c>
      <c r="Y19" s="4">
        <f>IF(F19&lt;5,"&lt;5 min",IF(F19&lt;15,"5-15 min",IF(F19&lt;30,"15-30 min","30+ min")))</f>
        <v/>
      </c>
    </row>
    <row r="20">
      <c r="A20" s="3" t="n">
        <v>46050</v>
      </c>
      <c r="B20" s="4" t="inlineStr">
        <is>
          <t>Wednesday</t>
        </is>
      </c>
      <c r="C20" s="4" t="inlineStr">
        <is>
          <t>Jan 26</t>
        </is>
      </c>
      <c r="D20" s="4" t="inlineStr">
        <is>
          <t>28/01/2026, 6:41 pm</t>
        </is>
      </c>
      <c r="E20" s="4" t="inlineStr">
        <is>
          <t>28/01/2026, 6:47 pm</t>
        </is>
      </c>
      <c r="F20" s="4">
        <f>(E20-D20)*24*60</f>
        <v/>
      </c>
      <c r="G20" s="4" t="inlineStr">
        <is>
          <t>AAKRITI CONSULTANTS</t>
        </is>
      </c>
      <c r="H20" s="4" t="inlineStr">
        <is>
          <t>001J100000Vo4iiIAB</t>
        </is>
      </c>
      <c r="I20" s="4" t="n">
        <v>831001</v>
      </c>
      <c r="J20" s="4" t="inlineStr">
        <is>
          <t>EAST SINGHBUM</t>
        </is>
      </c>
      <c r="K20" s="4" t="inlineStr"/>
      <c r="L20" s="4" t="inlineStr">
        <is>
          <t>Retailer PB</t>
        </is>
      </c>
      <c r="M20" s="4" t="inlineStr">
        <is>
          <t>Got future date</t>
        </is>
      </c>
      <c r="N20" s="4" t="inlineStr">
        <is>
          <t>Architect and contractor of commercial and IHB projects. Using rungta and panther TMT. Rates given 64000 landed.</t>
        </is>
      </c>
      <c r="O20" s="4" t="inlineStr">
        <is>
          <t>Will connect us on inquiry. Last purchased rungta tmt @ 54 for site. Will connect us.</t>
        </is>
      </c>
      <c r="P20" s="4" t="inlineStr">
        <is>
          <t>Architect and contractor of commercial and IHB projects. Using rungta and panther TMT. Rates given 64000 landed. | Will connect us on inquiry. Last purchased rungta tmt @ 54 for site. Will connect us.</t>
        </is>
      </c>
      <c r="Q20" s="4">
        <f>LEN(TRIM(P20))-LEN(SUBSTITUTE(P20," ",""))+1</f>
        <v/>
      </c>
      <c r="R20" s="4" t="n">
        <v>22.8121176</v>
      </c>
      <c r="S20" s="4" t="n">
        <v>86.215131</v>
      </c>
      <c r="T20" s="4">
        <f>COUNTIF($G$2:G20,G20)</f>
        <v/>
      </c>
      <c r="U20" s="4">
        <f>IF(F20&lt;5,"YES","NO")</f>
        <v/>
      </c>
      <c r="V20" s="4">
        <f>IF(AND(N20&lt;&gt;"",O20&lt;&gt;""),"YES","NO")</f>
        <v/>
      </c>
      <c r="W20" s="4">
        <f>IF(HOUR(D20)&lt;12,"Morning",IF(HOUR(D20)&lt;17,"Afternoon","Evening"))</f>
        <v/>
      </c>
      <c r="X20" s="4" t="n">
        <v>7</v>
      </c>
      <c r="Y20" s="4">
        <f>IF(F20&lt;5,"&lt;5 min",IF(F20&lt;15,"5-15 min",IF(F20&lt;30,"15-30 min","30+ min")))</f>
        <v/>
      </c>
    </row>
    <row r="21">
      <c r="A21" s="3" t="n">
        <v>45969</v>
      </c>
      <c r="B21" s="4" t="inlineStr">
        <is>
          <t>Saturday</t>
        </is>
      </c>
      <c r="C21" s="4" t="inlineStr">
        <is>
          <t>Nov 25</t>
        </is>
      </c>
      <c r="D21" s="4" t="inlineStr">
        <is>
          <t>08/11/2025, 1:23 pm</t>
        </is>
      </c>
      <c r="E21" s="4" t="inlineStr">
        <is>
          <t>08/11/2025, 1:24 pm</t>
        </is>
      </c>
      <c r="F21" s="4">
        <f>(E21-D21)*24*60</f>
        <v/>
      </c>
      <c r="G21" s="4" t="inlineStr">
        <is>
          <t>AMI INFRA</t>
        </is>
      </c>
      <c r="H21" s="4" t="inlineStr">
        <is>
          <t>001J100000Vo4kjIAB</t>
        </is>
      </c>
      <c r="I21" s="4" t="n">
        <v>421501</v>
      </c>
      <c r="J21" s="4" t="inlineStr">
        <is>
          <t>THANE</t>
        </is>
      </c>
      <c r="K21" s="4" t="inlineStr"/>
      <c r="L21" s="4" t="inlineStr">
        <is>
          <t>Retailer PB</t>
        </is>
      </c>
      <c r="M21" s="4" t="inlineStr">
        <is>
          <t>Got future date</t>
        </is>
      </c>
      <c r="N21" s="4" t="inlineStr">
        <is>
          <t>Contractor of commercial and real estate projects. Rates given 56000 landed site . Using tiscon</t>
        </is>
      </c>
      <c r="O21" s="4" t="inlineStr">
        <is>
          <t>Will contact us later with an inquiry of steel received from site .</t>
        </is>
      </c>
      <c r="P21" s="4" t="inlineStr">
        <is>
          <t>Contractor of commercial and real estate projects. Rates given 56000 landed site . Using tiscon | Will contact us later with an inquiry of steel received from site .</t>
        </is>
      </c>
      <c r="Q21" s="4">
        <f>LEN(TRIM(P21))-LEN(SUBSTITUTE(P21," ",""))+1</f>
        <v/>
      </c>
      <c r="R21" s="4" t="n">
        <v>22.8119967</v>
      </c>
      <c r="S21" s="4" t="n">
        <v>86.2151751</v>
      </c>
      <c r="T21" s="4">
        <f>COUNTIF($G$2:G21,G21)</f>
        <v/>
      </c>
      <c r="U21" s="4">
        <f>IF(F21&lt;5,"YES","NO")</f>
        <v/>
      </c>
      <c r="V21" s="4">
        <f>IF(AND(N21&lt;&gt;"",O21&lt;&gt;""),"YES","NO")</f>
        <v/>
      </c>
      <c r="W21" s="4">
        <f>IF(HOUR(D21)&lt;12,"Morning",IF(HOUR(D21)&lt;17,"Afternoon","Evening"))</f>
        <v/>
      </c>
      <c r="X21" s="4" t="n">
        <v>5</v>
      </c>
      <c r="Y21" s="4">
        <f>IF(F21&lt;5,"&lt;5 min",IF(F21&lt;15,"5-15 min",IF(F21&lt;30,"15-30 min","30+ min")))</f>
        <v/>
      </c>
    </row>
    <row r="22">
      <c r="A22" s="3" t="n">
        <v>45973</v>
      </c>
      <c r="B22" s="4" t="inlineStr">
        <is>
          <t>Wednesday</t>
        </is>
      </c>
      <c r="C22" s="4" t="inlineStr">
        <is>
          <t>Nov 25</t>
        </is>
      </c>
      <c r="D22" s="4" t="inlineStr">
        <is>
          <t>12/11/2025, 10:44 am</t>
        </is>
      </c>
      <c r="E22" s="4" t="inlineStr">
        <is>
          <t>12/11/2025, 10:48 am</t>
        </is>
      </c>
      <c r="F22" s="4">
        <f>(E22-D22)*24*60</f>
        <v/>
      </c>
      <c r="G22" s="4" t="inlineStr">
        <is>
          <t>AMI INFRA</t>
        </is>
      </c>
      <c r="H22" s="4" t="inlineStr">
        <is>
          <t>001J100000Vo4kjIAB</t>
        </is>
      </c>
      <c r="I22" s="4" t="n">
        <v>421501</v>
      </c>
      <c r="J22" s="4" t="inlineStr">
        <is>
          <t>THANE</t>
        </is>
      </c>
      <c r="K22" s="4" t="inlineStr"/>
      <c r="L22" s="4" t="inlineStr">
        <is>
          <t>Retailer PB</t>
        </is>
      </c>
      <c r="M22" s="4" t="inlineStr">
        <is>
          <t>Got future date</t>
        </is>
      </c>
      <c r="N22" s="4" t="inlineStr">
        <is>
          <t>Contractor and archeitect for ihb and commercial projects . Using Tata tiscon panther . Rates given 57 landed to the customer</t>
        </is>
      </c>
      <c r="O22" s="4" t="inlineStr">
        <is>
          <t>Asking to connect dealer or me if next inquiry of steel comes from site . Last purchase tiscon .</t>
        </is>
      </c>
      <c r="P22" s="4" t="inlineStr">
        <is>
          <t>Contractor and archeitect for ihb and commercial projects . Using Tata tiscon panther . Rates given 57 landed to the customer | Asking to connect dealer or me if next inquiry of steel comes from site . Last purchase tiscon .</t>
        </is>
      </c>
      <c r="Q22" s="4">
        <f>LEN(TRIM(P22))-LEN(SUBSTITUTE(P22," ",""))+1</f>
        <v/>
      </c>
      <c r="R22" s="4" t="n">
        <v>22.8119831</v>
      </c>
      <c r="S22" s="4" t="n">
        <v>86.2152055</v>
      </c>
      <c r="T22" s="4">
        <f>COUNTIF($G$2:G22,G22)</f>
        <v/>
      </c>
      <c r="U22" s="4">
        <f>IF(F22&lt;5,"YES","NO")</f>
        <v/>
      </c>
      <c r="V22" s="4">
        <f>IF(AND(N22&lt;&gt;"",O22&lt;&gt;""),"YES","NO")</f>
        <v/>
      </c>
      <c r="W22" s="4">
        <f>IF(HOUR(D22)&lt;12,"Morning",IF(HOUR(D22)&lt;17,"Afternoon","Evening"))</f>
        <v/>
      </c>
      <c r="X22" s="4" t="n">
        <v>8</v>
      </c>
      <c r="Y22" s="4">
        <f>IF(F22&lt;5,"&lt;5 min",IF(F22&lt;15,"5-15 min",IF(F22&lt;30,"15-30 min","30+ min")))</f>
        <v/>
      </c>
    </row>
    <row r="23">
      <c r="A23" s="3" t="n">
        <v>45995</v>
      </c>
      <c r="B23" s="4" t="inlineStr">
        <is>
          <t>Thursday</t>
        </is>
      </c>
      <c r="C23" s="4" t="inlineStr">
        <is>
          <t>Dec 25</t>
        </is>
      </c>
      <c r="D23" s="4" t="inlineStr">
        <is>
          <t>04/12/2025, 11:46 am</t>
        </is>
      </c>
      <c r="E23" s="4" t="inlineStr">
        <is>
          <t>04/12/2025, 11:50 am</t>
        </is>
      </c>
      <c r="F23" s="4">
        <f>(E23-D23)*24*60</f>
        <v/>
      </c>
      <c r="G23" s="4" t="inlineStr">
        <is>
          <t>AMI INFRA</t>
        </is>
      </c>
      <c r="H23" s="4" t="inlineStr">
        <is>
          <t>001J100000Vo4kjIAB</t>
        </is>
      </c>
      <c r="I23" s="4" t="n">
        <v>421501</v>
      </c>
      <c r="J23" s="4" t="inlineStr">
        <is>
          <t>THANE</t>
        </is>
      </c>
      <c r="K23" s="4" t="inlineStr"/>
      <c r="L23" s="4" t="inlineStr">
        <is>
          <t>Retailer PB</t>
        </is>
      </c>
      <c r="M23" s="4" t="inlineStr">
        <is>
          <t>Got future date</t>
        </is>
      </c>
      <c r="N23" s="4" t="inlineStr">
        <is>
          <t>Contractor of commercial and real estate projects . Using tiscon . Will connect us . Rates given 55500 to the custumer till site .</t>
        </is>
      </c>
      <c r="O23" s="4" t="inlineStr">
        <is>
          <t>Will connect us when inquiry comes from site . Last purchase panther .</t>
        </is>
      </c>
      <c r="P23" s="4" t="inlineStr">
        <is>
          <t>Contractor of commercial and real estate projects . Using tiscon . Will connect us . Rates given 55500 to the custumer till site . | Will connect us when inquiry comes from site . Last purchase panther .</t>
        </is>
      </c>
      <c r="Q23" s="4">
        <f>LEN(TRIM(P23))-LEN(SUBSTITUTE(P23," ",""))+1</f>
        <v/>
      </c>
      <c r="R23" s="4" t="n">
        <v>22.8119943</v>
      </c>
      <c r="S23" s="4" t="n">
        <v>86.2151933</v>
      </c>
      <c r="T23" s="4">
        <f>COUNTIF($G$2:G23,G23)</f>
        <v/>
      </c>
      <c r="U23" s="4">
        <f>IF(F23&lt;5,"YES","NO")</f>
        <v/>
      </c>
      <c r="V23" s="4">
        <f>IF(AND(N23&lt;&gt;"",O23&lt;&gt;""),"YES","NO")</f>
        <v/>
      </c>
      <c r="W23" s="4">
        <f>IF(HOUR(D23)&lt;12,"Morning",IF(HOUR(D23)&lt;17,"Afternoon","Evening"))</f>
        <v/>
      </c>
      <c r="X23" s="4" t="n">
        <v>6</v>
      </c>
      <c r="Y23" s="4">
        <f>IF(F23&lt;5,"&lt;5 min",IF(F23&lt;15,"5-15 min",IF(F23&lt;30,"15-30 min","30+ min")))</f>
        <v/>
      </c>
    </row>
    <row r="24">
      <c r="A24" s="3" t="n">
        <v>46010</v>
      </c>
      <c r="B24" s="4" t="inlineStr">
        <is>
          <t>Friday</t>
        </is>
      </c>
      <c r="C24" s="4" t="inlineStr">
        <is>
          <t>Dec 25</t>
        </is>
      </c>
      <c r="D24" s="4" t="inlineStr">
        <is>
          <t>19/12/2025, 5:10 pm</t>
        </is>
      </c>
      <c r="E24" s="4" t="inlineStr">
        <is>
          <t>19/12/2025, 5:11 pm</t>
        </is>
      </c>
      <c r="F24" s="4">
        <f>(E24-D24)*24*60</f>
        <v/>
      </c>
      <c r="G24" s="4" t="inlineStr">
        <is>
          <t>AMI INFRA</t>
        </is>
      </c>
      <c r="H24" s="4" t="inlineStr">
        <is>
          <t>001J100000Vo4kjIAB</t>
        </is>
      </c>
      <c r="I24" s="4" t="n">
        <v>421501</v>
      </c>
      <c r="J24" s="4" t="inlineStr">
        <is>
          <t>THANE</t>
        </is>
      </c>
      <c r="K24" s="4" t="inlineStr"/>
      <c r="L24" s="4" t="inlineStr">
        <is>
          <t>Retailer PB</t>
        </is>
      </c>
      <c r="M24" s="4" t="inlineStr">
        <is>
          <t>Got future date</t>
        </is>
      </c>
      <c r="N24" s="4" t="inlineStr">
        <is>
          <t>Ihb and commercial contractor using Tata tiscon rungta and sail . Rates given 56000 landed to direct godown .</t>
        </is>
      </c>
      <c r="O24" s="4" t="inlineStr">
        <is>
          <t>Will connect us when inquiry comes to him or through site.</t>
        </is>
      </c>
      <c r="P24" s="4" t="inlineStr">
        <is>
          <t>Ihb and commercial contractor using Tata tiscon rungta and sail . Rates given 56000 landed to direct godown . | Will connect us when inquiry comes to him or through site.</t>
        </is>
      </c>
      <c r="Q24" s="4">
        <f>LEN(TRIM(P24))-LEN(SUBSTITUTE(P24," ",""))+1</f>
        <v/>
      </c>
      <c r="R24" s="4" t="n">
        <v>22.8117661</v>
      </c>
      <c r="S24" s="4" t="n">
        <v>86.213785</v>
      </c>
      <c r="T24" s="4">
        <f>COUNTIF($G$2:G24,G24)</f>
        <v/>
      </c>
      <c r="U24" s="4">
        <f>IF(F24&lt;5,"YES","NO")</f>
        <v/>
      </c>
      <c r="V24" s="4">
        <f>IF(AND(N24&lt;&gt;"",O24&lt;&gt;""),"YES","NO")</f>
        <v/>
      </c>
      <c r="W24" s="4">
        <f>IF(HOUR(D24)&lt;12,"Morning",IF(HOUR(D24)&lt;17,"Afternoon","Evening"))</f>
        <v/>
      </c>
      <c r="X24" s="4" t="n">
        <v>7</v>
      </c>
      <c r="Y24" s="4">
        <f>IF(F24&lt;5,"&lt;5 min",IF(F24&lt;15,"5-15 min",IF(F24&lt;30,"15-30 min","30+ min")))</f>
        <v/>
      </c>
    </row>
    <row r="25">
      <c r="A25" s="3" t="n">
        <v>46034</v>
      </c>
      <c r="B25" s="4" t="inlineStr">
        <is>
          <t>Monday</t>
        </is>
      </c>
      <c r="C25" s="4" t="inlineStr">
        <is>
          <t>Jan 26</t>
        </is>
      </c>
      <c r="D25" s="4" t="inlineStr">
        <is>
          <t>12/01/2026, 6:18 pm</t>
        </is>
      </c>
      <c r="E25" s="4" t="inlineStr">
        <is>
          <t>12/01/2026, 6:19 pm</t>
        </is>
      </c>
      <c r="F25" s="4">
        <f>(E25-D25)*24*60</f>
        <v/>
      </c>
      <c r="G25" s="4" t="inlineStr">
        <is>
          <t>AMI INFRA</t>
        </is>
      </c>
      <c r="H25" s="4" t="inlineStr">
        <is>
          <t>001J100000Vo4kjIAB</t>
        </is>
      </c>
      <c r="I25" s="4" t="n">
        <v>421501</v>
      </c>
      <c r="J25" s="4" t="inlineStr">
        <is>
          <t>THANE</t>
        </is>
      </c>
      <c r="K25" s="4" t="inlineStr"/>
      <c r="L25" s="4" t="inlineStr">
        <is>
          <t>Retailer PB</t>
        </is>
      </c>
      <c r="M25" s="4" t="inlineStr">
        <is>
          <t>Got future date</t>
        </is>
      </c>
      <c r="N25" s="4" t="inlineStr">
        <is>
          <t>Real estate and commercial project contractor. Rates given 61500 landed to the CUSTUMER. Using Tata tiscon in cut and bend form.</t>
        </is>
      </c>
      <c r="O25" s="4" t="inlineStr">
        <is>
          <t>Will connect us on inquiry received from from site. Waiting for indent from site.</t>
        </is>
      </c>
      <c r="P25" s="4" t="inlineStr">
        <is>
          <t>Real estate and commercial project contractor. Rates given 61500 landed to the CUSTUMER. Using Tata tiscon in cut and bend form. | Will connect us on inquiry received from from site. Waiting for indent from site.</t>
        </is>
      </c>
      <c r="Q25" s="4">
        <f>LEN(TRIM(P25))-LEN(SUBSTITUTE(P25," ",""))+1</f>
        <v/>
      </c>
      <c r="R25" s="4" t="n">
        <v>22.8121659</v>
      </c>
      <c r="S25" s="4" t="n">
        <v>86.2152912</v>
      </c>
      <c r="T25" s="4">
        <f>COUNTIF($G$2:G25,G25)</f>
        <v/>
      </c>
      <c r="U25" s="4">
        <f>IF(F25&lt;5,"YES","NO")</f>
        <v/>
      </c>
      <c r="V25" s="4">
        <f>IF(AND(N25&lt;&gt;"",O25&lt;&gt;""),"YES","NO")</f>
        <v/>
      </c>
      <c r="W25" s="4">
        <f>IF(HOUR(D25)&lt;12,"Morning",IF(HOUR(D25)&lt;17,"Afternoon","Evening"))</f>
        <v/>
      </c>
      <c r="X25" s="4" t="n">
        <v>6</v>
      </c>
      <c r="Y25" s="4">
        <f>IF(F25&lt;5,"&lt;5 min",IF(F25&lt;15,"5-15 min",IF(F25&lt;30,"15-30 min","30+ min")))</f>
        <v/>
      </c>
    </row>
    <row r="26">
      <c r="A26" s="3" t="n">
        <v>46051</v>
      </c>
      <c r="B26" s="4" t="inlineStr">
        <is>
          <t>Thursday</t>
        </is>
      </c>
      <c r="C26" s="4" t="inlineStr">
        <is>
          <t>Jan 26</t>
        </is>
      </c>
      <c r="D26" s="4" t="inlineStr">
        <is>
          <t>29/01/2026, 7:02 pm</t>
        </is>
      </c>
      <c r="E26" s="4" t="inlineStr">
        <is>
          <t>29/01/2026, 7:04 pm</t>
        </is>
      </c>
      <c r="F26" s="4">
        <f>(E26-D26)*24*60</f>
        <v/>
      </c>
      <c r="G26" s="4" t="inlineStr">
        <is>
          <t>AMI INFRA</t>
        </is>
      </c>
      <c r="H26" s="4" t="inlineStr">
        <is>
          <t>001J100000Vo4kjIAB</t>
        </is>
      </c>
      <c r="I26" s="4" t="n">
        <v>421501</v>
      </c>
      <c r="J26" s="4" t="inlineStr">
        <is>
          <t>THANE</t>
        </is>
      </c>
      <c r="K26" s="4" t="inlineStr"/>
      <c r="L26" s="4" t="inlineStr">
        <is>
          <t>Retailer PB</t>
        </is>
      </c>
      <c r="M26" s="4" t="inlineStr">
        <is>
          <t>Got future date</t>
        </is>
      </c>
      <c r="N26" s="4" t="inlineStr">
        <is>
          <t>Architect and contractor of commercial real estate and IHB. Using tiscon and RUNGTA TMT. Rates given 64000 landed to the customer.</t>
        </is>
      </c>
      <c r="O26" s="4" t="inlineStr">
        <is>
          <t>Will connect us on inquiry received from site. Will share with us.</t>
        </is>
      </c>
      <c r="P26" s="4" t="inlineStr">
        <is>
          <t>Architect and contractor of commercial real estate and IHB. Using tiscon and RUNGTA TMT. Rates given 64000 landed to the customer. | Will connect us on inquiry received from site. Will share with us.</t>
        </is>
      </c>
      <c r="Q26" s="4">
        <f>LEN(TRIM(P26))-LEN(SUBSTITUTE(P26," ",""))+1</f>
        <v/>
      </c>
      <c r="R26" s="4" t="n">
        <v>22.8120868</v>
      </c>
      <c r="S26" s="4" t="n">
        <v>86.2152028</v>
      </c>
      <c r="T26" s="4">
        <f>COUNTIF($G$2:G26,G26)</f>
        <v/>
      </c>
      <c r="U26" s="4">
        <f>IF(F26&lt;5,"YES","NO")</f>
        <v/>
      </c>
      <c r="V26" s="4">
        <f>IF(AND(N26&lt;&gt;"",O26&lt;&gt;""),"YES","NO")</f>
        <v/>
      </c>
      <c r="W26" s="4">
        <f>IF(HOUR(D26)&lt;12,"Morning",IF(HOUR(D26)&lt;17,"Afternoon","Evening"))</f>
        <v/>
      </c>
      <c r="X26" s="4" t="n">
        <v>6</v>
      </c>
      <c r="Y26" s="4">
        <f>IF(F26&lt;5,"&lt;5 min",IF(F26&lt;15,"5-15 min",IF(F26&lt;30,"15-30 min","30+ min")))</f>
        <v/>
      </c>
    </row>
    <row r="27">
      <c r="A27" s="3" t="n">
        <v>45973</v>
      </c>
      <c r="B27" s="4" t="inlineStr">
        <is>
          <t>Wednesday</t>
        </is>
      </c>
      <c r="C27" s="4" t="inlineStr">
        <is>
          <t>Nov 25</t>
        </is>
      </c>
      <c r="D27" s="4" t="inlineStr">
        <is>
          <t>12/11/2025, 2:11 pm</t>
        </is>
      </c>
      <c r="E27" s="4" t="inlineStr">
        <is>
          <t>12/11/2025, 2:12 pm</t>
        </is>
      </c>
      <c r="F27" s="4">
        <f>(E27-D27)*24*60</f>
        <v/>
      </c>
      <c r="G27" s="4" t="inlineStr">
        <is>
          <t>APEX ENGINEERING</t>
        </is>
      </c>
      <c r="H27" s="4" t="inlineStr">
        <is>
          <t>001fw000005Q2BQAA0</t>
        </is>
      </c>
      <c r="I27" s="4" t="n">
        <v>768203</v>
      </c>
      <c r="J27" s="4" t="inlineStr">
        <is>
          <t>JHARSUGUDA</t>
        </is>
      </c>
      <c r="K27" s="4" t="inlineStr"/>
      <c r="L27" s="4" t="inlineStr">
        <is>
          <t>Retailer PB</t>
        </is>
      </c>
      <c r="M27" s="4" t="inlineStr">
        <is>
          <t>Got future date</t>
        </is>
      </c>
      <c r="N27" s="4" t="inlineStr">
        <is>
          <t>Contractor and consultant architect for ihb and commercial projects . Rates given 58 landed to the customer</t>
        </is>
      </c>
      <c r="O27" s="4" t="inlineStr">
        <is>
          <t>Last purchased material rungta @ 50000 landed at site . Will connect as inquiry comes .</t>
        </is>
      </c>
      <c r="P27" s="4" t="inlineStr">
        <is>
          <t>Contractor and consultant architect for ihb and commercial projects . Rates given 58 landed to the customer | Last purchased material rungta @ 50000 landed at site . Will connect as inquiry comes .</t>
        </is>
      </c>
      <c r="Q27" s="4">
        <f>LEN(TRIM(P27))-LEN(SUBSTITUTE(P27," ",""))+1</f>
        <v/>
      </c>
      <c r="R27" s="4" t="n">
        <v>22.8336646</v>
      </c>
      <c r="S27" s="4" t="n">
        <v>86.2023564</v>
      </c>
      <c r="T27" s="4">
        <f>COUNTIF($G$2:G27,G27)</f>
        <v/>
      </c>
      <c r="U27" s="4">
        <f>IF(F27&lt;5,"YES","NO")</f>
        <v/>
      </c>
      <c r="V27" s="4">
        <f>IF(AND(N27&lt;&gt;"",O27&lt;&gt;""),"YES","NO")</f>
        <v/>
      </c>
      <c r="W27" s="4">
        <f>IF(HOUR(D27)&lt;12,"Morning",IF(HOUR(D27)&lt;17,"Afternoon","Evening"))</f>
        <v/>
      </c>
      <c r="X27" s="4" t="n">
        <v>8</v>
      </c>
      <c r="Y27" s="4">
        <f>IF(F27&lt;5,"&lt;5 min",IF(F27&lt;15,"5-15 min",IF(F27&lt;30,"15-30 min","30+ min")))</f>
        <v/>
      </c>
    </row>
    <row r="28">
      <c r="A28" s="3" t="n">
        <v>45986</v>
      </c>
      <c r="B28" s="4" t="inlineStr">
        <is>
          <t>Tuesday</t>
        </is>
      </c>
      <c r="C28" s="4" t="inlineStr">
        <is>
          <t>Nov 25</t>
        </is>
      </c>
      <c r="D28" s="4" t="inlineStr">
        <is>
          <t>25/11/2025, 12:55 pm</t>
        </is>
      </c>
      <c r="E28" s="4" t="inlineStr">
        <is>
          <t>25/11/2025, 12:56 pm</t>
        </is>
      </c>
      <c r="F28" s="4">
        <f>(E28-D28)*24*60</f>
        <v/>
      </c>
      <c r="G28" s="4" t="inlineStr">
        <is>
          <t>APEX ENGINEERING</t>
        </is>
      </c>
      <c r="H28" s="4" t="inlineStr">
        <is>
          <t>001fw000005Q2BQAA0</t>
        </is>
      </c>
      <c r="I28" s="4" t="n">
        <v>768203</v>
      </c>
      <c r="J28" s="4" t="inlineStr">
        <is>
          <t>JHARSUGUDA</t>
        </is>
      </c>
      <c r="K28" s="4" t="inlineStr"/>
      <c r="L28" s="4" t="inlineStr">
        <is>
          <t>Retailer PB</t>
        </is>
      </c>
      <c r="M28" s="4" t="inlineStr">
        <is>
          <t>Got future date</t>
        </is>
      </c>
      <c r="N28" s="4" t="inlineStr">
        <is>
          <t>Ihb contractor and architect of various commercial projects. Rates given 54000 landed to customer. Will share inquiries .</t>
        </is>
      </c>
      <c r="O28" s="4" t="inlineStr">
        <is>
          <t>Will share inquiries with us within this week .</t>
        </is>
      </c>
      <c r="P28" s="4" t="inlineStr">
        <is>
          <t>Ihb contractor and architect of various commercial projects. Rates given 54000 landed to customer. Will share inquiries . | Will share inquiries with us within this week .</t>
        </is>
      </c>
      <c r="Q28" s="4">
        <f>LEN(TRIM(P28))-LEN(SUBSTITUTE(P28," ",""))+1</f>
        <v/>
      </c>
      <c r="R28" s="4" t="n">
        <v>22.8336737</v>
      </c>
      <c r="S28" s="4" t="n">
        <v>86.202279</v>
      </c>
      <c r="T28" s="4">
        <f>COUNTIF($G$2:G28,G28)</f>
        <v/>
      </c>
      <c r="U28" s="4">
        <f>IF(F28&lt;5,"YES","NO")</f>
        <v/>
      </c>
      <c r="V28" s="4">
        <f>IF(AND(N28&lt;&gt;"",O28&lt;&gt;""),"YES","NO")</f>
        <v/>
      </c>
      <c r="W28" s="4">
        <f>IF(HOUR(D28)&lt;12,"Morning",IF(HOUR(D28)&lt;17,"Afternoon","Evening"))</f>
        <v/>
      </c>
      <c r="X28" s="4" t="n">
        <v>7</v>
      </c>
      <c r="Y28" s="4">
        <f>IF(F28&lt;5,"&lt;5 min",IF(F28&lt;15,"5-15 min",IF(F28&lt;30,"15-30 min","30+ min")))</f>
        <v/>
      </c>
    </row>
    <row r="29">
      <c r="A29" s="3" t="n">
        <v>45999</v>
      </c>
      <c r="B29" s="4" t="inlineStr">
        <is>
          <t>Monday</t>
        </is>
      </c>
      <c r="C29" s="4" t="inlineStr">
        <is>
          <t>Dec 25</t>
        </is>
      </c>
      <c r="D29" s="4" t="inlineStr">
        <is>
          <t>08/12/2025, 7:16 pm</t>
        </is>
      </c>
      <c r="E29" s="4" t="inlineStr">
        <is>
          <t>08/12/2025, 7:17 pm</t>
        </is>
      </c>
      <c r="F29" s="4">
        <f>(E29-D29)*24*60</f>
        <v/>
      </c>
      <c r="G29" s="4" t="inlineStr">
        <is>
          <t>APEX ENGINEERING</t>
        </is>
      </c>
      <c r="H29" s="4" t="inlineStr">
        <is>
          <t>001fw000005Q2BQAA0</t>
        </is>
      </c>
      <c r="I29" s="4" t="n">
        <v>768203</v>
      </c>
      <c r="J29" s="4" t="inlineStr">
        <is>
          <t>JHARSUGUDA</t>
        </is>
      </c>
      <c r="K29" s="4" t="inlineStr"/>
      <c r="L29" s="4" t="inlineStr">
        <is>
          <t>Retailer PB</t>
        </is>
      </c>
      <c r="M29" s="4" t="inlineStr">
        <is>
          <t>Got future date</t>
        </is>
      </c>
      <c r="N29" s="4" t="inlineStr">
        <is>
          <t>Contractor and consultant of ihb projects. Using rungta and Tata tiscon in his projects depending on Consumer.</t>
        </is>
      </c>
      <c r="O29" s="4" t="inlineStr">
        <is>
          <t>Rates given 55000 landed to him . Will share us inquiry when received.</t>
        </is>
      </c>
      <c r="P29" s="4" t="inlineStr">
        <is>
          <t>Contractor and consultant of ihb projects. Using rungta and Tata tiscon in his projects depending on Consumer. | Rates given 55000 landed to him . Will share us inquiry when received.</t>
        </is>
      </c>
      <c r="Q29" s="4">
        <f>LEN(TRIM(P29))-LEN(SUBSTITUTE(P29," ",""))+1</f>
        <v/>
      </c>
      <c r="R29" s="4" t="n">
        <v>22.8335821</v>
      </c>
      <c r="S29" s="4" t="n">
        <v>86.20231389999999</v>
      </c>
      <c r="T29" s="4">
        <f>COUNTIF($G$2:G29,G29)</f>
        <v/>
      </c>
      <c r="U29" s="4">
        <f>IF(F29&lt;5,"YES","NO")</f>
        <v/>
      </c>
      <c r="V29" s="4">
        <f>IF(AND(N29&lt;&gt;"",O29&lt;&gt;""),"YES","NO")</f>
        <v/>
      </c>
      <c r="W29" s="4">
        <f>IF(HOUR(D29)&lt;12,"Morning",IF(HOUR(D29)&lt;17,"Afternoon","Evening"))</f>
        <v/>
      </c>
      <c r="X29" s="4" t="n">
        <v>6</v>
      </c>
      <c r="Y29" s="4">
        <f>IF(F29&lt;5,"&lt;5 min",IF(F29&lt;15,"5-15 min",IF(F29&lt;30,"15-30 min","30+ min")))</f>
        <v/>
      </c>
    </row>
    <row r="30">
      <c r="A30" s="3" t="n">
        <v>46036</v>
      </c>
      <c r="B30" s="4" t="inlineStr">
        <is>
          <t>Wednesday</t>
        </is>
      </c>
      <c r="C30" s="4" t="inlineStr">
        <is>
          <t>Jan 26</t>
        </is>
      </c>
      <c r="D30" s="4" t="inlineStr">
        <is>
          <t>14/01/2026, 5:23 pm</t>
        </is>
      </c>
      <c r="E30" s="4" t="inlineStr">
        <is>
          <t>14/01/2026, 5:24 pm</t>
        </is>
      </c>
      <c r="F30" s="4">
        <f>(E30-D30)*24*60</f>
        <v/>
      </c>
      <c r="G30" s="4" t="inlineStr">
        <is>
          <t>APEX ENGINEERING</t>
        </is>
      </c>
      <c r="H30" s="4" t="inlineStr">
        <is>
          <t>001fw000005Q2BQAA0</t>
        </is>
      </c>
      <c r="I30" s="4" t="n">
        <v>768203</v>
      </c>
      <c r="J30" s="4" t="inlineStr">
        <is>
          <t>JHARSUGUDA</t>
        </is>
      </c>
      <c r="K30" s="4" t="inlineStr"/>
      <c r="L30" s="4" t="inlineStr">
        <is>
          <t>Retailer PB</t>
        </is>
      </c>
      <c r="M30" s="4" t="inlineStr">
        <is>
          <t>Got future date</t>
        </is>
      </c>
      <c r="N30" s="4" t="inlineStr">
        <is>
          <t>Engineer and contractor of IHB project. Using tiscon and RUNGTA TMT. Rates given 61500 landed to the CUSTUMER.</t>
        </is>
      </c>
      <c r="O30" s="4" t="inlineStr">
        <is>
          <t>Will connect us on inquiry received from direct customer.</t>
        </is>
      </c>
      <c r="P30" s="4" t="inlineStr">
        <is>
          <t>Engineer and contractor of IHB project. Using tiscon and RUNGTA TMT. Rates given 61500 landed to the CUSTUMER. | Will connect us on inquiry received from direct customer.</t>
        </is>
      </c>
      <c r="Q30" s="4">
        <f>LEN(TRIM(P30))-LEN(SUBSTITUTE(P30," ",""))+1</f>
        <v/>
      </c>
      <c r="R30" s="4" t="n">
        <v>22.8337759</v>
      </c>
      <c r="S30" s="4" t="n">
        <v>86.2022935</v>
      </c>
      <c r="T30" s="4">
        <f>COUNTIF($G$2:G30,G30)</f>
        <v/>
      </c>
      <c r="U30" s="4">
        <f>IF(F30&lt;5,"YES","NO")</f>
        <v/>
      </c>
      <c r="V30" s="4">
        <f>IF(AND(N30&lt;&gt;"",O30&lt;&gt;""),"YES","NO")</f>
        <v/>
      </c>
      <c r="W30" s="4">
        <f>IF(HOUR(D30)&lt;12,"Morning",IF(HOUR(D30)&lt;17,"Afternoon","Evening"))</f>
        <v/>
      </c>
      <c r="X30" s="4" t="n">
        <v>6</v>
      </c>
      <c r="Y30" s="4">
        <f>IF(F30&lt;5,"&lt;5 min",IF(F30&lt;15,"5-15 min",IF(F30&lt;30,"15-30 min","30+ min")))</f>
        <v/>
      </c>
    </row>
    <row r="31">
      <c r="A31" s="3" t="n">
        <v>46027</v>
      </c>
      <c r="B31" s="4" t="inlineStr">
        <is>
          <t>Monday</t>
        </is>
      </c>
      <c r="C31" s="4" t="inlineStr">
        <is>
          <t>Jan 26</t>
        </is>
      </c>
      <c r="D31" s="4" t="inlineStr">
        <is>
          <t>05/01/2026, 7:54 pm</t>
        </is>
      </c>
      <c r="E31" s="4" t="inlineStr">
        <is>
          <t>05/01/2026, 7:57 pm</t>
        </is>
      </c>
      <c r="F31" s="4">
        <f>(E31-D31)*24*60</f>
        <v/>
      </c>
      <c r="G31" s="4" t="inlineStr">
        <is>
          <t>Aakash construction Ltd</t>
        </is>
      </c>
      <c r="H31" s="4" t="inlineStr">
        <is>
          <t>001fw000007khVnAAI</t>
        </is>
      </c>
      <c r="I31" s="4" t="n">
        <v>831002</v>
      </c>
      <c r="J31" s="4" t="inlineStr">
        <is>
          <t>EAST SINGHBUM</t>
        </is>
      </c>
      <c r="K31" s="4" t="inlineStr"/>
      <c r="L31" s="4" t="inlineStr">
        <is>
          <t>Influencer</t>
        </is>
      </c>
      <c r="M31" s="4" t="inlineStr">
        <is>
          <t>Got future date</t>
        </is>
      </c>
      <c r="N31" s="4" t="inlineStr">
        <is>
          <t>IHB CONTRACTOR. Rates given 60000 landed through retailer. Will connect us.</t>
        </is>
      </c>
      <c r="O31" s="4" t="inlineStr">
        <is>
          <t>Need time. Will share inquiries and connect with nearby retailer.</t>
        </is>
      </c>
      <c r="P31" s="4" t="inlineStr">
        <is>
          <t>IHB CONTRACTOR. Rates given 60000 landed through retailer. Will connect us. | Need time. Will share inquiries and connect with nearby retailer.</t>
        </is>
      </c>
      <c r="Q31" s="4">
        <f>LEN(TRIM(P31))-LEN(SUBSTITUTE(P31," ",""))+1</f>
        <v/>
      </c>
      <c r="R31" s="4" t="n">
        <v>22.8119948</v>
      </c>
      <c r="S31" s="4" t="n">
        <v>86.2152019</v>
      </c>
      <c r="T31" s="4">
        <f>COUNTIF($G$2:G31,G31)</f>
        <v/>
      </c>
      <c r="U31" s="4">
        <f>IF(F31&lt;5,"YES","NO")</f>
        <v/>
      </c>
      <c r="V31" s="4">
        <f>IF(AND(N31&lt;&gt;"",O31&lt;&gt;""),"YES","NO")</f>
        <v/>
      </c>
      <c r="W31" s="4">
        <f>IF(HOUR(D31)&lt;12,"Morning",IF(HOUR(D31)&lt;17,"Afternoon","Evening"))</f>
        <v/>
      </c>
      <c r="X31" s="4" t="n">
        <v>7</v>
      </c>
      <c r="Y31" s="4">
        <f>IF(F31&lt;5,"&lt;5 min",IF(F31&lt;15,"5-15 min",IF(F31&lt;30,"15-30 min","30+ min")))</f>
        <v/>
      </c>
    </row>
    <row r="32">
      <c r="A32" s="3" t="n">
        <v>46041</v>
      </c>
      <c r="B32" s="4" t="inlineStr">
        <is>
          <t>Monday</t>
        </is>
      </c>
      <c r="C32" s="4" t="inlineStr">
        <is>
          <t>Jan 26</t>
        </is>
      </c>
      <c r="D32" s="4" t="inlineStr">
        <is>
          <t>19/01/2026, 5:29 pm</t>
        </is>
      </c>
      <c r="E32" s="4" t="inlineStr">
        <is>
          <t>19/01/2026, 5:31 pm</t>
        </is>
      </c>
      <c r="F32" s="4">
        <f>(E32-D32)*24*60</f>
        <v/>
      </c>
      <c r="G32" s="4" t="inlineStr">
        <is>
          <t>Aakash construction Ltd</t>
        </is>
      </c>
      <c r="H32" s="4" t="inlineStr">
        <is>
          <t>001fw000007khVnAAI</t>
        </is>
      </c>
      <c r="I32" s="4" t="n">
        <v>831002</v>
      </c>
      <c r="J32" s="4" t="inlineStr">
        <is>
          <t>EAST SINGHBUM</t>
        </is>
      </c>
      <c r="K32" s="4" t="inlineStr"/>
      <c r="L32" s="4" t="inlineStr">
        <is>
          <t>Influencer</t>
        </is>
      </c>
      <c r="M32" s="4" t="inlineStr">
        <is>
          <t>Got future date</t>
        </is>
      </c>
      <c r="N32" s="4" t="inlineStr">
        <is>
          <t>IHB CONTRACTOR USING RUNGTA TMT and kamdhenu TMT. Rates given 62500 landed to CUSTUMER.</t>
        </is>
      </c>
      <c r="O32" s="4" t="inlineStr">
        <is>
          <t>Will connect us on inquiry. Need time to coordinate with IHB CUSTUMER. Last purchase @ 50 landed.</t>
        </is>
      </c>
      <c r="P32" s="4" t="inlineStr">
        <is>
          <t>IHB CONTRACTOR USING RUNGTA TMT and kamdhenu TMT. Rates given 62500 landed to CUSTUMER. | Will connect us on inquiry. Need time to coordinate with IHB CUSTUMER. Last purchase @ 50 landed.</t>
        </is>
      </c>
      <c r="Q32" s="4">
        <f>LEN(TRIM(P32))-LEN(SUBSTITUTE(P32," ",""))+1</f>
        <v/>
      </c>
      <c r="R32" s="4" t="n">
        <v>22.8073096</v>
      </c>
      <c r="S32" s="4" t="n">
        <v>86.22206079999999</v>
      </c>
      <c r="T32" s="4">
        <f>COUNTIF($G$2:G32,G32)</f>
        <v/>
      </c>
      <c r="U32" s="4">
        <f>IF(F32&lt;5,"YES","NO")</f>
        <v/>
      </c>
      <c r="V32" s="4">
        <f>IF(AND(N32&lt;&gt;"",O32&lt;&gt;""),"YES","NO")</f>
        <v/>
      </c>
      <c r="W32" s="4">
        <f>IF(HOUR(D32)&lt;12,"Morning",IF(HOUR(D32)&lt;17,"Afternoon","Evening"))</f>
        <v/>
      </c>
      <c r="X32" s="4" t="n">
        <v>6</v>
      </c>
      <c r="Y32" s="4">
        <f>IF(F32&lt;5,"&lt;5 min",IF(F32&lt;15,"5-15 min",IF(F32&lt;30,"15-30 min","30+ min")))</f>
        <v/>
      </c>
    </row>
    <row r="33">
      <c r="A33" s="3" t="n">
        <v>46050</v>
      </c>
      <c r="B33" s="4" t="inlineStr">
        <is>
          <t>Wednesday</t>
        </is>
      </c>
      <c r="C33" s="4" t="inlineStr">
        <is>
          <t>Jan 26</t>
        </is>
      </c>
      <c r="D33" s="4" t="inlineStr">
        <is>
          <t>28/01/2026, 6:25 pm</t>
        </is>
      </c>
      <c r="E33" s="4" t="inlineStr">
        <is>
          <t>28/01/2026, 6:27 pm</t>
        </is>
      </c>
      <c r="F33" s="4">
        <f>(E33-D33)*24*60</f>
        <v/>
      </c>
      <c r="G33" s="4" t="inlineStr">
        <is>
          <t>Aakash construction Ltd</t>
        </is>
      </c>
      <c r="H33" s="4" t="inlineStr">
        <is>
          <t>001fw000007khVnAAI</t>
        </is>
      </c>
      <c r="I33" s="4" t="n">
        <v>831002</v>
      </c>
      <c r="J33" s="4" t="inlineStr">
        <is>
          <t>EAST SINGHBUM</t>
        </is>
      </c>
      <c r="K33" s="4" t="inlineStr"/>
      <c r="L33" s="4" t="inlineStr">
        <is>
          <t>Influencer</t>
        </is>
      </c>
      <c r="M33" s="4" t="inlineStr">
        <is>
          <t>Got future date</t>
        </is>
      </c>
      <c r="N33" s="4" t="inlineStr">
        <is>
          <t>IHB CONTRACTOR USING RUNGTA TMT and kamdhenu TMT. Rates given 64000 landed to the customer.</t>
        </is>
      </c>
      <c r="O33" s="4" t="inlineStr">
        <is>
          <t>Will let us know. Will share inquiries with us as received from site. Purchased rungta @ 54 landed.</t>
        </is>
      </c>
      <c r="P33" s="4" t="inlineStr">
        <is>
          <t>IHB CONTRACTOR USING RUNGTA TMT and kamdhenu TMT. Rates given 64000 landed to the customer. | Will let us know. Will share inquiries with us as received from site. Purchased rungta @ 54 landed.</t>
        </is>
      </c>
      <c r="Q33" s="4">
        <f>LEN(TRIM(P33))-LEN(SUBSTITUTE(P33," ",""))+1</f>
        <v/>
      </c>
      <c r="R33" s="4" t="n">
        <v>22.8065976</v>
      </c>
      <c r="S33" s="4" t="n">
        <v>86.22232870000001</v>
      </c>
      <c r="T33" s="4">
        <f>COUNTIF($G$2:G33,G33)</f>
        <v/>
      </c>
      <c r="U33" s="4">
        <f>IF(F33&lt;5,"YES","NO")</f>
        <v/>
      </c>
      <c r="V33" s="4">
        <f>IF(AND(N33&lt;&gt;"",O33&lt;&gt;""),"YES","NO")</f>
        <v/>
      </c>
      <c r="W33" s="4">
        <f>IF(HOUR(D33)&lt;12,"Morning",IF(HOUR(D33)&lt;17,"Afternoon","Evening"))</f>
        <v/>
      </c>
      <c r="X33" s="4" t="n">
        <v>7</v>
      </c>
      <c r="Y33" s="4">
        <f>IF(F33&lt;5,"&lt;5 min",IF(F33&lt;15,"5-15 min",IF(F33&lt;30,"15-30 min","30+ min")))</f>
        <v/>
      </c>
    </row>
    <row r="34">
      <c r="A34" s="3" t="n">
        <v>46031</v>
      </c>
      <c r="B34" s="4" t="inlineStr">
        <is>
          <t>Friday</t>
        </is>
      </c>
      <c r="C34" s="4" t="inlineStr">
        <is>
          <t>Jan 26</t>
        </is>
      </c>
      <c r="D34" s="4" t="inlineStr">
        <is>
          <t>09/01/2026, 10:26 am</t>
        </is>
      </c>
      <c r="E34" s="4" t="inlineStr">
        <is>
          <t>09/01/2026, 10:35 am</t>
        </is>
      </c>
      <c r="F34" s="4">
        <f>(E34-D34)*24*60</f>
        <v/>
      </c>
      <c r="G34" s="4" t="inlineStr">
        <is>
          <t>Aakash india</t>
        </is>
      </c>
      <c r="H34" s="4" t="inlineStr">
        <is>
          <t>001fw000007QHysAAG</t>
        </is>
      </c>
      <c r="I34" s="4" t="n">
        <v>831002</v>
      </c>
      <c r="J34" s="4" t="inlineStr">
        <is>
          <t>EAST SINGHBUM</t>
        </is>
      </c>
      <c r="K34" s="4" t="inlineStr"/>
      <c r="L34" s="4" t="inlineStr">
        <is>
          <t>Influencer</t>
        </is>
      </c>
      <c r="M34" s="4" t="inlineStr">
        <is>
          <t>Got future date</t>
        </is>
      </c>
      <c r="N34" s="4" t="inlineStr">
        <is>
          <t>IHB CONTRACTOR USING RUNGTA TMT and kamdhenu. Rates given 59500 landed to the CUSTUMER.</t>
        </is>
      </c>
      <c r="O34" s="4" t="inlineStr">
        <is>
          <t>Will connect us on inquiry received from end CUSTUMER. Need time.</t>
        </is>
      </c>
      <c r="P34" s="4" t="inlineStr">
        <is>
          <t>IHB CONTRACTOR USING RUNGTA TMT and kamdhenu. Rates given 59500 landed to the CUSTUMER. | Will connect us on inquiry received from end CUSTUMER. Need time.</t>
        </is>
      </c>
      <c r="Q34" s="4">
        <f>LEN(TRIM(P34))-LEN(SUBSTITUTE(P34," ",""))+1</f>
        <v/>
      </c>
      <c r="R34" s="4" t="n">
        <v>22.8119913</v>
      </c>
      <c r="S34" s="4" t="n">
        <v>86.2152013</v>
      </c>
      <c r="T34" s="4">
        <f>COUNTIF($G$2:G34,G34)</f>
        <v/>
      </c>
      <c r="U34" s="4">
        <f>IF(F34&lt;5,"YES","NO")</f>
        <v/>
      </c>
      <c r="V34" s="4">
        <f>IF(AND(N34&lt;&gt;"",O34&lt;&gt;""),"YES","NO")</f>
        <v/>
      </c>
      <c r="W34" s="4">
        <f>IF(HOUR(D34)&lt;12,"Morning",IF(HOUR(D34)&lt;17,"Afternoon","Evening"))</f>
        <v/>
      </c>
      <c r="X34" s="4" t="n">
        <v>6</v>
      </c>
      <c r="Y34" s="4">
        <f>IF(F34&lt;5,"&lt;5 min",IF(F34&lt;15,"5-15 min",IF(F34&lt;30,"15-30 min","30+ min")))</f>
        <v/>
      </c>
    </row>
    <row r="35">
      <c r="A35" s="3" t="n">
        <v>46057</v>
      </c>
      <c r="B35" s="4" t="inlineStr">
        <is>
          <t>Wednesday</t>
        </is>
      </c>
      <c r="C35" s="4" t="inlineStr">
        <is>
          <t>Feb 26</t>
        </is>
      </c>
      <c r="D35" s="4" t="inlineStr">
        <is>
          <t>04/02/2026, 10:56 am</t>
        </is>
      </c>
      <c r="E35" s="4" t="inlineStr">
        <is>
          <t>04/02/2026, 10:57 am</t>
        </is>
      </c>
      <c r="F35" s="4">
        <f>(E35-D35)*24*60</f>
        <v/>
      </c>
      <c r="G35" s="4" t="inlineStr">
        <is>
          <t>Aakash india</t>
        </is>
      </c>
      <c r="H35" s="4" t="inlineStr">
        <is>
          <t>001fw000007QHysAAG</t>
        </is>
      </c>
      <c r="I35" s="4" t="n">
        <v>831002</v>
      </c>
      <c r="J35" s="4" t="inlineStr">
        <is>
          <t>EAST SINGHBUM</t>
        </is>
      </c>
      <c r="K35" s="4" t="inlineStr"/>
      <c r="L35" s="4" t="inlineStr">
        <is>
          <t>Influencer</t>
        </is>
      </c>
      <c r="M35" s="4" t="inlineStr">
        <is>
          <t>Got future date</t>
        </is>
      </c>
      <c r="N35" s="4" t="inlineStr">
        <is>
          <t>IHB CONTRACTOR USING RUNGTA TMT and kamdhenu TMT. Rates given 63 landed to the customer. Will connect us on inquiry.</t>
        </is>
      </c>
      <c r="O35" s="4" t="inlineStr">
        <is>
          <t>Last purchase rungta @ 54 landed at site. Will share inquiries and compare rates and let us know as per customer demand.</t>
        </is>
      </c>
      <c r="P35" s="4" t="inlineStr">
        <is>
          <t>IHB CONTRACTOR USING RUNGTA TMT and kamdhenu TMT. Rates given 63 landed to the customer. Will connect us on inquiry. | Last purchase rungta @ 54 landed at site. Will share inquiries and compare rates and let us know as per customer demand.</t>
        </is>
      </c>
      <c r="Q35" s="4">
        <f>LEN(TRIM(P35))-LEN(SUBSTITUTE(P35," ",""))+1</f>
        <v/>
      </c>
      <c r="R35" s="4" t="n">
        <v>22.8119462</v>
      </c>
      <c r="S35" s="4" t="n">
        <v>86.2152133</v>
      </c>
      <c r="T35" s="4">
        <f>COUNTIF($G$2:G35,G35)</f>
        <v/>
      </c>
      <c r="U35" s="4">
        <f>IF(F35&lt;5,"YES","NO")</f>
        <v/>
      </c>
      <c r="V35" s="4">
        <f>IF(AND(N35&lt;&gt;"",O35&lt;&gt;""),"YES","NO")</f>
        <v/>
      </c>
      <c r="W35" s="4">
        <f>IF(HOUR(D35)&lt;12,"Morning",IF(HOUR(D35)&lt;17,"Afternoon","Evening"))</f>
        <v/>
      </c>
      <c r="X35" s="4" t="n">
        <v>2</v>
      </c>
      <c r="Y35" s="4">
        <f>IF(F35&lt;5,"&lt;5 min",IF(F35&lt;15,"5-15 min",IF(F35&lt;30,"15-30 min","30+ min")))</f>
        <v/>
      </c>
    </row>
    <row r="36">
      <c r="A36" s="3" t="n">
        <v>45966</v>
      </c>
      <c r="B36" s="4" t="inlineStr">
        <is>
          <t>Wednesday</t>
        </is>
      </c>
      <c r="C36" s="4" t="inlineStr">
        <is>
          <t>Nov 25</t>
        </is>
      </c>
      <c r="D36" s="4" t="inlineStr">
        <is>
          <t>05/11/2025, 7:26 pm</t>
        </is>
      </c>
      <c r="E36" s="4" t="inlineStr">
        <is>
          <t>05/11/2025, 7:30 pm</t>
        </is>
      </c>
      <c r="F36" s="4">
        <f>(E36-D36)*24*60</f>
        <v/>
      </c>
      <c r="G36" s="4" t="inlineStr">
        <is>
          <t>Aakash india construction</t>
        </is>
      </c>
      <c r="H36" s="4" t="inlineStr">
        <is>
          <t>001fw000007kcXiAAI</t>
        </is>
      </c>
      <c r="I36" s="4" t="n">
        <v>831002</v>
      </c>
      <c r="J36" s="4" t="inlineStr">
        <is>
          <t>EAST SINGHBUM</t>
        </is>
      </c>
      <c r="K36" s="4" t="inlineStr"/>
      <c r="L36" s="4" t="inlineStr">
        <is>
          <t>Influencer</t>
        </is>
      </c>
      <c r="M36" s="4" t="inlineStr">
        <is>
          <t>Got future date</t>
        </is>
      </c>
      <c r="N36" s="4" t="inlineStr">
        <is>
          <t>Contractortor of ihb projects. Using Tata tiscon . Rates given 54900 landed through retailer.</t>
        </is>
      </c>
      <c r="O36" s="4" t="inlineStr">
        <is>
          <t>Will connect us with inquiry. No inquiry now need time . Waiting for demand.</t>
        </is>
      </c>
      <c r="P36" s="4" t="inlineStr">
        <is>
          <t>Contractortor of ihb projects. Using Tata tiscon . Rates given 54900 landed through retailer. | Will connect us with inquiry. No inquiry now need time . Waiting for demand.</t>
        </is>
      </c>
      <c r="Q36" s="4">
        <f>LEN(TRIM(P36))-LEN(SUBSTITUTE(P36," ",""))+1</f>
        <v/>
      </c>
      <c r="R36" s="4" t="n">
        <v>22.8119739</v>
      </c>
      <c r="S36" s="4" t="n">
        <v>86.215176</v>
      </c>
      <c r="T36" s="4">
        <f>COUNTIF($G$2:G36,G36)</f>
        <v/>
      </c>
      <c r="U36" s="4">
        <f>IF(F36&lt;5,"YES","NO")</f>
        <v/>
      </c>
      <c r="V36" s="4">
        <f>IF(AND(N36&lt;&gt;"",O36&lt;&gt;""),"YES","NO")</f>
        <v/>
      </c>
      <c r="W36" s="4">
        <f>IF(HOUR(D36)&lt;12,"Morning",IF(HOUR(D36)&lt;17,"Afternoon","Evening"))</f>
        <v/>
      </c>
      <c r="X36" s="4" t="n">
        <v>6</v>
      </c>
      <c r="Y36" s="4">
        <f>IF(F36&lt;5,"&lt;5 min",IF(F36&lt;15,"5-15 min",IF(F36&lt;30,"15-30 min","30+ min")))</f>
        <v/>
      </c>
    </row>
    <row r="37">
      <c r="A37" s="3" t="n">
        <v>45967</v>
      </c>
      <c r="B37" s="4" t="inlineStr">
        <is>
          <t>Thursday</t>
        </is>
      </c>
      <c r="C37" s="4" t="inlineStr">
        <is>
          <t>Nov 25</t>
        </is>
      </c>
      <c r="D37" s="4" t="inlineStr">
        <is>
          <t>06/11/2025, 5:30 pm</t>
        </is>
      </c>
      <c r="E37" s="4" t="inlineStr">
        <is>
          <t>06/11/2025, 5:31 pm</t>
        </is>
      </c>
      <c r="F37" s="4">
        <f>(E37-D37)*24*60</f>
        <v/>
      </c>
      <c r="G37" s="4" t="inlineStr">
        <is>
          <t>Aakash india construction</t>
        </is>
      </c>
      <c r="H37" s="4" t="inlineStr">
        <is>
          <t>001fw000007kO9wAAE</t>
        </is>
      </c>
      <c r="I37" s="4" t="n">
        <v>831002</v>
      </c>
      <c r="J37" s="4" t="inlineStr">
        <is>
          <t>EAST SINGHBUM</t>
        </is>
      </c>
      <c r="K37" s="4" t="inlineStr"/>
      <c r="L37" s="4" t="inlineStr">
        <is>
          <t>Influencer</t>
        </is>
      </c>
      <c r="M37" s="4" t="inlineStr">
        <is>
          <t>Got future date</t>
        </is>
      </c>
      <c r="N37" s="4" t="inlineStr">
        <is>
          <t>Ihb contractor . Rates given 57000 landed to the customer currently using rungta at site.</t>
        </is>
      </c>
      <c r="O37" s="4" t="inlineStr">
        <is>
          <t>Will connect with inquiry . Last purchase @ 50000 landed.</t>
        </is>
      </c>
      <c r="P37" s="4" t="inlineStr">
        <is>
          <t>Ihb contractor . Rates given 57000 landed to the customer currently using rungta at site. | Will connect with inquiry . Last purchase @ 50000 landed.</t>
        </is>
      </c>
      <c r="Q37" s="4">
        <f>LEN(TRIM(P37))-LEN(SUBSTITUTE(P37," ",""))+1</f>
        <v/>
      </c>
      <c r="R37" s="4" t="n">
        <v>22.8119588</v>
      </c>
      <c r="S37" s="4" t="n">
        <v>86.21519670000001</v>
      </c>
      <c r="T37" s="4">
        <f>COUNTIF($G$2:G37,G37)</f>
        <v/>
      </c>
      <c r="U37" s="4">
        <f>IF(F37&lt;5,"YES","NO")</f>
        <v/>
      </c>
      <c r="V37" s="4">
        <f>IF(AND(N37&lt;&gt;"",O37&lt;&gt;""),"YES","NO")</f>
        <v/>
      </c>
      <c r="W37" s="4">
        <f>IF(HOUR(D37)&lt;12,"Morning",IF(HOUR(D37)&lt;17,"Afternoon","Evening"))</f>
        <v/>
      </c>
      <c r="X37" s="4" t="n">
        <v>6</v>
      </c>
      <c r="Y37" s="4">
        <f>IF(F37&lt;5,"&lt;5 min",IF(F37&lt;15,"5-15 min",IF(F37&lt;30,"15-30 min","30+ min")))</f>
        <v/>
      </c>
    </row>
    <row r="38">
      <c r="A38" s="3" t="n">
        <v>45969</v>
      </c>
      <c r="B38" s="4" t="inlineStr">
        <is>
          <t>Saturday</t>
        </is>
      </c>
      <c r="C38" s="4" t="inlineStr">
        <is>
          <t>Nov 25</t>
        </is>
      </c>
      <c r="D38" s="4" t="inlineStr">
        <is>
          <t>08/11/2025, 6:29 pm</t>
        </is>
      </c>
      <c r="E38" s="4" t="inlineStr">
        <is>
          <t>08/11/2025, 6:29 pm</t>
        </is>
      </c>
      <c r="F38" s="4">
        <f>(E38-D38)*24*60</f>
        <v/>
      </c>
      <c r="G38" s="4" t="inlineStr">
        <is>
          <t>Aakash india construction</t>
        </is>
      </c>
      <c r="H38" s="4" t="inlineStr">
        <is>
          <t>001fw000007jwrwAAA</t>
        </is>
      </c>
      <c r="I38" s="4" t="n">
        <v>831002</v>
      </c>
      <c r="J38" s="4" t="inlineStr">
        <is>
          <t>EAST SINGHBUM</t>
        </is>
      </c>
      <c r="K38" s="4" t="inlineStr"/>
      <c r="L38" s="4" t="inlineStr">
        <is>
          <t>Influencer</t>
        </is>
      </c>
      <c r="M38" s="4" t="inlineStr">
        <is>
          <t>Got future date</t>
        </is>
      </c>
      <c r="N38" s="4" t="inlineStr">
        <is>
          <t>Ihb contractor using tiscon and rungta . Rates given 58 landed through dealer.</t>
        </is>
      </c>
      <c r="O38" s="4" t="inlineStr">
        <is>
          <t>Will connect with an inquiry. Need time for demand generation. .</t>
        </is>
      </c>
      <c r="P38" s="4" t="inlineStr">
        <is>
          <t>Ihb contractor using tiscon and rungta . Rates given 58 landed through dealer. | Will connect with an inquiry. Need time for demand generation. .</t>
        </is>
      </c>
      <c r="Q38" s="4">
        <f>LEN(TRIM(P38))-LEN(SUBSTITUTE(P38," ",""))+1</f>
        <v/>
      </c>
      <c r="R38" s="4" t="n">
        <v>22.8067499</v>
      </c>
      <c r="S38" s="4" t="n">
        <v>86.2223594</v>
      </c>
      <c r="T38" s="4">
        <f>COUNTIF($G$2:G38,G38)</f>
        <v/>
      </c>
      <c r="U38" s="4">
        <f>IF(F38&lt;5,"YES","NO")</f>
        <v/>
      </c>
      <c r="V38" s="4">
        <f>IF(AND(N38&lt;&gt;"",O38&lt;&gt;""),"YES","NO")</f>
        <v/>
      </c>
      <c r="W38" s="4">
        <f>IF(HOUR(D38)&lt;12,"Morning",IF(HOUR(D38)&lt;17,"Afternoon","Evening"))</f>
        <v/>
      </c>
      <c r="X38" s="4" t="n">
        <v>5</v>
      </c>
      <c r="Y38" s="4">
        <f>IF(F38&lt;5,"&lt;5 min",IF(F38&lt;15,"5-15 min",IF(F38&lt;30,"15-30 min","30+ min")))</f>
        <v/>
      </c>
    </row>
    <row r="39">
      <c r="A39" s="3" t="n">
        <v>45973</v>
      </c>
      <c r="B39" s="4" t="inlineStr">
        <is>
          <t>Wednesday</t>
        </is>
      </c>
      <c r="C39" s="4" t="inlineStr">
        <is>
          <t>Nov 25</t>
        </is>
      </c>
      <c r="D39" s="4" t="inlineStr">
        <is>
          <t>12/11/2025, 6:47 pm</t>
        </is>
      </c>
      <c r="E39" s="4" t="inlineStr">
        <is>
          <t>12/11/2025, 6:55 pm</t>
        </is>
      </c>
      <c r="F39" s="4">
        <f>(E39-D39)*24*60</f>
        <v/>
      </c>
      <c r="G39" s="4" t="inlineStr">
        <is>
          <t>Aakash india construction</t>
        </is>
      </c>
      <c r="H39" s="4" t="inlineStr">
        <is>
          <t>001fw000007jwrwAAA</t>
        </is>
      </c>
      <c r="I39" s="4" t="n">
        <v>831002</v>
      </c>
      <c r="J39" s="4" t="inlineStr">
        <is>
          <t>EAST SINGHBUM</t>
        </is>
      </c>
      <c r="K39" s="4" t="inlineStr"/>
      <c r="L39" s="4" t="inlineStr">
        <is>
          <t>Influencer</t>
        </is>
      </c>
      <c r="M39" s="4" t="inlineStr">
        <is>
          <t>Got future date</t>
        </is>
      </c>
      <c r="N39" s="4" t="inlineStr">
        <is>
          <t>Ihb contractor using tiscon and rungta. Rates given 58000 landed to the dealer. Will connect with inquiry</t>
        </is>
      </c>
      <c r="O39" s="4" t="inlineStr">
        <is>
          <t>Rates are workable will share next inquiry. Last purchased rungta @ 51 from retailer.</t>
        </is>
      </c>
      <c r="P39" s="4" t="inlineStr">
        <is>
          <t>Ihb contractor using tiscon and rungta. Rates given 58000 landed to the dealer. Will connect with inquiry | Rates are workable will share next inquiry. Last purchased rungta @ 51 from retailer.</t>
        </is>
      </c>
      <c r="Q39" s="4">
        <f>LEN(TRIM(P39))-LEN(SUBSTITUTE(P39," ",""))+1</f>
        <v/>
      </c>
      <c r="R39" s="4" t="n">
        <v>22.8121323</v>
      </c>
      <c r="S39" s="4" t="n">
        <v>86.2151638</v>
      </c>
      <c r="T39" s="4">
        <f>COUNTIF($G$2:G39,G39)</f>
        <v/>
      </c>
      <c r="U39" s="4">
        <f>IF(F39&lt;5,"YES","NO")</f>
        <v/>
      </c>
      <c r="V39" s="4">
        <f>IF(AND(N39&lt;&gt;"",O39&lt;&gt;""),"YES","NO")</f>
        <v/>
      </c>
      <c r="W39" s="4">
        <f>IF(HOUR(D39)&lt;12,"Morning",IF(HOUR(D39)&lt;17,"Afternoon","Evening"))</f>
        <v/>
      </c>
      <c r="X39" s="4" t="n">
        <v>8</v>
      </c>
      <c r="Y39" s="4">
        <f>IF(F39&lt;5,"&lt;5 min",IF(F39&lt;15,"5-15 min",IF(F39&lt;30,"15-30 min","30+ min")))</f>
        <v/>
      </c>
    </row>
    <row r="40">
      <c r="A40" s="3" t="n">
        <v>45974</v>
      </c>
      <c r="B40" s="4" t="inlineStr">
        <is>
          <t>Thursday</t>
        </is>
      </c>
      <c r="C40" s="4" t="inlineStr">
        <is>
          <t>Nov 25</t>
        </is>
      </c>
      <c r="D40" s="4" t="inlineStr">
        <is>
          <t>13/11/2025, 6:39 pm</t>
        </is>
      </c>
      <c r="E40" s="4" t="inlineStr">
        <is>
          <t>13/11/2025, 6:44 pm</t>
        </is>
      </c>
      <c r="F40" s="4">
        <f>(E40-D40)*24*60</f>
        <v/>
      </c>
      <c r="G40" s="4" t="inlineStr">
        <is>
          <t>Aakash india construction</t>
        </is>
      </c>
      <c r="H40" s="4" t="inlineStr">
        <is>
          <t>001fw000007kcXiAAI</t>
        </is>
      </c>
      <c r="I40" s="4" t="n">
        <v>831002</v>
      </c>
      <c r="J40" s="4" t="inlineStr">
        <is>
          <t>EAST SINGHBUM</t>
        </is>
      </c>
      <c r="K40" s="4" t="inlineStr"/>
      <c r="L40" s="4" t="inlineStr">
        <is>
          <t>Influencer</t>
        </is>
      </c>
      <c r="M40" s="4" t="inlineStr">
        <is>
          <t>Got future date</t>
        </is>
      </c>
      <c r="N40" s="4" t="inlineStr">
        <is>
          <t>Contractor of ihb projects. Using Tata tiscon and rungta tmt . Rates given 47000 basic to the customer. Will connect us.</t>
        </is>
      </c>
      <c r="O40" s="4" t="inlineStr">
        <is>
          <t>Will give us inquiry when received from direct customer.</t>
        </is>
      </c>
      <c r="P40" s="4" t="inlineStr">
        <is>
          <t>Contractor of ihb projects. Using Tata tiscon and rungta tmt . Rates given 47000 basic to the customer. Will connect us. | Will give us inquiry when received from direct customer.</t>
        </is>
      </c>
      <c r="Q40" s="4">
        <f>LEN(TRIM(P40))-LEN(SUBSTITUTE(P40," ",""))+1</f>
        <v/>
      </c>
      <c r="R40" s="4" t="n">
        <v>22.8120922</v>
      </c>
      <c r="S40" s="4" t="n">
        <v>86.2151145</v>
      </c>
      <c r="T40" s="4">
        <f>COUNTIF($G$2:G40,G40)</f>
        <v/>
      </c>
      <c r="U40" s="4">
        <f>IF(F40&lt;5,"YES","NO")</f>
        <v/>
      </c>
      <c r="V40" s="4">
        <f>IF(AND(N40&lt;&gt;"",O40&lt;&gt;""),"YES","NO")</f>
        <v/>
      </c>
      <c r="W40" s="4">
        <f>IF(HOUR(D40)&lt;12,"Morning",IF(HOUR(D40)&lt;17,"Afternoon","Evening"))</f>
        <v/>
      </c>
      <c r="X40" s="4" t="n">
        <v>7</v>
      </c>
      <c r="Y40" s="4">
        <f>IF(F40&lt;5,"&lt;5 min",IF(F40&lt;15,"5-15 min",IF(F40&lt;30,"15-30 min","30+ min")))</f>
        <v/>
      </c>
    </row>
    <row r="41">
      <c r="A41" s="3" t="n">
        <v>45978</v>
      </c>
      <c r="B41" s="4" t="inlineStr">
        <is>
          <t>Monday</t>
        </is>
      </c>
      <c r="C41" s="4" t="inlineStr">
        <is>
          <t>Nov 25</t>
        </is>
      </c>
      <c r="D41" s="4" t="inlineStr">
        <is>
          <t>17/11/2025, 6:33 pm</t>
        </is>
      </c>
      <c r="E41" s="4" t="inlineStr">
        <is>
          <t>17/11/2025, 6:34 pm</t>
        </is>
      </c>
      <c r="F41" s="4">
        <f>(E41-D41)*24*60</f>
        <v/>
      </c>
      <c r="G41" s="4" t="inlineStr">
        <is>
          <t>Aakash india construction</t>
        </is>
      </c>
      <c r="H41" s="4" t="inlineStr">
        <is>
          <t>001fw000007jwrwAAA</t>
        </is>
      </c>
      <c r="I41" s="4" t="n">
        <v>831002</v>
      </c>
      <c r="J41" s="4" t="inlineStr">
        <is>
          <t>EAST SINGHBUM</t>
        </is>
      </c>
      <c r="K41" s="4" t="inlineStr"/>
      <c r="L41" s="4" t="inlineStr">
        <is>
          <t>Influencer</t>
        </is>
      </c>
      <c r="M41" s="4" t="inlineStr">
        <is>
          <t>Got future date</t>
        </is>
      </c>
      <c r="N41" s="4" t="inlineStr">
        <is>
          <t>Ihb contractor and influencer using tiscon and rungta . Rates 54.5 given to the customer.</t>
        </is>
      </c>
      <c r="O41" s="4" t="inlineStr">
        <is>
          <t>No inquiry now . Will connect us with an inquiry.</t>
        </is>
      </c>
      <c r="P41" s="4" t="inlineStr">
        <is>
          <t>Ihb contractor and influencer using tiscon and rungta . Rates 54.5 given to the customer. | No inquiry now . Will connect us with an inquiry.</t>
        </is>
      </c>
      <c r="Q41" s="4">
        <f>LEN(TRIM(P41))-LEN(SUBSTITUTE(P41," ",""))+1</f>
        <v/>
      </c>
      <c r="R41" s="4" t="n">
        <v>22.8075808</v>
      </c>
      <c r="S41" s="4" t="n">
        <v>86.221752</v>
      </c>
      <c r="T41" s="4">
        <f>COUNTIF($G$2:G41,G41)</f>
        <v/>
      </c>
      <c r="U41" s="4">
        <f>IF(F41&lt;5,"YES","NO")</f>
        <v/>
      </c>
      <c r="V41" s="4">
        <f>IF(AND(N41&lt;&gt;"",O41&lt;&gt;""),"YES","NO")</f>
        <v/>
      </c>
      <c r="W41" s="4">
        <f>IF(HOUR(D41)&lt;12,"Morning",IF(HOUR(D41)&lt;17,"Afternoon","Evening"))</f>
        <v/>
      </c>
      <c r="X41" s="4" t="n">
        <v>8</v>
      </c>
      <c r="Y41" s="4">
        <f>IF(F41&lt;5,"&lt;5 min",IF(F41&lt;15,"5-15 min",IF(F41&lt;30,"15-30 min","30+ min")))</f>
        <v/>
      </c>
    </row>
    <row r="42">
      <c r="A42" s="3" t="n">
        <v>45982</v>
      </c>
      <c r="B42" s="4" t="inlineStr">
        <is>
          <t>Friday</t>
        </is>
      </c>
      <c r="C42" s="4" t="inlineStr">
        <is>
          <t>Nov 25</t>
        </is>
      </c>
      <c r="D42" s="4" t="inlineStr">
        <is>
          <t>21/11/2025, 4:15 pm</t>
        </is>
      </c>
      <c r="E42" s="4" t="inlineStr">
        <is>
          <t>21/11/2025, 4:16 pm</t>
        </is>
      </c>
      <c r="F42" s="4">
        <f>(E42-D42)*24*60</f>
        <v/>
      </c>
      <c r="G42" s="4" t="inlineStr">
        <is>
          <t>Aakash india construction</t>
        </is>
      </c>
      <c r="H42" s="4" t="inlineStr">
        <is>
          <t>001fw000007kcXiAAI</t>
        </is>
      </c>
      <c r="I42" s="4" t="n">
        <v>831002</v>
      </c>
      <c r="J42" s="4" t="inlineStr">
        <is>
          <t>EAST SINGHBUM</t>
        </is>
      </c>
      <c r="K42" s="4" t="inlineStr"/>
      <c r="L42" s="4" t="inlineStr">
        <is>
          <t>Influencer</t>
        </is>
      </c>
      <c r="M42" s="4" t="inlineStr">
        <is>
          <t>Got future date</t>
        </is>
      </c>
      <c r="N42" s="4" t="inlineStr">
        <is>
          <t>Contractor of ihb projects using Tata tiscon and rungta tmt . Rates given 54000 landed</t>
        </is>
      </c>
      <c r="O42" s="4" t="inlineStr">
        <is>
          <t>Need time will pass inquiry when received from end user .</t>
        </is>
      </c>
      <c r="P42" s="4" t="inlineStr">
        <is>
          <t>Contractor of ihb projects using Tata tiscon and rungta tmt . Rates given 54000 landed | Need time will pass inquiry when received from end user .</t>
        </is>
      </c>
      <c r="Q42" s="4">
        <f>LEN(TRIM(P42))-LEN(SUBSTITUTE(P42," ",""))+1</f>
        <v/>
      </c>
      <c r="R42" s="4" t="n">
        <v>22.8119743</v>
      </c>
      <c r="S42" s="4" t="n">
        <v>86.2151989</v>
      </c>
      <c r="T42" s="4">
        <f>COUNTIF($G$2:G42,G42)</f>
        <v/>
      </c>
      <c r="U42" s="4">
        <f>IF(F42&lt;5,"YES","NO")</f>
        <v/>
      </c>
      <c r="V42" s="4">
        <f>IF(AND(N42&lt;&gt;"",O42&lt;&gt;""),"YES","NO")</f>
        <v/>
      </c>
      <c r="W42" s="4">
        <f>IF(HOUR(D42)&lt;12,"Morning",IF(HOUR(D42)&lt;17,"Afternoon","Evening"))</f>
        <v/>
      </c>
      <c r="X42" s="4" t="n">
        <v>5</v>
      </c>
      <c r="Y42" s="4">
        <f>IF(F42&lt;5,"&lt;5 min",IF(F42&lt;15,"5-15 min",IF(F42&lt;30,"15-30 min","30+ min")))</f>
        <v/>
      </c>
    </row>
    <row r="43">
      <c r="A43" s="3" t="n">
        <v>46001</v>
      </c>
      <c r="B43" s="4" t="inlineStr">
        <is>
          <t>Wednesday</t>
        </is>
      </c>
      <c r="C43" s="4" t="inlineStr">
        <is>
          <t>Dec 25</t>
        </is>
      </c>
      <c r="D43" s="4" t="inlineStr">
        <is>
          <t>10/12/2025, 7:12 pm</t>
        </is>
      </c>
      <c r="E43" s="4" t="inlineStr">
        <is>
          <t>10/12/2025, 7:14 pm</t>
        </is>
      </c>
      <c r="F43" s="4">
        <f>(E43-D43)*24*60</f>
        <v/>
      </c>
      <c r="G43" s="4" t="inlineStr">
        <is>
          <t>Aakash india construction</t>
        </is>
      </c>
      <c r="H43" s="4" t="inlineStr">
        <is>
          <t>001fw000007kcXiAAI</t>
        </is>
      </c>
      <c r="I43" s="4" t="n">
        <v>831002</v>
      </c>
      <c r="J43" s="4" t="inlineStr">
        <is>
          <t>EAST SINGHBUM</t>
        </is>
      </c>
      <c r="K43" s="4" t="inlineStr"/>
      <c r="L43" s="4" t="inlineStr">
        <is>
          <t>Influencer</t>
        </is>
      </c>
      <c r="M43" s="4" t="inlineStr">
        <is>
          <t>Got future date</t>
        </is>
      </c>
      <c r="N43" s="4" t="inlineStr">
        <is>
          <t>Ihb contractor . Using rungta tmt and shyam steel . Rates given 57000 landed . Need time</t>
        </is>
      </c>
      <c r="O43" s="4" t="inlineStr">
        <is>
          <t>Need time for tmt inquiry. He will contact our dealer.</t>
        </is>
      </c>
      <c r="P43" s="4" t="inlineStr">
        <is>
          <t>Ihb contractor . Using rungta tmt and shyam steel . Rates given 57000 landed . Need time | Need time for tmt inquiry. He will contact our dealer.</t>
        </is>
      </c>
      <c r="Q43" s="4">
        <f>LEN(TRIM(P43))-LEN(SUBSTITUTE(P43," ",""))+1</f>
        <v/>
      </c>
      <c r="R43" s="4" t="n">
        <v>22.8122964</v>
      </c>
      <c r="S43" s="4" t="n">
        <v>86.21530780000001</v>
      </c>
      <c r="T43" s="4">
        <f>COUNTIF($G$2:G43,G43)</f>
        <v/>
      </c>
      <c r="U43" s="4">
        <f>IF(F43&lt;5,"YES","NO")</f>
        <v/>
      </c>
      <c r="V43" s="4">
        <f>IF(AND(N43&lt;&gt;"",O43&lt;&gt;""),"YES","NO")</f>
        <v/>
      </c>
      <c r="W43" s="4">
        <f>IF(HOUR(D43)&lt;12,"Morning",IF(HOUR(D43)&lt;17,"Afternoon","Evening"))</f>
        <v/>
      </c>
      <c r="X43" s="4" t="n">
        <v>7</v>
      </c>
      <c r="Y43" s="4">
        <f>IF(F43&lt;5,"&lt;5 min",IF(F43&lt;15,"5-15 min",IF(F43&lt;30,"15-30 min","30+ min")))</f>
        <v/>
      </c>
    </row>
    <row r="44">
      <c r="A44" s="3" t="n">
        <v>46003</v>
      </c>
      <c r="B44" s="4" t="inlineStr">
        <is>
          <t>Friday</t>
        </is>
      </c>
      <c r="C44" s="4" t="inlineStr">
        <is>
          <t>Dec 25</t>
        </is>
      </c>
      <c r="D44" s="4" t="inlineStr">
        <is>
          <t>12/12/2025, 1:44 pm</t>
        </is>
      </c>
      <c r="E44" s="4" t="inlineStr">
        <is>
          <t>12/12/2025, 1:45 pm</t>
        </is>
      </c>
      <c r="F44" s="4">
        <f>(E44-D44)*24*60</f>
        <v/>
      </c>
      <c r="G44" s="4" t="inlineStr">
        <is>
          <t>Aakash india construction</t>
        </is>
      </c>
      <c r="H44" s="4" t="inlineStr">
        <is>
          <t>001fw000007jwrwAAA</t>
        </is>
      </c>
      <c r="I44" s="4" t="n">
        <v>831002</v>
      </c>
      <c r="J44" s="4" t="inlineStr">
        <is>
          <t>EAST SINGHBUM</t>
        </is>
      </c>
      <c r="K44" s="4" t="inlineStr"/>
      <c r="L44" s="4" t="inlineStr">
        <is>
          <t>Influencer</t>
        </is>
      </c>
      <c r="M44" s="4" t="inlineStr">
        <is>
          <t>Got future date</t>
        </is>
      </c>
      <c r="N44" s="4" t="inlineStr">
        <is>
          <t>Contractor of ihb projects using rungta and kamdhenu . Rates given 57000 landed through retailer.</t>
        </is>
      </c>
      <c r="O44" s="4" t="inlineStr">
        <is>
          <t>Will connect us when inquiry comes to him by any direction end custumer. Currently 4 projects going on .</t>
        </is>
      </c>
      <c r="P44" s="4" t="inlineStr">
        <is>
          <t>Contractor of ihb projects using rungta and kamdhenu . Rates given 57000 landed through retailer. | Will connect us when inquiry comes to him by any direction end custumer. Currently 4 projects going on .</t>
        </is>
      </c>
      <c r="Q44" s="4">
        <f>LEN(TRIM(P44))-LEN(SUBSTITUTE(P44," ",""))+1</f>
        <v/>
      </c>
      <c r="R44" s="4" t="n">
        <v>22.8063001</v>
      </c>
      <c r="S44" s="4" t="n">
        <v>86.2229407</v>
      </c>
      <c r="T44" s="4">
        <f>COUNTIF($G$2:G44,G44)</f>
        <v/>
      </c>
      <c r="U44" s="4">
        <f>IF(F44&lt;5,"YES","NO")</f>
        <v/>
      </c>
      <c r="V44" s="4">
        <f>IF(AND(N44&lt;&gt;"",O44&lt;&gt;""),"YES","NO")</f>
        <v/>
      </c>
      <c r="W44" s="4">
        <f>IF(HOUR(D44)&lt;12,"Morning",IF(HOUR(D44)&lt;17,"Afternoon","Evening"))</f>
        <v/>
      </c>
      <c r="X44" s="4" t="n">
        <v>7</v>
      </c>
      <c r="Y44" s="4">
        <f>IF(F44&lt;5,"&lt;5 min",IF(F44&lt;15,"5-15 min",IF(F44&lt;30,"15-30 min","30+ min")))</f>
        <v/>
      </c>
    </row>
    <row r="45">
      <c r="A45" s="3" t="n">
        <v>46007</v>
      </c>
      <c r="B45" s="4" t="inlineStr">
        <is>
          <t>Tuesday</t>
        </is>
      </c>
      <c r="C45" s="4" t="inlineStr">
        <is>
          <t>Dec 25</t>
        </is>
      </c>
      <c r="D45" s="4" t="inlineStr">
        <is>
          <t>16/12/2025, 7:08 pm</t>
        </is>
      </c>
      <c r="E45" s="4" t="inlineStr">
        <is>
          <t>16/12/2025, 7:09 pm</t>
        </is>
      </c>
      <c r="F45" s="4">
        <f>(E45-D45)*24*60</f>
        <v/>
      </c>
      <c r="G45" s="4" t="inlineStr">
        <is>
          <t>Aakash india construction</t>
        </is>
      </c>
      <c r="H45" s="4" t="inlineStr">
        <is>
          <t>001fw000007kO9wAAE</t>
        </is>
      </c>
      <c r="I45" s="4" t="n">
        <v>831002</v>
      </c>
      <c r="J45" s="4" t="inlineStr">
        <is>
          <t>EAST SINGHBUM</t>
        </is>
      </c>
      <c r="K45" s="4" t="inlineStr"/>
      <c r="L45" s="4" t="inlineStr">
        <is>
          <t>Influencer</t>
        </is>
      </c>
      <c r="M45" s="4" t="inlineStr">
        <is>
          <t>Got future date</t>
        </is>
      </c>
      <c r="N45" s="4" t="inlineStr">
        <is>
          <t>Contractor of ihb projects. Using rungta and shyam . Rates given 57000 landed through dealer.</t>
        </is>
      </c>
      <c r="O45" s="4" t="inlineStr">
        <is>
          <t>Will let us know and connect dealer for rates and services.</t>
        </is>
      </c>
      <c r="P45" s="4" t="inlineStr">
        <is>
          <t>Contractor of ihb projects. Using rungta and shyam . Rates given 57000 landed through dealer. | Will let us know and connect dealer for rates and services.</t>
        </is>
      </c>
      <c r="Q45" s="4">
        <f>LEN(TRIM(P45))-LEN(SUBSTITUTE(P45," ",""))+1</f>
        <v/>
      </c>
      <c r="R45" s="4" t="n">
        <v>22.8061963</v>
      </c>
      <c r="S45" s="4" t="n">
        <v>86.22302500000001</v>
      </c>
      <c r="T45" s="4">
        <f>COUNTIF($G$2:G45,G45)</f>
        <v/>
      </c>
      <c r="U45" s="4">
        <f>IF(F45&lt;5,"YES","NO")</f>
        <v/>
      </c>
      <c r="V45" s="4">
        <f>IF(AND(N45&lt;&gt;"",O45&lt;&gt;""),"YES","NO")</f>
        <v/>
      </c>
      <c r="W45" s="4">
        <f>IF(HOUR(D45)&lt;12,"Morning",IF(HOUR(D45)&lt;17,"Afternoon","Evening"))</f>
        <v/>
      </c>
      <c r="X45" s="4" t="n">
        <v>7</v>
      </c>
      <c r="Y45" s="4">
        <f>IF(F45&lt;5,"&lt;5 min",IF(F45&lt;15,"5-15 min",IF(F45&lt;30,"15-30 min","30+ min")))</f>
        <v/>
      </c>
    </row>
    <row r="46">
      <c r="A46" s="3" t="n">
        <v>46010</v>
      </c>
      <c r="B46" s="4" t="inlineStr">
        <is>
          <t>Friday</t>
        </is>
      </c>
      <c r="C46" s="4" t="inlineStr">
        <is>
          <t>Dec 25</t>
        </is>
      </c>
      <c r="D46" s="4" t="inlineStr">
        <is>
          <t>19/12/2025, 3:56 pm</t>
        </is>
      </c>
      <c r="E46" s="4" t="inlineStr">
        <is>
          <t>19/12/2025, 3:57 pm</t>
        </is>
      </c>
      <c r="F46" s="4">
        <f>(E46-D46)*24*60</f>
        <v/>
      </c>
      <c r="G46" s="4" t="inlineStr">
        <is>
          <t>Aakash india construction</t>
        </is>
      </c>
      <c r="H46" s="4" t="inlineStr">
        <is>
          <t>001fw000007jwrwAAA</t>
        </is>
      </c>
      <c r="I46" s="4" t="n">
        <v>831002</v>
      </c>
      <c r="J46" s="4" t="inlineStr">
        <is>
          <t>EAST SINGHBUM</t>
        </is>
      </c>
      <c r="K46" s="4" t="inlineStr"/>
      <c r="L46" s="4" t="inlineStr">
        <is>
          <t>Influencer</t>
        </is>
      </c>
      <c r="M46" s="4" t="inlineStr">
        <is>
          <t>Got future date</t>
        </is>
      </c>
      <c r="N46" s="4" t="inlineStr">
        <is>
          <t>Using rungta tmt and Tata tiscon. Will connect rates given 57000 landed to the dealer . Need time to float inquiry .</t>
        </is>
      </c>
      <c r="O46" s="4" t="inlineStr">
        <is>
          <t>Will connect when inquiry comes by him. Will share for rates to the dealer.</t>
        </is>
      </c>
      <c r="P46" s="4" t="inlineStr">
        <is>
          <t>Using rungta tmt and Tata tiscon. Will connect rates given 57000 landed to the dealer . Need time to float inquiry . | Will connect when inquiry comes by him. Will share for rates to the dealer.</t>
        </is>
      </c>
      <c r="Q46" s="4">
        <f>LEN(TRIM(P46))-LEN(SUBSTITUTE(P46," ",""))+1</f>
        <v/>
      </c>
      <c r="R46" s="4" t="n">
        <v>22.8071768</v>
      </c>
      <c r="S46" s="4" t="n">
        <v>86.2224768</v>
      </c>
      <c r="T46" s="4">
        <f>COUNTIF($G$2:G46,G46)</f>
        <v/>
      </c>
      <c r="U46" s="4">
        <f>IF(F46&lt;5,"YES","NO")</f>
        <v/>
      </c>
      <c r="V46" s="4">
        <f>IF(AND(N46&lt;&gt;"",O46&lt;&gt;""),"YES","NO")</f>
        <v/>
      </c>
      <c r="W46" s="4">
        <f>IF(HOUR(D46)&lt;12,"Morning",IF(HOUR(D46)&lt;17,"Afternoon","Evening"))</f>
        <v/>
      </c>
      <c r="X46" s="4" t="n">
        <v>7</v>
      </c>
      <c r="Y46" s="4">
        <f>IF(F46&lt;5,"&lt;5 min",IF(F46&lt;15,"5-15 min",IF(F46&lt;30,"15-30 min","30+ min")))</f>
        <v/>
      </c>
    </row>
    <row r="47">
      <c r="A47" s="3" t="n">
        <v>46014</v>
      </c>
      <c r="B47" s="4" t="inlineStr">
        <is>
          <t>Tuesday</t>
        </is>
      </c>
      <c r="C47" s="4" t="inlineStr">
        <is>
          <t>Dec 25</t>
        </is>
      </c>
      <c r="D47" s="4" t="inlineStr">
        <is>
          <t>23/12/2025, 12:05 pm</t>
        </is>
      </c>
      <c r="E47" s="4" t="inlineStr">
        <is>
          <t>23/12/2025, 12:10 pm</t>
        </is>
      </c>
      <c r="F47" s="4">
        <f>(E47-D47)*24*60</f>
        <v/>
      </c>
      <c r="G47" s="4" t="inlineStr">
        <is>
          <t>Aakash india construction</t>
        </is>
      </c>
      <c r="H47" s="4" t="inlineStr">
        <is>
          <t>001fw000007kcXiAAI</t>
        </is>
      </c>
      <c r="I47" s="4" t="n">
        <v>831002</v>
      </c>
      <c r="J47" s="4" t="inlineStr">
        <is>
          <t>EAST SINGHBUM</t>
        </is>
      </c>
      <c r="K47" s="4" t="inlineStr"/>
      <c r="L47" s="4" t="inlineStr">
        <is>
          <t>Influencer</t>
        </is>
      </c>
      <c r="M47" s="4" t="inlineStr">
        <is>
          <t>Got future date</t>
        </is>
      </c>
      <c r="N47" s="4" t="inlineStr">
        <is>
          <t>Ihb contractor. Using Tata steel and rungta tmt . Rates given 57000 landed to the custumer .</t>
        </is>
      </c>
      <c r="O47" s="4" t="inlineStr">
        <is>
          <t>Will connect us when demand comes to him .need time .</t>
        </is>
      </c>
      <c r="P47" s="4" t="inlineStr">
        <is>
          <t>Ihb contractor. Using Tata steel and rungta tmt . Rates given 57000 landed to the custumer . | Will connect us when demand comes to him .need time .</t>
        </is>
      </c>
      <c r="Q47" s="4">
        <f>LEN(TRIM(P47))-LEN(SUBSTITUTE(P47," ",""))+1</f>
        <v/>
      </c>
      <c r="R47" s="4" t="n">
        <v>22.8119902</v>
      </c>
      <c r="S47" s="4" t="n">
        <v>86.2152054</v>
      </c>
      <c r="T47" s="4">
        <f>COUNTIF($G$2:G47,G47)</f>
        <v/>
      </c>
      <c r="U47" s="4">
        <f>IF(F47&lt;5,"YES","NO")</f>
        <v/>
      </c>
      <c r="V47" s="4">
        <f>IF(AND(N47&lt;&gt;"",O47&lt;&gt;""),"YES","NO")</f>
        <v/>
      </c>
      <c r="W47" s="4">
        <f>IF(HOUR(D47)&lt;12,"Morning",IF(HOUR(D47)&lt;17,"Afternoon","Evening"))</f>
        <v/>
      </c>
      <c r="X47" s="4" t="n">
        <v>7</v>
      </c>
      <c r="Y47" s="4">
        <f>IF(F47&lt;5,"&lt;5 min",IF(F47&lt;15,"5-15 min",IF(F47&lt;30,"15-30 min","30+ min")))</f>
        <v/>
      </c>
    </row>
    <row r="48">
      <c r="A48" s="3" t="n">
        <v>46028</v>
      </c>
      <c r="B48" s="4" t="inlineStr">
        <is>
          <t>Tuesday</t>
        </is>
      </c>
      <c r="C48" s="4" t="inlineStr">
        <is>
          <t>Jan 26</t>
        </is>
      </c>
      <c r="D48" s="4" t="inlineStr">
        <is>
          <t>06/01/2026, 6:20 pm</t>
        </is>
      </c>
      <c r="E48" s="4" t="inlineStr">
        <is>
          <t>06/01/2026, 6:21 pm</t>
        </is>
      </c>
      <c r="F48" s="4">
        <f>(E48-D48)*24*60</f>
        <v/>
      </c>
      <c r="G48" s="4" t="inlineStr">
        <is>
          <t>Aakash india construction</t>
        </is>
      </c>
      <c r="H48" s="4" t="inlineStr">
        <is>
          <t>001fw000007kO9wAAE</t>
        </is>
      </c>
      <c r="I48" s="4" t="n">
        <v>831002</v>
      </c>
      <c r="J48" s="4" t="inlineStr">
        <is>
          <t>EAST SINGHBUM</t>
        </is>
      </c>
      <c r="K48" s="4" t="inlineStr"/>
      <c r="L48" s="4" t="inlineStr">
        <is>
          <t>Influencer</t>
        </is>
      </c>
      <c r="M48" s="4" t="inlineStr">
        <is>
          <t>Got future date</t>
        </is>
      </c>
      <c r="N48" s="4" t="inlineStr">
        <is>
          <t>IHB CONTRACTOR USING RUNGTA TMT and panther TMT. Rates given 59500 landed to customer.</t>
        </is>
      </c>
      <c r="O48" s="4" t="inlineStr">
        <is>
          <t>Will connect us on inquiry need time for the same. Selling Tata @ 74.</t>
        </is>
      </c>
      <c r="P48" s="4" t="inlineStr">
        <is>
          <t>IHB CONTRACTOR USING RUNGTA TMT and panther TMT. Rates given 59500 landed to customer. | Will connect us on inquiry need time for the same. Selling Tata @ 74.</t>
        </is>
      </c>
      <c r="Q48" s="4">
        <f>LEN(TRIM(P48))-LEN(SUBSTITUTE(P48," ",""))+1</f>
        <v/>
      </c>
      <c r="R48" s="4" t="n">
        <v>22.8072847</v>
      </c>
      <c r="S48" s="4" t="n">
        <v>86.22229950000001</v>
      </c>
      <c r="T48" s="4">
        <f>COUNTIF($G$2:G48,G48)</f>
        <v/>
      </c>
      <c r="U48" s="4">
        <f>IF(F48&lt;5,"YES","NO")</f>
        <v/>
      </c>
      <c r="V48" s="4">
        <f>IF(AND(N48&lt;&gt;"",O48&lt;&gt;""),"YES","NO")</f>
        <v/>
      </c>
      <c r="W48" s="4">
        <f>IF(HOUR(D48)&lt;12,"Morning",IF(HOUR(D48)&lt;17,"Afternoon","Evening"))</f>
        <v/>
      </c>
      <c r="X48" s="4" t="n">
        <v>7</v>
      </c>
      <c r="Y48" s="4">
        <f>IF(F48&lt;5,"&lt;5 min",IF(F48&lt;15,"5-15 min",IF(F48&lt;30,"15-30 min","30+ min")))</f>
        <v/>
      </c>
    </row>
    <row r="49">
      <c r="A49" s="3" t="n">
        <v>46030</v>
      </c>
      <c r="B49" s="4" t="inlineStr">
        <is>
          <t>Thursday</t>
        </is>
      </c>
      <c r="C49" s="4" t="inlineStr">
        <is>
          <t>Jan 26</t>
        </is>
      </c>
      <c r="D49" s="4" t="inlineStr">
        <is>
          <t>08/01/2026, 5:08 pm</t>
        </is>
      </c>
      <c r="E49" s="4" t="inlineStr">
        <is>
          <t>08/01/2026, 5:09 pm</t>
        </is>
      </c>
      <c r="F49" s="4">
        <f>(E49-D49)*24*60</f>
        <v/>
      </c>
      <c r="G49" s="4" t="inlineStr">
        <is>
          <t>Aakash india construction</t>
        </is>
      </c>
      <c r="H49" s="4" t="inlineStr">
        <is>
          <t>001fw000007jwrwAAA</t>
        </is>
      </c>
      <c r="I49" s="4" t="n">
        <v>831002</v>
      </c>
      <c r="J49" s="4" t="inlineStr">
        <is>
          <t>EAST SINGHBUM</t>
        </is>
      </c>
      <c r="K49" s="4" t="inlineStr"/>
      <c r="L49" s="4" t="inlineStr">
        <is>
          <t>Influencer</t>
        </is>
      </c>
      <c r="M49" s="4" t="inlineStr">
        <is>
          <t>Got future date</t>
        </is>
      </c>
      <c r="N49" s="4" t="inlineStr">
        <is>
          <t>IHB and commercial project contractor. Using rungta and panther TMT in his projects. Rates given 59500 landed to the CUSTUMER.</t>
        </is>
      </c>
      <c r="O49" s="4" t="inlineStr">
        <is>
          <t>Will let us know when inquiry comes from end user need time. Last purchased kamdhenu. @ 57.</t>
        </is>
      </c>
      <c r="P49" s="4" t="inlineStr">
        <is>
          <t>IHB and commercial project contractor. Using rungta and panther TMT in his projects. Rates given 59500 landed to the CUSTUMER. | Will let us know when inquiry comes from end user need time. Last purchased kamdhenu. @ 57.</t>
        </is>
      </c>
      <c r="Q49" s="4">
        <f>LEN(TRIM(P49))-LEN(SUBSTITUTE(P49," ",""))+1</f>
        <v/>
      </c>
      <c r="R49" s="4" t="n">
        <v>22.8121964</v>
      </c>
      <c r="S49" s="4" t="n">
        <v>86.2153098</v>
      </c>
      <c r="T49" s="4">
        <f>COUNTIF($G$2:G49,G49)</f>
        <v/>
      </c>
      <c r="U49" s="4">
        <f>IF(F49&lt;5,"YES","NO")</f>
        <v/>
      </c>
      <c r="V49" s="4">
        <f>IF(AND(N49&lt;&gt;"",O49&lt;&gt;""),"YES","NO")</f>
        <v/>
      </c>
      <c r="W49" s="4">
        <f>IF(HOUR(D49)&lt;12,"Morning",IF(HOUR(D49)&lt;17,"Afternoon","Evening"))</f>
        <v/>
      </c>
      <c r="X49" s="4" t="n">
        <v>7</v>
      </c>
      <c r="Y49" s="4">
        <f>IF(F49&lt;5,"&lt;5 min",IF(F49&lt;15,"5-15 min",IF(F49&lt;30,"15-30 min","30+ min")))</f>
        <v/>
      </c>
    </row>
    <row r="50">
      <c r="A50" s="3" t="n">
        <v>46042</v>
      </c>
      <c r="B50" s="4" t="inlineStr">
        <is>
          <t>Tuesday</t>
        </is>
      </c>
      <c r="C50" s="4" t="inlineStr">
        <is>
          <t>Jan 26</t>
        </is>
      </c>
      <c r="D50" s="4" t="inlineStr">
        <is>
          <t>20/01/2026, 7:34 pm</t>
        </is>
      </c>
      <c r="E50" s="4" t="inlineStr">
        <is>
          <t>20/01/2026, 7:39 pm</t>
        </is>
      </c>
      <c r="F50" s="4">
        <f>(E50-D50)*24*60</f>
        <v/>
      </c>
      <c r="G50" s="4" t="inlineStr">
        <is>
          <t>Aakash india construction</t>
        </is>
      </c>
      <c r="H50" s="4" t="inlineStr">
        <is>
          <t>001fw000007kcXiAAI</t>
        </is>
      </c>
      <c r="I50" s="4" t="n">
        <v>831002</v>
      </c>
      <c r="J50" s="4" t="inlineStr">
        <is>
          <t>EAST SINGHBUM</t>
        </is>
      </c>
      <c r="K50" s="4" t="inlineStr"/>
      <c r="L50" s="4" t="inlineStr">
        <is>
          <t>Influencer</t>
        </is>
      </c>
      <c r="M50" s="4" t="inlineStr">
        <is>
          <t>Got future date</t>
        </is>
      </c>
      <c r="N50" s="4" t="inlineStr">
        <is>
          <t>IHB CONTRACTOR USING RUNGTA TMT and Tat tiscon. Rates given 62500 landed to the CUSTUMER.</t>
        </is>
      </c>
      <c r="O50" s="4" t="inlineStr">
        <is>
          <t>Will connect us on inquiry. Will circulate rates to IHB customer and let us know.</t>
        </is>
      </c>
      <c r="P50" s="4" t="inlineStr">
        <is>
          <t>IHB CONTRACTOR USING RUNGTA TMT and Tat tiscon. Rates given 62500 landed to the CUSTUMER. | Will connect us on inquiry. Will circulate rates to IHB customer and let us know.</t>
        </is>
      </c>
      <c r="Q50" s="4">
        <f>LEN(TRIM(P50))-LEN(SUBSTITUTE(P50," ",""))+1</f>
        <v/>
      </c>
      <c r="R50" s="4" t="n">
        <v>22.8074122</v>
      </c>
      <c r="S50" s="4" t="n">
        <v>86.22220350000001</v>
      </c>
      <c r="T50" s="4">
        <f>COUNTIF($G$2:G50,G50)</f>
        <v/>
      </c>
      <c r="U50" s="4">
        <f>IF(F50&lt;5,"YES","NO")</f>
        <v/>
      </c>
      <c r="V50" s="4">
        <f>IF(AND(N50&lt;&gt;"",O50&lt;&gt;""),"YES","NO")</f>
        <v/>
      </c>
      <c r="W50" s="4">
        <f>IF(HOUR(D50)&lt;12,"Morning",IF(HOUR(D50)&lt;17,"Afternoon","Evening"))</f>
        <v/>
      </c>
      <c r="X50" s="4" t="n">
        <v>6</v>
      </c>
      <c r="Y50" s="4">
        <f>IF(F50&lt;5,"&lt;5 min",IF(F50&lt;15,"5-15 min",IF(F50&lt;30,"15-30 min","30+ min")))</f>
        <v/>
      </c>
    </row>
    <row r="51">
      <c r="A51" s="3" t="n">
        <v>46044</v>
      </c>
      <c r="B51" s="4" t="inlineStr">
        <is>
          <t>Thursday</t>
        </is>
      </c>
      <c r="C51" s="4" t="inlineStr">
        <is>
          <t>Jan 26</t>
        </is>
      </c>
      <c r="D51" s="4" t="inlineStr">
        <is>
          <t>22/01/2026, 7:24 pm</t>
        </is>
      </c>
      <c r="E51" s="4" t="inlineStr">
        <is>
          <t>22/01/2026, 7:28 pm</t>
        </is>
      </c>
      <c r="F51" s="4">
        <f>(E51-D51)*24*60</f>
        <v/>
      </c>
      <c r="G51" s="4" t="inlineStr">
        <is>
          <t>Aakash india construction</t>
        </is>
      </c>
      <c r="H51" s="4" t="inlineStr">
        <is>
          <t>001fw000007kcXiAAI</t>
        </is>
      </c>
      <c r="I51" s="4" t="n">
        <v>831002</v>
      </c>
      <c r="J51" s="4" t="inlineStr">
        <is>
          <t>EAST SINGHBUM</t>
        </is>
      </c>
      <c r="K51" s="4" t="inlineStr"/>
      <c r="L51" s="4" t="inlineStr">
        <is>
          <t>Influencer</t>
        </is>
      </c>
      <c r="M51" s="4" t="inlineStr">
        <is>
          <t>Got future date</t>
        </is>
      </c>
      <c r="N51" s="4" t="inlineStr">
        <is>
          <t>IHB CONTRACTOR USING RUNGTA TMT and shyam tmt. Rates given 63000 landed to the CUSTUMER.</t>
        </is>
      </c>
      <c r="O51" s="4" t="inlineStr">
        <is>
          <t>Will connect us on inquiry received. Need time for the same</t>
        </is>
      </c>
      <c r="P51" s="4" t="inlineStr">
        <is>
          <t>IHB CONTRACTOR USING RUNGTA TMT and shyam tmt. Rates given 63000 landed to the CUSTUMER. | Will connect us on inquiry received. Need time for the same</t>
        </is>
      </c>
      <c r="Q51" s="4">
        <f>LEN(TRIM(P51))-LEN(SUBSTITUTE(P51," ",""))+1</f>
        <v/>
      </c>
      <c r="R51" s="4" t="n">
        <v>22.8119991</v>
      </c>
      <c r="S51" s="4" t="n">
        <v>86.2151822</v>
      </c>
      <c r="T51" s="4">
        <f>COUNTIF($G$2:G51,G51)</f>
        <v/>
      </c>
      <c r="U51" s="4">
        <f>IF(F51&lt;5,"YES","NO")</f>
        <v/>
      </c>
      <c r="V51" s="4">
        <f>IF(AND(N51&lt;&gt;"",O51&lt;&gt;""),"YES","NO")</f>
        <v/>
      </c>
      <c r="W51" s="4">
        <f>IF(HOUR(D51)&lt;12,"Morning",IF(HOUR(D51)&lt;17,"Afternoon","Evening"))</f>
        <v/>
      </c>
      <c r="X51" s="4" t="n">
        <v>6</v>
      </c>
      <c r="Y51" s="4">
        <f>IF(F51&lt;5,"&lt;5 min",IF(F51&lt;15,"5-15 min",IF(F51&lt;30,"15-30 min","30+ min")))</f>
        <v/>
      </c>
    </row>
    <row r="52">
      <c r="A52" s="3" t="n">
        <v>46038</v>
      </c>
      <c r="B52" s="4" t="inlineStr">
        <is>
          <t>Friday</t>
        </is>
      </c>
      <c r="C52" s="4" t="inlineStr">
        <is>
          <t>Jan 26</t>
        </is>
      </c>
      <c r="D52" s="4" t="inlineStr">
        <is>
          <t>16/01/2026, 1:35 pm</t>
        </is>
      </c>
      <c r="E52" s="4" t="inlineStr">
        <is>
          <t>16/01/2026, 1:35 pm</t>
        </is>
      </c>
      <c r="F52" s="4">
        <f>(E52-D52)*24*60</f>
        <v/>
      </c>
      <c r="G52" s="4" t="inlineStr">
        <is>
          <t>Akriti construction</t>
        </is>
      </c>
      <c r="H52" s="4" t="inlineStr">
        <is>
          <t>0015g00001ZTU7ZAAX</t>
        </is>
      </c>
      <c r="I52" s="4" t="inlineStr"/>
      <c r="J52" s="4" t="inlineStr"/>
      <c r="K52" s="4" t="inlineStr"/>
      <c r="L52" s="4" t="inlineStr"/>
      <c r="M52" s="4" t="inlineStr">
        <is>
          <t>Got future date</t>
        </is>
      </c>
      <c r="N52" s="4" t="inlineStr">
        <is>
          <t>IHB CONTRACTOR USING RUNGTA TMT and shyam steel. Rates given 61500 landed to the CUSTUMER.</t>
        </is>
      </c>
      <c r="O52" s="4" t="inlineStr">
        <is>
          <t>Will connect us on inquiry received from CUSTUMER. Need time.</t>
        </is>
      </c>
      <c r="P52" s="4" t="inlineStr">
        <is>
          <t>IHB CONTRACTOR USING RUNGTA TMT and shyam steel. Rates given 61500 landed to the CUSTUMER. | Will connect us on inquiry received from CUSTUMER. Need time.</t>
        </is>
      </c>
      <c r="Q52" s="4">
        <f>LEN(TRIM(P52))-LEN(SUBSTITUTE(P52," ",""))+1</f>
        <v/>
      </c>
      <c r="R52" s="4" t="n">
        <v>22.8062526</v>
      </c>
      <c r="S52" s="4" t="n">
        <v>86.2229519</v>
      </c>
      <c r="T52" s="4">
        <f>COUNTIF($G$2:G52,G52)</f>
        <v/>
      </c>
      <c r="U52" s="4">
        <f>IF(F52&lt;5,"YES","NO")</f>
        <v/>
      </c>
      <c r="V52" s="4">
        <f>IF(AND(N52&lt;&gt;"",O52&lt;&gt;""),"YES","NO")</f>
        <v/>
      </c>
      <c r="W52" s="4">
        <f>IF(HOUR(D52)&lt;12,"Morning",IF(HOUR(D52)&lt;17,"Afternoon","Evening"))</f>
        <v/>
      </c>
      <c r="X52" s="4" t="n">
        <v>6</v>
      </c>
      <c r="Y52" s="4">
        <f>IF(F52&lt;5,"&lt;5 min",IF(F52&lt;15,"5-15 min",IF(F52&lt;30,"15-30 min","30+ min")))</f>
        <v/>
      </c>
    </row>
    <row r="53">
      <c r="A53" s="3" t="n">
        <v>46041</v>
      </c>
      <c r="B53" s="4" t="inlineStr">
        <is>
          <t>Monday</t>
        </is>
      </c>
      <c r="C53" s="4" t="inlineStr">
        <is>
          <t>Jan 26</t>
        </is>
      </c>
      <c r="D53" s="4" t="inlineStr">
        <is>
          <t>19/01/2026, 5:58 pm</t>
        </is>
      </c>
      <c r="E53" s="4" t="inlineStr">
        <is>
          <t>19/01/2026, 5:59 pm</t>
        </is>
      </c>
      <c r="F53" s="4">
        <f>(E53-D53)*24*60</f>
        <v/>
      </c>
      <c r="G53" s="4" t="inlineStr">
        <is>
          <t>Akriti construction</t>
        </is>
      </c>
      <c r="H53" s="4" t="inlineStr">
        <is>
          <t>0015g00001ZTU7ZAAX</t>
        </is>
      </c>
      <c r="I53" s="4" t="inlineStr"/>
      <c r="J53" s="4" t="inlineStr"/>
      <c r="K53" s="4" t="inlineStr"/>
      <c r="L53" s="4" t="inlineStr"/>
      <c r="M53" s="4" t="inlineStr">
        <is>
          <t>Got future date</t>
        </is>
      </c>
      <c r="N53" s="4" t="inlineStr">
        <is>
          <t>IHB CONTRACTOR USING RUNGTA TMT srmb and tiscon. Rates given 63000 to the CUSTUMER.</t>
        </is>
      </c>
      <c r="O53" s="4" t="inlineStr">
        <is>
          <t>Last purchase rungta tmt @ 49000 landed for IHB projects. Will connect us on inquiry received.</t>
        </is>
      </c>
      <c r="P53" s="4" t="inlineStr">
        <is>
          <t>IHB CONTRACTOR USING RUNGTA TMT srmb and tiscon. Rates given 63000 to the CUSTUMER. | Last purchase rungta tmt @ 49000 landed for IHB projects. Will connect us on inquiry received.</t>
        </is>
      </c>
      <c r="Q53" s="4">
        <f>LEN(TRIM(P53))-LEN(SUBSTITUTE(P53," ",""))+1</f>
        <v/>
      </c>
      <c r="R53" s="4" t="n">
        <v>22.8074093</v>
      </c>
      <c r="S53" s="4" t="n">
        <v>86.2221342</v>
      </c>
      <c r="T53" s="4">
        <f>COUNTIF($G$2:G53,G53)</f>
        <v/>
      </c>
      <c r="U53" s="4">
        <f>IF(F53&lt;5,"YES","NO")</f>
        <v/>
      </c>
      <c r="V53" s="4">
        <f>IF(AND(N53&lt;&gt;"",O53&lt;&gt;""),"YES","NO")</f>
        <v/>
      </c>
      <c r="W53" s="4">
        <f>IF(HOUR(D53)&lt;12,"Morning",IF(HOUR(D53)&lt;17,"Afternoon","Evening"))</f>
        <v/>
      </c>
      <c r="X53" s="4" t="n">
        <v>6</v>
      </c>
      <c r="Y53" s="4">
        <f>IF(F53&lt;5,"&lt;5 min",IF(F53&lt;15,"5-15 min",IF(F53&lt;30,"15-30 min","30+ min")))</f>
        <v/>
      </c>
    </row>
    <row r="54">
      <c r="A54" s="3" t="n">
        <v>45978</v>
      </c>
      <c r="B54" s="4" t="inlineStr">
        <is>
          <t>Monday</t>
        </is>
      </c>
      <c r="C54" s="4" t="inlineStr">
        <is>
          <t>Nov 25</t>
        </is>
      </c>
      <c r="D54" s="4" t="inlineStr">
        <is>
          <t>17/11/2025, 6:30 pm</t>
        </is>
      </c>
      <c r="E54" s="4" t="inlineStr">
        <is>
          <t>17/11/2025, 6:31 pm</t>
        </is>
      </c>
      <c r="F54" s="4">
        <f>(E54-D54)*24*60</f>
        <v/>
      </c>
      <c r="G54" s="4" t="inlineStr">
        <is>
          <t>Believe enterprises</t>
        </is>
      </c>
      <c r="H54" s="4" t="inlineStr">
        <is>
          <t>001fw000007wTjxAAE</t>
        </is>
      </c>
      <c r="I54" s="4" t="n">
        <v>831013</v>
      </c>
      <c r="J54" s="4" t="inlineStr">
        <is>
          <t>SARAIKELA KHARSAWAN</t>
        </is>
      </c>
      <c r="K54" s="4" t="inlineStr"/>
      <c r="L54" s="4" t="inlineStr">
        <is>
          <t>Influencer</t>
        </is>
      </c>
      <c r="M54" s="4" t="inlineStr">
        <is>
          <t>Got future date</t>
        </is>
      </c>
      <c r="N54" s="4" t="inlineStr">
        <is>
          <t>Real estate and commercial building contractor . Using Tata tiscon , panther and rungta tmt</t>
        </is>
      </c>
      <c r="O54" s="4" t="inlineStr">
        <is>
          <t>Rates given 53500 landed till site .Will connect when inquiry comes .</t>
        </is>
      </c>
      <c r="P54" s="4" t="inlineStr">
        <is>
          <t>Real estate and commercial building contractor . Using Tata tiscon , panther and rungta tmt | Rates given 53500 landed till site .Will connect when inquiry comes .</t>
        </is>
      </c>
      <c r="Q54" s="4">
        <f>LEN(TRIM(P54))-LEN(SUBSTITUTE(P54," ",""))+1</f>
        <v/>
      </c>
      <c r="R54" s="4" t="n">
        <v>22.807722</v>
      </c>
      <c r="S54" s="4" t="n">
        <v>86.2216932</v>
      </c>
      <c r="T54" s="4">
        <f>COUNTIF($G$2:G54,G54)</f>
        <v/>
      </c>
      <c r="U54" s="4">
        <f>IF(F54&lt;5,"YES","NO")</f>
        <v/>
      </c>
      <c r="V54" s="4">
        <f>IF(AND(N54&lt;&gt;"",O54&lt;&gt;""),"YES","NO")</f>
        <v/>
      </c>
      <c r="W54" s="4">
        <f>IF(HOUR(D54)&lt;12,"Morning",IF(HOUR(D54)&lt;17,"Afternoon","Evening"))</f>
        <v/>
      </c>
      <c r="X54" s="4" t="n">
        <v>8</v>
      </c>
      <c r="Y54" s="4">
        <f>IF(F54&lt;5,"&lt;5 min",IF(F54&lt;15,"5-15 min",IF(F54&lt;30,"15-30 min","30+ min")))</f>
        <v/>
      </c>
    </row>
    <row r="55">
      <c r="A55" s="3" t="n">
        <v>45996</v>
      </c>
      <c r="B55" s="4" t="inlineStr">
        <is>
          <t>Friday</t>
        </is>
      </c>
      <c r="C55" s="4" t="inlineStr">
        <is>
          <t>Dec 25</t>
        </is>
      </c>
      <c r="D55" s="4" t="inlineStr">
        <is>
          <t>05/12/2025, 5:31 pm</t>
        </is>
      </c>
      <c r="E55" s="4" t="inlineStr">
        <is>
          <t>05/12/2025, 5:33 pm</t>
        </is>
      </c>
      <c r="F55" s="4">
        <f>(E55-D55)*24*60</f>
        <v/>
      </c>
      <c r="G55" s="4" t="inlineStr">
        <is>
          <t>Believe enterprises</t>
        </is>
      </c>
      <c r="H55" s="4" t="inlineStr">
        <is>
          <t>001fw000007wTjxAAE</t>
        </is>
      </c>
      <c r="I55" s="4" t="n">
        <v>831013</v>
      </c>
      <c r="J55" s="4" t="inlineStr">
        <is>
          <t>SARAIKELA KHARSAWAN</t>
        </is>
      </c>
      <c r="K55" s="4" t="inlineStr"/>
      <c r="L55" s="4" t="inlineStr">
        <is>
          <t>Influencer</t>
        </is>
      </c>
      <c r="M55" s="4" t="inlineStr">
        <is>
          <t>Got future date</t>
        </is>
      </c>
      <c r="N55" s="4" t="inlineStr">
        <is>
          <t>Contractor and architect of commercial and ihb projects . Using rungta and shyam steel in his projects . Rates given 55500 landed to retailer. Will connect us</t>
        </is>
      </c>
      <c r="O55" s="4" t="inlineStr">
        <is>
          <t>Will connect if inquiry comes . Will take rates from retailer .</t>
        </is>
      </c>
      <c r="P55" s="4" t="inlineStr">
        <is>
          <t>Contractor and architect of commercial and ihb projects . Using rungta and shyam steel in his projects . Rates given 55500 landed to retailer. Will connect us | Will connect if inquiry comes . Will take rates from retailer .</t>
        </is>
      </c>
      <c r="Q55" s="4">
        <f>LEN(TRIM(P55))-LEN(SUBSTITUTE(P55," ",""))+1</f>
        <v/>
      </c>
      <c r="R55" s="4" t="n">
        <v>22.8121485</v>
      </c>
      <c r="S55" s="4" t="n">
        <v>86.2151325</v>
      </c>
      <c r="T55" s="4">
        <f>COUNTIF($G$2:G55,G55)</f>
        <v/>
      </c>
      <c r="U55" s="4">
        <f>IF(F55&lt;5,"YES","NO")</f>
        <v/>
      </c>
      <c r="V55" s="4">
        <f>IF(AND(N55&lt;&gt;"",O55&lt;&gt;""),"YES","NO")</f>
        <v/>
      </c>
      <c r="W55" s="4">
        <f>IF(HOUR(D55)&lt;12,"Morning",IF(HOUR(D55)&lt;17,"Afternoon","Evening"))</f>
        <v/>
      </c>
      <c r="X55" s="4" t="n">
        <v>6</v>
      </c>
      <c r="Y55" s="4">
        <f>IF(F55&lt;5,"&lt;5 min",IF(F55&lt;15,"5-15 min",IF(F55&lt;30,"15-30 min","30+ min")))</f>
        <v/>
      </c>
    </row>
    <row r="56">
      <c r="A56" s="3" t="n">
        <v>46000</v>
      </c>
      <c r="B56" s="4" t="inlineStr">
        <is>
          <t>Tuesday</t>
        </is>
      </c>
      <c r="C56" s="4" t="inlineStr">
        <is>
          <t>Dec 25</t>
        </is>
      </c>
      <c r="D56" s="4" t="inlineStr">
        <is>
          <t>09/12/2025, 7:54 pm</t>
        </is>
      </c>
      <c r="E56" s="4" t="inlineStr">
        <is>
          <t>09/12/2025, 7:56 pm</t>
        </is>
      </c>
      <c r="F56" s="4">
        <f>(E56-D56)*24*60</f>
        <v/>
      </c>
      <c r="G56" s="4" t="inlineStr">
        <is>
          <t>Believe enterprises</t>
        </is>
      </c>
      <c r="H56" s="4" t="inlineStr">
        <is>
          <t>001fw000007wTjxAAE</t>
        </is>
      </c>
      <c r="I56" s="4" t="n">
        <v>831013</v>
      </c>
      <c r="J56" s="4" t="inlineStr">
        <is>
          <t>SARAIKELA KHARSAWAN</t>
        </is>
      </c>
      <c r="K56" s="4" t="inlineStr"/>
      <c r="L56" s="4" t="inlineStr">
        <is>
          <t>Influencer</t>
        </is>
      </c>
      <c r="M56" s="4" t="inlineStr">
        <is>
          <t>Got future date</t>
        </is>
      </c>
      <c r="N56" s="4" t="inlineStr">
        <is>
          <t>Contractor of ihb and commercial projects . Using tiscon and rungta tmt . Rates given 56000 landed through dealer.</t>
        </is>
      </c>
      <c r="O56" s="4" t="inlineStr">
        <is>
          <t>Will give us inquiry and connect us later . Need time .</t>
        </is>
      </c>
      <c r="P56" s="4" t="inlineStr">
        <is>
          <t>Contractor of ihb and commercial projects . Using tiscon and rungta tmt . Rates given 56000 landed through dealer. | Will give us inquiry and connect us later . Need time .</t>
        </is>
      </c>
      <c r="Q56" s="4">
        <f>LEN(TRIM(P56))-LEN(SUBSTITUTE(P56," ",""))+1</f>
        <v/>
      </c>
      <c r="R56" s="4" t="n">
        <v>22.8122025</v>
      </c>
      <c r="S56" s="4" t="n">
        <v>86.2151812</v>
      </c>
      <c r="T56" s="4">
        <f>COUNTIF($G$2:G56,G56)</f>
        <v/>
      </c>
      <c r="U56" s="4">
        <f>IF(F56&lt;5,"YES","NO")</f>
        <v/>
      </c>
      <c r="V56" s="4">
        <f>IF(AND(N56&lt;&gt;"",O56&lt;&gt;""),"YES","NO")</f>
        <v/>
      </c>
      <c r="W56" s="4">
        <f>IF(HOUR(D56)&lt;12,"Morning",IF(HOUR(D56)&lt;17,"Afternoon","Evening"))</f>
        <v/>
      </c>
      <c r="X56" s="4" t="n">
        <v>6</v>
      </c>
      <c r="Y56" s="4">
        <f>IF(F56&lt;5,"&lt;5 min",IF(F56&lt;15,"5-15 min",IF(F56&lt;30,"15-30 min","30+ min")))</f>
        <v/>
      </c>
    </row>
    <row r="57">
      <c r="A57" s="3" t="n">
        <v>46029</v>
      </c>
      <c r="B57" s="4" t="inlineStr">
        <is>
          <t>Wednesday</t>
        </is>
      </c>
      <c r="C57" s="4" t="inlineStr">
        <is>
          <t>Jan 26</t>
        </is>
      </c>
      <c r="D57" s="4" t="inlineStr">
        <is>
          <t>07/01/2026, 12:11 pm</t>
        </is>
      </c>
      <c r="E57" s="4" t="inlineStr">
        <is>
          <t>07/01/2026, 12:13 pm</t>
        </is>
      </c>
      <c r="F57" s="4">
        <f>(E57-D57)*24*60</f>
        <v/>
      </c>
      <c r="G57" s="4" t="inlineStr">
        <is>
          <t>Believe enterprises</t>
        </is>
      </c>
      <c r="H57" s="4" t="inlineStr">
        <is>
          <t>001fw000007wTjxAAE</t>
        </is>
      </c>
      <c r="I57" s="4" t="n">
        <v>831013</v>
      </c>
      <c r="J57" s="4" t="inlineStr">
        <is>
          <t>SARAIKELA KHARSAWAN</t>
        </is>
      </c>
      <c r="K57" s="4" t="inlineStr"/>
      <c r="L57" s="4" t="inlineStr">
        <is>
          <t>Influencer</t>
        </is>
      </c>
      <c r="M57" s="4" t="inlineStr">
        <is>
          <t>Got future date</t>
        </is>
      </c>
      <c r="N57" s="4" t="inlineStr">
        <is>
          <t>IHB and commercial project contractor. Using tiscon and RUNGTA TMT. Rates given 59500 landed.</t>
        </is>
      </c>
      <c r="O57" s="4" t="inlineStr">
        <is>
          <t>Will connect us on inquiry. No inquiry now. Rates issue. Will share rates with CUSTUMER on demand.</t>
        </is>
      </c>
      <c r="P57" s="4" t="inlineStr">
        <is>
          <t>IHB and commercial project contractor. Using tiscon and RUNGTA TMT. Rates given 59500 landed. | Will connect us on inquiry. No inquiry now. Rates issue. Will share rates with CUSTUMER on demand.</t>
        </is>
      </c>
      <c r="Q57" s="4">
        <f>LEN(TRIM(P57))-LEN(SUBSTITUTE(P57," ",""))+1</f>
        <v/>
      </c>
      <c r="R57" s="4" t="n">
        <v>22.8121534</v>
      </c>
      <c r="S57" s="4" t="n">
        <v>86.2152431</v>
      </c>
      <c r="T57" s="4">
        <f>COUNTIF($G$2:G57,G57)</f>
        <v/>
      </c>
      <c r="U57" s="4">
        <f>IF(F57&lt;5,"YES","NO")</f>
        <v/>
      </c>
      <c r="V57" s="4">
        <f>IF(AND(N57&lt;&gt;"",O57&lt;&gt;""),"YES","NO")</f>
        <v/>
      </c>
      <c r="W57" s="4">
        <f>IF(HOUR(D57)&lt;12,"Morning",IF(HOUR(D57)&lt;17,"Afternoon","Evening"))</f>
        <v/>
      </c>
      <c r="X57" s="4" t="n">
        <v>6</v>
      </c>
      <c r="Y57" s="4">
        <f>IF(F57&lt;5,"&lt;5 min",IF(F57&lt;15,"5-15 min",IF(F57&lt;30,"15-30 min","30+ min")))</f>
        <v/>
      </c>
    </row>
    <row r="58">
      <c r="A58" s="3" t="n">
        <v>46031</v>
      </c>
      <c r="B58" s="4" t="inlineStr">
        <is>
          <t>Friday</t>
        </is>
      </c>
      <c r="C58" s="4" t="inlineStr">
        <is>
          <t>Jan 26</t>
        </is>
      </c>
      <c r="D58" s="4" t="inlineStr">
        <is>
          <t>09/01/2026, 1:28 pm</t>
        </is>
      </c>
      <c r="E58" s="4" t="inlineStr">
        <is>
          <t>09/01/2026, 1:29 pm</t>
        </is>
      </c>
      <c r="F58" s="4">
        <f>(E58-D58)*24*60</f>
        <v/>
      </c>
      <c r="G58" s="4" t="inlineStr">
        <is>
          <t>Build tect contruction</t>
        </is>
      </c>
      <c r="H58" s="4" t="inlineStr">
        <is>
          <t>001fw000007qMq7AAE</t>
        </is>
      </c>
      <c r="I58" s="4" t="n">
        <v>831011</v>
      </c>
      <c r="J58" s="4" t="inlineStr">
        <is>
          <t>EAST SINGHBUM</t>
        </is>
      </c>
      <c r="K58" s="4" t="inlineStr"/>
      <c r="L58" s="4" t="inlineStr">
        <is>
          <t>Influencer</t>
        </is>
      </c>
      <c r="M58" s="4" t="inlineStr">
        <is>
          <t>Got future date</t>
        </is>
      </c>
      <c r="N58" s="4" t="inlineStr">
        <is>
          <t>IHB CONTRACTOR USING RUNGTA TMT and panther TMT. Rates given 59500 landed to the CUSTUMER.</t>
        </is>
      </c>
      <c r="O58" s="4" t="inlineStr">
        <is>
          <t>Will connect us on inquiry received from end CUSTUMER. Will let us know and suggest customer for jsw one tmt.</t>
        </is>
      </c>
      <c r="P58" s="4" t="inlineStr">
        <is>
          <t>IHB CONTRACTOR USING RUNGTA TMT and panther TMT. Rates given 59500 landed to the CUSTUMER. | Will connect us on inquiry received from end CUSTUMER. Will let us know and suggest customer for jsw one tmt.</t>
        </is>
      </c>
      <c r="Q58" s="4">
        <f>LEN(TRIM(P58))-LEN(SUBSTITUTE(P58," ",""))+1</f>
        <v/>
      </c>
      <c r="R58" s="4" t="n">
        <v>22.8062746</v>
      </c>
      <c r="S58" s="4" t="n">
        <v>86.2228387</v>
      </c>
      <c r="T58" s="4">
        <f>COUNTIF($G$2:G58,G58)</f>
        <v/>
      </c>
      <c r="U58" s="4">
        <f>IF(F58&lt;5,"YES","NO")</f>
        <v/>
      </c>
      <c r="V58" s="4">
        <f>IF(AND(N58&lt;&gt;"",O58&lt;&gt;""),"YES","NO")</f>
        <v/>
      </c>
      <c r="W58" s="4">
        <f>IF(HOUR(D58)&lt;12,"Morning",IF(HOUR(D58)&lt;17,"Afternoon","Evening"))</f>
        <v/>
      </c>
      <c r="X58" s="4" t="n">
        <v>6</v>
      </c>
      <c r="Y58" s="4">
        <f>IF(F58&lt;5,"&lt;5 min",IF(F58&lt;15,"5-15 min",IF(F58&lt;30,"15-30 min","30+ min")))</f>
        <v/>
      </c>
    </row>
    <row r="59">
      <c r="A59" s="3" t="n">
        <v>45978</v>
      </c>
      <c r="B59" s="4" t="inlineStr">
        <is>
          <t>Monday</t>
        </is>
      </c>
      <c r="C59" s="4" t="inlineStr">
        <is>
          <t>Nov 25</t>
        </is>
      </c>
      <c r="D59" s="4" t="inlineStr">
        <is>
          <t>17/11/2025, 1:31 pm</t>
        </is>
      </c>
      <c r="E59" s="4" t="inlineStr">
        <is>
          <t>17/11/2025, 1:36 pm</t>
        </is>
      </c>
      <c r="F59" s="4">
        <f>(E59-D59)*24*60</f>
        <v/>
      </c>
      <c r="G59" s="4" t="inlineStr">
        <is>
          <t>Csn developers pvt Ltd</t>
        </is>
      </c>
      <c r="H59" s="4" t="inlineStr">
        <is>
          <t>001fw000007wAavAAE</t>
        </is>
      </c>
      <c r="I59" s="4" t="n">
        <v>832109</v>
      </c>
      <c r="J59" s="4" t="inlineStr">
        <is>
          <t>SARAIKELA KHARSAWAN</t>
        </is>
      </c>
      <c r="K59" s="4" t="inlineStr"/>
      <c r="L59" s="4" t="inlineStr">
        <is>
          <t>Influencer</t>
        </is>
      </c>
      <c r="M59" s="4" t="inlineStr">
        <is>
          <t>Got future date</t>
        </is>
      </c>
      <c r="N59" s="4" t="inlineStr">
        <is>
          <t>Ihb contractor of projects . Using shyam steel and rungtz tmt. Rates given 54000 landed to the customer.</t>
        </is>
      </c>
      <c r="O59" s="4" t="inlineStr">
        <is>
          <t>Will connect us when inquiry comes or with nearest dealer.</t>
        </is>
      </c>
      <c r="P59" s="4" t="inlineStr">
        <is>
          <t>Ihb contractor of projects . Using shyam steel and rungtz tmt. Rates given 54000 landed to the customer. | Will connect us when inquiry comes or with nearest dealer.</t>
        </is>
      </c>
      <c r="Q59" s="4">
        <f>LEN(TRIM(P59))-LEN(SUBSTITUTE(P59," ",""))+1</f>
        <v/>
      </c>
      <c r="R59" s="4" t="n">
        <v>22.8119754</v>
      </c>
      <c r="S59" s="4" t="n">
        <v>86.2151939</v>
      </c>
      <c r="T59" s="4">
        <f>COUNTIF($G$2:G59,G59)</f>
        <v/>
      </c>
      <c r="U59" s="4">
        <f>IF(F59&lt;5,"YES","NO")</f>
        <v/>
      </c>
      <c r="V59" s="4">
        <f>IF(AND(N59&lt;&gt;"",O59&lt;&gt;""),"YES","NO")</f>
        <v/>
      </c>
      <c r="W59" s="4">
        <f>IF(HOUR(D59)&lt;12,"Morning",IF(HOUR(D59)&lt;17,"Afternoon","Evening"))</f>
        <v/>
      </c>
      <c r="X59" s="4" t="n">
        <v>8</v>
      </c>
      <c r="Y59" s="4">
        <f>IF(F59&lt;5,"&lt;5 min",IF(F59&lt;15,"5-15 min",IF(F59&lt;30,"15-30 min","30+ min")))</f>
        <v/>
      </c>
    </row>
    <row r="60">
      <c r="A60" s="3" t="n">
        <v>45981</v>
      </c>
      <c r="B60" s="4" t="inlineStr">
        <is>
          <t>Thursday</t>
        </is>
      </c>
      <c r="C60" s="4" t="inlineStr">
        <is>
          <t>Nov 25</t>
        </is>
      </c>
      <c r="D60" s="4" t="inlineStr">
        <is>
          <t>20/11/2025, 11:27 am</t>
        </is>
      </c>
      <c r="E60" s="4" t="inlineStr">
        <is>
          <t>20/11/2025, 11:28 am</t>
        </is>
      </c>
      <c r="F60" s="4">
        <f>(E60-D60)*24*60</f>
        <v/>
      </c>
      <c r="G60" s="4" t="inlineStr">
        <is>
          <t>Csn developers pvt Ltd</t>
        </is>
      </c>
      <c r="H60" s="4" t="inlineStr">
        <is>
          <t>001fw000007wAavAAE</t>
        </is>
      </c>
      <c r="I60" s="4" t="n">
        <v>832109</v>
      </c>
      <c r="J60" s="4" t="inlineStr">
        <is>
          <t>SARAIKELA KHARSAWAN</t>
        </is>
      </c>
      <c r="K60" s="4" t="inlineStr"/>
      <c r="L60" s="4" t="inlineStr">
        <is>
          <t>Influencer</t>
        </is>
      </c>
      <c r="M60" s="4" t="inlineStr">
        <is>
          <t>Got future date</t>
        </is>
      </c>
      <c r="N60" s="4" t="inlineStr">
        <is>
          <t>Ihb contractor and engineer. Using panther and rungta rates given 54000 landed to the customer from yard.</t>
        </is>
      </c>
      <c r="O60" s="4" t="inlineStr">
        <is>
          <t>Asking to connect us later . Will share inquiry .need time</t>
        </is>
      </c>
      <c r="P60" s="4" t="inlineStr">
        <is>
          <t>Ihb contractor and engineer. Using panther and rungta rates given 54000 landed to the customer from yard. | Asking to connect us later . Will share inquiry .need time</t>
        </is>
      </c>
      <c r="Q60" s="4">
        <f>LEN(TRIM(P60))-LEN(SUBSTITUTE(P60," ",""))+1</f>
        <v/>
      </c>
      <c r="R60" s="4" t="n">
        <v>22.8119743</v>
      </c>
      <c r="S60" s="4" t="n">
        <v>86.21519499999999</v>
      </c>
      <c r="T60" s="4">
        <f>COUNTIF($G$2:G60,G60)</f>
        <v/>
      </c>
      <c r="U60" s="4">
        <f>IF(F60&lt;5,"YES","NO")</f>
        <v/>
      </c>
      <c r="V60" s="4">
        <f>IF(AND(N60&lt;&gt;"",O60&lt;&gt;""),"YES","NO")</f>
        <v/>
      </c>
      <c r="W60" s="4">
        <f>IF(HOUR(D60)&lt;12,"Morning",IF(HOUR(D60)&lt;17,"Afternoon","Evening"))</f>
        <v/>
      </c>
      <c r="X60" s="4" t="n">
        <v>6</v>
      </c>
      <c r="Y60" s="4">
        <f>IF(F60&lt;5,"&lt;5 min",IF(F60&lt;15,"5-15 min",IF(F60&lt;30,"15-30 min","30+ min")))</f>
        <v/>
      </c>
    </row>
    <row r="61">
      <c r="A61" s="3" t="n">
        <v>46001</v>
      </c>
      <c r="B61" s="4" t="inlineStr">
        <is>
          <t>Wednesday</t>
        </is>
      </c>
      <c r="C61" s="4" t="inlineStr">
        <is>
          <t>Dec 25</t>
        </is>
      </c>
      <c r="D61" s="4" t="inlineStr">
        <is>
          <t>10/12/2025, 4:55 pm</t>
        </is>
      </c>
      <c r="E61" s="4" t="inlineStr">
        <is>
          <t>10/12/2025, 4:58 pm</t>
        </is>
      </c>
      <c r="F61" s="4">
        <f>(E61-D61)*24*60</f>
        <v/>
      </c>
      <c r="G61" s="4" t="inlineStr">
        <is>
          <t>Csn developers pvt Ltd</t>
        </is>
      </c>
      <c r="H61" s="4" t="inlineStr">
        <is>
          <t>001fw000007wAavAAE</t>
        </is>
      </c>
      <c r="I61" s="4" t="n">
        <v>832109</v>
      </c>
      <c r="J61" s="4" t="inlineStr">
        <is>
          <t>SARAIKELA KHARSAWAN</t>
        </is>
      </c>
      <c r="K61" s="4" t="inlineStr"/>
      <c r="L61" s="4" t="inlineStr">
        <is>
          <t>Influencer</t>
        </is>
      </c>
      <c r="M61" s="4" t="inlineStr">
        <is>
          <t>Got future date</t>
        </is>
      </c>
      <c r="N61" s="4" t="inlineStr">
        <is>
          <t>Contractor of commercial and ihb projects using tiscon and rungta tmt. Rates given 56000 landed to the dealer . Will connect us</t>
        </is>
      </c>
      <c r="O61" s="4" t="inlineStr">
        <is>
          <t>Will connect us on demand availability and inquiry from custumer . Need time .</t>
        </is>
      </c>
      <c r="P61" s="4" t="inlineStr">
        <is>
          <t>Contractor of commercial and ihb projects using tiscon and rungta tmt. Rates given 56000 landed to the dealer . Will connect us | Will connect us on demand availability and inquiry from custumer . Need time .</t>
        </is>
      </c>
      <c r="Q61" s="4">
        <f>LEN(TRIM(P61))-LEN(SUBSTITUTE(P61," ",""))+1</f>
        <v/>
      </c>
      <c r="R61" s="4" t="n">
        <v>22.8075215</v>
      </c>
      <c r="S61" s="4" t="n">
        <v>86.22181399999999</v>
      </c>
      <c r="T61" s="4">
        <f>COUNTIF($G$2:G61,G61)</f>
        <v/>
      </c>
      <c r="U61" s="4">
        <f>IF(F61&lt;5,"YES","NO")</f>
        <v/>
      </c>
      <c r="V61" s="4">
        <f>IF(AND(N61&lt;&gt;"",O61&lt;&gt;""),"YES","NO")</f>
        <v/>
      </c>
      <c r="W61" s="4">
        <f>IF(HOUR(D61)&lt;12,"Morning",IF(HOUR(D61)&lt;17,"Afternoon","Evening"))</f>
        <v/>
      </c>
      <c r="X61" s="4" t="n">
        <v>7</v>
      </c>
      <c r="Y61" s="4">
        <f>IF(F61&lt;5,"&lt;5 min",IF(F61&lt;15,"5-15 min",IF(F61&lt;30,"15-30 min","30+ min")))</f>
        <v/>
      </c>
    </row>
    <row r="62">
      <c r="A62" s="3" t="n">
        <v>46013</v>
      </c>
      <c r="B62" s="4" t="inlineStr">
        <is>
          <t>Monday</t>
        </is>
      </c>
      <c r="C62" s="4" t="inlineStr">
        <is>
          <t>Dec 25</t>
        </is>
      </c>
      <c r="D62" s="4" t="inlineStr">
        <is>
          <t>22/12/2025, 5:49 pm</t>
        </is>
      </c>
      <c r="E62" s="4" t="inlineStr">
        <is>
          <t>22/12/2025, 5:51 pm</t>
        </is>
      </c>
      <c r="F62" s="4">
        <f>(E62-D62)*24*60</f>
        <v/>
      </c>
      <c r="G62" s="4" t="inlineStr">
        <is>
          <t>Csn developers pvt Ltd</t>
        </is>
      </c>
      <c r="H62" s="4" t="inlineStr">
        <is>
          <t>001fw000007wAavAAE</t>
        </is>
      </c>
      <c r="I62" s="4" t="n">
        <v>832109</v>
      </c>
      <c r="J62" s="4" t="inlineStr">
        <is>
          <t>SARAIKELA KHARSAWAN</t>
        </is>
      </c>
      <c r="K62" s="4" t="inlineStr"/>
      <c r="L62" s="4" t="inlineStr">
        <is>
          <t>Influencer</t>
        </is>
      </c>
      <c r="M62" s="4" t="inlineStr">
        <is>
          <t>Got future date</t>
        </is>
      </c>
      <c r="N62" s="4" t="inlineStr">
        <is>
          <t>Contractor and engineer of ihb and real estate projects. Using tiscon and rungta. Rates given 57000 landed 12 mm .</t>
        </is>
      </c>
      <c r="O62" s="4" t="inlineStr">
        <is>
          <t>Will connect us when inquiry comes by from site . Will connect dealer for rates ..</t>
        </is>
      </c>
      <c r="P62" s="4" t="inlineStr">
        <is>
          <t>Contractor and engineer of ihb and real estate projects. Using tiscon and rungta. Rates given 57000 landed 12 mm . | Will connect us when inquiry comes by from site . Will connect dealer for rates ..</t>
        </is>
      </c>
      <c r="Q62" s="4">
        <f>LEN(TRIM(P62))-LEN(SUBSTITUTE(P62," ",""))+1</f>
        <v/>
      </c>
      <c r="R62" s="4" t="n">
        <v>22.811994</v>
      </c>
      <c r="S62" s="4" t="n">
        <v>86.2152069</v>
      </c>
      <c r="T62" s="4">
        <f>COUNTIF($G$2:G62,G62)</f>
        <v/>
      </c>
      <c r="U62" s="4">
        <f>IF(F62&lt;5,"YES","NO")</f>
        <v/>
      </c>
      <c r="V62" s="4">
        <f>IF(AND(N62&lt;&gt;"",O62&lt;&gt;""),"YES","NO")</f>
        <v/>
      </c>
      <c r="W62" s="4">
        <f>IF(HOUR(D62)&lt;12,"Morning",IF(HOUR(D62)&lt;17,"Afternoon","Evening"))</f>
        <v/>
      </c>
      <c r="X62" s="4" t="n">
        <v>7</v>
      </c>
      <c r="Y62" s="4">
        <f>IF(F62&lt;5,"&lt;5 min",IF(F62&lt;15,"5-15 min",IF(F62&lt;30,"15-30 min","30+ min")))</f>
        <v/>
      </c>
    </row>
    <row r="63">
      <c r="A63" s="3" t="n">
        <v>46028</v>
      </c>
      <c r="B63" s="4" t="inlineStr">
        <is>
          <t>Tuesday</t>
        </is>
      </c>
      <c r="C63" s="4" t="inlineStr">
        <is>
          <t>Jan 26</t>
        </is>
      </c>
      <c r="D63" s="4" t="inlineStr">
        <is>
          <t>06/01/2026, 7:13 pm</t>
        </is>
      </c>
      <c r="E63" s="4" t="inlineStr">
        <is>
          <t>06/01/2026, 7:15 pm</t>
        </is>
      </c>
      <c r="F63" s="4">
        <f>(E63-D63)*24*60</f>
        <v/>
      </c>
      <c r="G63" s="4" t="inlineStr">
        <is>
          <t>Csn developers pvt Ltd</t>
        </is>
      </c>
      <c r="H63" s="4" t="inlineStr">
        <is>
          <t>001fw000007wAavAAE</t>
        </is>
      </c>
      <c r="I63" s="4" t="n">
        <v>832109</v>
      </c>
      <c r="J63" s="4" t="inlineStr">
        <is>
          <t>SARAIKELA KHARSAWAN</t>
        </is>
      </c>
      <c r="K63" s="4" t="inlineStr"/>
      <c r="L63" s="4" t="inlineStr">
        <is>
          <t>Influencer</t>
        </is>
      </c>
      <c r="M63" s="4" t="inlineStr">
        <is>
          <t>Got future date</t>
        </is>
      </c>
      <c r="N63" s="4" t="inlineStr">
        <is>
          <t>IHB and commercial project contractor. Using tiscon and RUNGTA TMT. Rates given 59500 landed to the CUSTUMER.</t>
        </is>
      </c>
      <c r="O63" s="4" t="inlineStr">
        <is>
          <t>No inquiry now. Will connect us on inquiry. Will share us inquiry.</t>
        </is>
      </c>
      <c r="P63" s="4" t="inlineStr">
        <is>
          <t>IHB and commercial project contractor. Using tiscon and RUNGTA TMT. Rates given 59500 landed to the CUSTUMER. | No inquiry now. Will connect us on inquiry. Will share us inquiry.</t>
        </is>
      </c>
      <c r="Q63" s="4">
        <f>LEN(TRIM(P63))-LEN(SUBSTITUTE(P63," ",""))+1</f>
        <v/>
      </c>
      <c r="R63" s="4" t="n">
        <v>22.8123171</v>
      </c>
      <c r="S63" s="4" t="n">
        <v>86.2153215</v>
      </c>
      <c r="T63" s="4">
        <f>COUNTIF($G$2:G63,G63)</f>
        <v/>
      </c>
      <c r="U63" s="4">
        <f>IF(F63&lt;5,"YES","NO")</f>
        <v/>
      </c>
      <c r="V63" s="4">
        <f>IF(AND(N63&lt;&gt;"",O63&lt;&gt;""),"YES","NO")</f>
        <v/>
      </c>
      <c r="W63" s="4">
        <f>IF(HOUR(D63)&lt;12,"Morning",IF(HOUR(D63)&lt;17,"Afternoon","Evening"))</f>
        <v/>
      </c>
      <c r="X63" s="4" t="n">
        <v>7</v>
      </c>
      <c r="Y63" s="4">
        <f>IF(F63&lt;5,"&lt;5 min",IF(F63&lt;15,"5-15 min",IF(F63&lt;30,"15-30 min","30+ min")))</f>
        <v/>
      </c>
    </row>
    <row r="64">
      <c r="A64" s="3" t="n">
        <v>46035</v>
      </c>
      <c r="B64" s="4" t="inlineStr">
        <is>
          <t>Tuesday</t>
        </is>
      </c>
      <c r="C64" s="4" t="inlineStr">
        <is>
          <t>Jan 26</t>
        </is>
      </c>
      <c r="D64" s="4" t="inlineStr">
        <is>
          <t>13/01/2026, 12:02 pm</t>
        </is>
      </c>
      <c r="E64" s="4" t="inlineStr">
        <is>
          <t>13/01/2026, 12:03 pm</t>
        </is>
      </c>
      <c r="F64" s="4">
        <f>(E64-D64)*24*60</f>
        <v/>
      </c>
      <c r="G64" s="4" t="inlineStr">
        <is>
          <t>Csn developers pvt Ltd</t>
        </is>
      </c>
      <c r="H64" s="4" t="inlineStr">
        <is>
          <t>001fw000007wAavAAE</t>
        </is>
      </c>
      <c r="I64" s="4" t="n">
        <v>832109</v>
      </c>
      <c r="J64" s="4" t="inlineStr">
        <is>
          <t>SARAIKELA KHARSAWAN</t>
        </is>
      </c>
      <c r="K64" s="4" t="inlineStr"/>
      <c r="L64" s="4" t="inlineStr">
        <is>
          <t>Influencer</t>
        </is>
      </c>
      <c r="M64" s="4" t="inlineStr">
        <is>
          <t>Got future date</t>
        </is>
      </c>
      <c r="N64" s="4" t="inlineStr">
        <is>
          <t>IHB CONTRACTOR USING RUNGTA TMT and kamdhenu TMT. Rates given 61500 landed.</t>
        </is>
      </c>
      <c r="O64" s="4" t="inlineStr">
        <is>
          <t>Will connect us on inquiry received from site of IHB customer. Currently 5 projects is going on. Will connect us.</t>
        </is>
      </c>
      <c r="P64" s="4" t="inlineStr">
        <is>
          <t>IHB CONTRACTOR USING RUNGTA TMT and kamdhenu TMT. Rates given 61500 landed. | Will connect us on inquiry received from site of IHB customer. Currently 5 projects is going on. Will connect us.</t>
        </is>
      </c>
      <c r="Q64" s="4">
        <f>LEN(TRIM(P64))-LEN(SUBSTITUTE(P64," ",""))+1</f>
        <v/>
      </c>
      <c r="R64" s="4" t="n">
        <v>22.8121315</v>
      </c>
      <c r="S64" s="4" t="n">
        <v>86.2151547</v>
      </c>
      <c r="T64" s="4">
        <f>COUNTIF($G$2:G64,G64)</f>
        <v/>
      </c>
      <c r="U64" s="4">
        <f>IF(F64&lt;5,"YES","NO")</f>
        <v/>
      </c>
      <c r="V64" s="4">
        <f>IF(AND(N64&lt;&gt;"",O64&lt;&gt;""),"YES","NO")</f>
        <v/>
      </c>
      <c r="W64" s="4">
        <f>IF(HOUR(D64)&lt;12,"Morning",IF(HOUR(D64)&lt;17,"Afternoon","Evening"))</f>
        <v/>
      </c>
      <c r="X64" s="4" t="n">
        <v>6</v>
      </c>
      <c r="Y64" s="4">
        <f>IF(F64&lt;5,"&lt;5 min",IF(F64&lt;15,"5-15 min",IF(F64&lt;30,"15-30 min","30+ min")))</f>
        <v/>
      </c>
    </row>
    <row r="65">
      <c r="A65" s="3" t="n">
        <v>46052</v>
      </c>
      <c r="B65" s="4" t="inlineStr">
        <is>
          <t>Friday</t>
        </is>
      </c>
      <c r="C65" s="4" t="inlineStr">
        <is>
          <t>Jan 26</t>
        </is>
      </c>
      <c r="D65" s="4" t="inlineStr">
        <is>
          <t>30/01/2026, 4:42 pm</t>
        </is>
      </c>
      <c r="E65" s="4" t="inlineStr">
        <is>
          <t>30/01/2026, 4:45 pm</t>
        </is>
      </c>
      <c r="F65" s="4">
        <f>(E65-D65)*24*60</f>
        <v/>
      </c>
      <c r="G65" s="4" t="inlineStr">
        <is>
          <t>Csn developers pvt Ltd</t>
        </is>
      </c>
      <c r="H65" s="4" t="inlineStr">
        <is>
          <t>001fw000007wAavAAE</t>
        </is>
      </c>
      <c r="I65" s="4" t="n">
        <v>832109</v>
      </c>
      <c r="J65" s="4" t="inlineStr">
        <is>
          <t>SARAIKELA KHARSAWAN</t>
        </is>
      </c>
      <c r="K65" s="4" t="inlineStr"/>
      <c r="L65" s="4" t="inlineStr">
        <is>
          <t>Influencer</t>
        </is>
      </c>
      <c r="M65" s="4" t="inlineStr">
        <is>
          <t>Got future date</t>
        </is>
      </c>
      <c r="N65" s="4" t="inlineStr">
        <is>
          <t>IHB and real estate projects contactor. Using rungta srmb steel. Rates given 64500 landed to the CUSTUMER.</t>
        </is>
      </c>
      <c r="O65" s="4" t="inlineStr">
        <is>
          <t>For tmt inquiry will share to his direct ihb customers. Will give them knowledge and let us know.</t>
        </is>
      </c>
      <c r="P65" s="4" t="inlineStr">
        <is>
          <t>IHB and real estate projects contactor. Using rungta srmb steel. Rates given 64500 landed to the CUSTUMER. | For tmt inquiry will share to his direct ihb customers. Will give them knowledge and let us know.</t>
        </is>
      </c>
      <c r="Q65" s="4">
        <f>LEN(TRIM(P65))-LEN(SUBSTITUTE(P65," ",""))+1</f>
        <v/>
      </c>
      <c r="R65" s="4" t="n">
        <v>22.81213</v>
      </c>
      <c r="S65" s="4" t="n">
        <v>86.21513729999999</v>
      </c>
      <c r="T65" s="4">
        <f>COUNTIF($G$2:G65,G65)</f>
        <v/>
      </c>
      <c r="U65" s="4">
        <f>IF(F65&lt;5,"YES","NO")</f>
        <v/>
      </c>
      <c r="V65" s="4">
        <f>IF(AND(N65&lt;&gt;"",O65&lt;&gt;""),"YES","NO")</f>
        <v/>
      </c>
      <c r="W65" s="4">
        <f>IF(HOUR(D65)&lt;12,"Morning",IF(HOUR(D65)&lt;17,"Afternoon","Evening"))</f>
        <v/>
      </c>
      <c r="X65" s="4" t="n">
        <v>6</v>
      </c>
      <c r="Y65" s="4">
        <f>IF(F65&lt;5,"&lt;5 min",IF(F65&lt;15,"5-15 min",IF(F65&lt;30,"15-30 min","30+ min")))</f>
        <v/>
      </c>
    </row>
    <row r="66">
      <c r="A66" s="3" t="n">
        <v>45992</v>
      </c>
      <c r="B66" s="4" t="inlineStr">
        <is>
          <t>Monday</t>
        </is>
      </c>
      <c r="C66" s="4" t="inlineStr">
        <is>
          <t>Dec 25</t>
        </is>
      </c>
      <c r="D66" s="4" t="inlineStr">
        <is>
          <t>01/12/2025, 3:25 pm</t>
        </is>
      </c>
      <c r="E66" s="4" t="inlineStr">
        <is>
          <t>01/12/2025, 3:27 pm</t>
        </is>
      </c>
      <c r="F66" s="4">
        <f>(E66-D66)*24*60</f>
        <v/>
      </c>
      <c r="G66" s="4" t="inlineStr">
        <is>
          <t>Dhruwan sahu</t>
        </is>
      </c>
      <c r="H66" s="4" t="inlineStr">
        <is>
          <t>001fw00000E9ZjLAAV</t>
        </is>
      </c>
      <c r="I66" s="4" t="n">
        <v>835204</v>
      </c>
      <c r="J66" s="4" t="inlineStr">
        <is>
          <t>RANCHI</t>
        </is>
      </c>
      <c r="K66" s="4" t="inlineStr"/>
      <c r="L66" s="4" t="inlineStr">
        <is>
          <t>Influencer</t>
        </is>
      </c>
      <c r="M66" s="4" t="inlineStr">
        <is>
          <t>Got future date</t>
        </is>
      </c>
      <c r="N66" s="4" t="inlineStr">
        <is>
          <t>Contractor of ihb and small commercial projects . Using mongia kamdhenu and rungta tmt</t>
        </is>
      </c>
      <c r="O66" s="4" t="inlineStr">
        <is>
          <t>Will let know . Asking to wait for next inquiry to come Will share with us.</t>
        </is>
      </c>
      <c r="P66" s="4" t="inlineStr">
        <is>
          <t>Contractor of ihb and small commercial projects . Using mongia kamdhenu and rungta tmt | Will let know . Asking to wait for next inquiry to come Will share with us.</t>
        </is>
      </c>
      <c r="Q66" s="4">
        <f>LEN(TRIM(P66))-LEN(SUBSTITUTE(P66," ",""))+1</f>
        <v/>
      </c>
      <c r="R66" s="4" t="n">
        <v>23.0414425</v>
      </c>
      <c r="S66" s="4" t="n">
        <v>85.69713539999999</v>
      </c>
      <c r="T66" s="4">
        <f>COUNTIF($G$2:G66,G66)</f>
        <v/>
      </c>
      <c r="U66" s="4">
        <f>IF(F66&lt;5,"YES","NO")</f>
        <v/>
      </c>
      <c r="V66" s="4">
        <f>IF(AND(N66&lt;&gt;"",O66&lt;&gt;""),"YES","NO")</f>
        <v/>
      </c>
      <c r="W66" s="4">
        <f>IF(HOUR(D66)&lt;12,"Morning",IF(HOUR(D66)&lt;17,"Afternoon","Evening"))</f>
        <v/>
      </c>
      <c r="X66" s="4" t="n">
        <v>6</v>
      </c>
      <c r="Y66" s="4">
        <f>IF(F66&lt;5,"&lt;5 min",IF(F66&lt;15,"5-15 min",IF(F66&lt;30,"15-30 min","30+ min")))</f>
        <v/>
      </c>
    </row>
    <row r="67">
      <c r="A67" s="3" t="n">
        <v>46043</v>
      </c>
      <c r="B67" s="4" t="inlineStr">
        <is>
          <t>Wednesday</t>
        </is>
      </c>
      <c r="C67" s="4" t="inlineStr">
        <is>
          <t>Jan 26</t>
        </is>
      </c>
      <c r="D67" s="4" t="inlineStr">
        <is>
          <t>21/01/2026, 7:10 pm</t>
        </is>
      </c>
      <c r="E67" s="4" t="inlineStr">
        <is>
          <t>21/01/2026, 7:12 pm</t>
        </is>
      </c>
      <c r="F67" s="4">
        <f>(E67-D67)*24*60</f>
        <v/>
      </c>
      <c r="G67" s="4" t="inlineStr">
        <is>
          <t>Dhruwan sahu</t>
        </is>
      </c>
      <c r="H67" s="4" t="inlineStr">
        <is>
          <t>001fw00000E9ZjLAAV</t>
        </is>
      </c>
      <c r="I67" s="4" t="n">
        <v>835204</v>
      </c>
      <c r="J67" s="4" t="inlineStr">
        <is>
          <t>RANCHI</t>
        </is>
      </c>
      <c r="K67" s="4" t="inlineStr"/>
      <c r="L67" s="4" t="inlineStr">
        <is>
          <t>Influencer</t>
        </is>
      </c>
      <c r="M67" s="4" t="inlineStr">
        <is>
          <t>Got future date</t>
        </is>
      </c>
      <c r="N67" s="4" t="inlineStr">
        <is>
          <t>IHB CONTRACTOR USING RUNGTA TMT and kamdhenu TMT. Rates given 62500 landed to the CUSTUMER</t>
        </is>
      </c>
      <c r="O67" s="4" t="inlineStr">
        <is>
          <t>Will connect us on inquiry received from site. Will share rates rates and let us know. Last purchase rungta @ 50 landed.</t>
        </is>
      </c>
      <c r="P67" s="4" t="inlineStr">
        <is>
          <t>IHB CONTRACTOR USING RUNGTA TMT and kamdhenu TMT. Rates given 62500 landed to the CUSTUMER | Will connect us on inquiry received from site. Will share rates rates and let us know. Last purchase rungta @ 50 landed.</t>
        </is>
      </c>
      <c r="Q67" s="4">
        <f>LEN(TRIM(P67))-LEN(SUBSTITUTE(P67," ",""))+1</f>
        <v/>
      </c>
      <c r="R67" s="4" t="n">
        <v>22.8075295</v>
      </c>
      <c r="S67" s="4" t="n">
        <v>86.2217266</v>
      </c>
      <c r="T67" s="4">
        <f>COUNTIF($G$2:G67,G67)</f>
        <v/>
      </c>
      <c r="U67" s="4">
        <f>IF(F67&lt;5,"YES","NO")</f>
        <v/>
      </c>
      <c r="V67" s="4">
        <f>IF(AND(N67&lt;&gt;"",O67&lt;&gt;""),"YES","NO")</f>
        <v/>
      </c>
      <c r="W67" s="4">
        <f>IF(HOUR(D67)&lt;12,"Morning",IF(HOUR(D67)&lt;17,"Afternoon","Evening"))</f>
        <v/>
      </c>
      <c r="X67" s="4" t="n">
        <v>6</v>
      </c>
      <c r="Y67" s="4">
        <f>IF(F67&lt;5,"&lt;5 min",IF(F67&lt;15,"5-15 min",IF(F67&lt;30,"15-30 min","30+ min")))</f>
        <v/>
      </c>
    </row>
    <row r="68">
      <c r="A68" s="3" t="n">
        <v>45968</v>
      </c>
      <c r="B68" s="4" t="inlineStr">
        <is>
          <t>Friday</t>
        </is>
      </c>
      <c r="C68" s="4" t="inlineStr">
        <is>
          <t>Nov 25</t>
        </is>
      </c>
      <c r="D68" s="4" t="inlineStr">
        <is>
          <t>07/11/2025, 11:00 am</t>
        </is>
      </c>
      <c r="E68" s="4" t="inlineStr">
        <is>
          <t>07/11/2025, 11:01 am</t>
        </is>
      </c>
      <c r="F68" s="4">
        <f>(E68-D68)*24*60</f>
        <v/>
      </c>
      <c r="G68" s="4" t="inlineStr">
        <is>
          <t>Faithrive engineer pvt ltd</t>
        </is>
      </c>
      <c r="H68" s="4" t="inlineStr">
        <is>
          <t>001fw000009USbJAAW</t>
        </is>
      </c>
      <c r="I68" s="4" t="n">
        <v>831011</v>
      </c>
      <c r="J68" s="4" t="inlineStr">
        <is>
          <t>EAST SINGHBUM</t>
        </is>
      </c>
      <c r="K68" s="4" t="inlineStr"/>
      <c r="L68" s="4" t="inlineStr">
        <is>
          <t>Influencer</t>
        </is>
      </c>
      <c r="M68" s="4" t="inlineStr">
        <is>
          <t>Got future date</t>
        </is>
      </c>
      <c r="N68" s="4" t="inlineStr">
        <is>
          <t>Contractor of commercial realestate and ihb projects. Rates given 57000 landed through dealer at site .</t>
        </is>
      </c>
      <c r="O68" s="4" t="inlineStr">
        <is>
          <t>Will connect us later once inquiry received from customer. Last purchased panther through retailer at 61.</t>
        </is>
      </c>
      <c r="P68" s="4" t="inlineStr">
        <is>
          <t>Contractor of commercial realestate and ihb projects. Rates given 57000 landed through dealer at site . | Will connect us later once inquiry received from customer. Last purchased panther through retailer at 61.</t>
        </is>
      </c>
      <c r="Q68" s="4">
        <f>LEN(TRIM(P68))-LEN(SUBSTITUTE(P68," ",""))+1</f>
        <v/>
      </c>
      <c r="R68" s="4" t="n">
        <v>22.8119631</v>
      </c>
      <c r="S68" s="4" t="n">
        <v>86.2151846</v>
      </c>
      <c r="T68" s="4">
        <f>COUNTIF($G$2:G68,G68)</f>
        <v/>
      </c>
      <c r="U68" s="4">
        <f>IF(F68&lt;5,"YES","NO")</f>
        <v/>
      </c>
      <c r="V68" s="4">
        <f>IF(AND(N68&lt;&gt;"",O68&lt;&gt;""),"YES","NO")</f>
        <v/>
      </c>
      <c r="W68" s="4">
        <f>IF(HOUR(D68)&lt;12,"Morning",IF(HOUR(D68)&lt;17,"Afternoon","Evening"))</f>
        <v/>
      </c>
      <c r="X68" s="4" t="n">
        <v>6</v>
      </c>
      <c r="Y68" s="4">
        <f>IF(F68&lt;5,"&lt;5 min",IF(F68&lt;15,"5-15 min",IF(F68&lt;30,"15-30 min","30+ min")))</f>
        <v/>
      </c>
    </row>
    <row r="69">
      <c r="A69" s="3" t="n">
        <v>45975</v>
      </c>
      <c r="B69" s="4" t="inlineStr">
        <is>
          <t>Friday</t>
        </is>
      </c>
      <c r="C69" s="4" t="inlineStr">
        <is>
          <t>Nov 25</t>
        </is>
      </c>
      <c r="D69" s="4" t="inlineStr">
        <is>
          <t>14/11/2025, 11:18 am</t>
        </is>
      </c>
      <c r="E69" s="4" t="inlineStr">
        <is>
          <t>14/11/2025, 11:19 am</t>
        </is>
      </c>
      <c r="F69" s="4">
        <f>(E69-D69)*24*60</f>
        <v/>
      </c>
      <c r="G69" s="4" t="inlineStr">
        <is>
          <t>Faithrive engineer pvt ltd</t>
        </is>
      </c>
      <c r="H69" s="4" t="inlineStr">
        <is>
          <t>001fw000009USbJAAW</t>
        </is>
      </c>
      <c r="I69" s="4" t="n">
        <v>831011</v>
      </c>
      <c r="J69" s="4" t="inlineStr">
        <is>
          <t>EAST SINGHBUM</t>
        </is>
      </c>
      <c r="K69" s="4" t="inlineStr"/>
      <c r="L69" s="4" t="inlineStr">
        <is>
          <t>Influencer</t>
        </is>
      </c>
      <c r="M69" s="4" t="inlineStr">
        <is>
          <t>Got future date</t>
        </is>
      </c>
      <c r="N69" s="4" t="inlineStr">
        <is>
          <t>Contractor and engineer of ihb and commercial projects . Rates given 57000 landed to the customer. Using rungta and shyam steel .</t>
        </is>
      </c>
      <c r="O69" s="4" t="inlineStr">
        <is>
          <t>Will connect with dealer nearby when inquiry received from end user .</t>
        </is>
      </c>
      <c r="P69" s="4" t="inlineStr">
        <is>
          <t>Contractor and engineer of ihb and commercial projects . Rates given 57000 landed to the customer. Using rungta and shyam steel . | Will connect with dealer nearby when inquiry received from end user .</t>
        </is>
      </c>
      <c r="Q69" s="4">
        <f>LEN(TRIM(P69))-LEN(SUBSTITUTE(P69," ",""))+1</f>
        <v/>
      </c>
      <c r="R69" s="4" t="n">
        <v>22.8119815</v>
      </c>
      <c r="S69" s="4" t="n">
        <v>86.21519000000001</v>
      </c>
      <c r="T69" s="4">
        <f>COUNTIF($G$2:G69,G69)</f>
        <v/>
      </c>
      <c r="U69" s="4">
        <f>IF(F69&lt;5,"YES","NO")</f>
        <v/>
      </c>
      <c r="V69" s="4">
        <f>IF(AND(N69&lt;&gt;"",O69&lt;&gt;""),"YES","NO")</f>
        <v/>
      </c>
      <c r="W69" s="4">
        <f>IF(HOUR(D69)&lt;12,"Morning",IF(HOUR(D69)&lt;17,"Afternoon","Evening"))</f>
        <v/>
      </c>
      <c r="X69" s="4" t="n">
        <v>5</v>
      </c>
      <c r="Y69" s="4">
        <f>IF(F69&lt;5,"&lt;5 min",IF(F69&lt;15,"5-15 min",IF(F69&lt;30,"15-30 min","30+ min")))</f>
        <v/>
      </c>
    </row>
    <row r="70">
      <c r="A70" s="3" t="n">
        <v>45978</v>
      </c>
      <c r="B70" s="4" t="inlineStr">
        <is>
          <t>Monday</t>
        </is>
      </c>
      <c r="C70" s="4" t="inlineStr">
        <is>
          <t>Nov 25</t>
        </is>
      </c>
      <c r="D70" s="4" t="inlineStr">
        <is>
          <t>17/11/2025, 7:32 pm</t>
        </is>
      </c>
      <c r="E70" s="4" t="inlineStr">
        <is>
          <t>17/11/2025, 7:37 pm</t>
        </is>
      </c>
      <c r="F70" s="4">
        <f>(E70-D70)*24*60</f>
        <v/>
      </c>
      <c r="G70" s="4" t="inlineStr">
        <is>
          <t>Faithrive engineer pvt ltd</t>
        </is>
      </c>
      <c r="H70" s="4" t="inlineStr">
        <is>
          <t>001fw000009USbJAAW</t>
        </is>
      </c>
      <c r="I70" s="4" t="n">
        <v>831011</v>
      </c>
      <c r="J70" s="4" t="inlineStr">
        <is>
          <t>EAST SINGHBUM</t>
        </is>
      </c>
      <c r="K70" s="4" t="inlineStr"/>
      <c r="L70" s="4" t="inlineStr">
        <is>
          <t>Influencer</t>
        </is>
      </c>
      <c r="M70" s="4" t="inlineStr">
        <is>
          <t>Got future date</t>
        </is>
      </c>
      <c r="N70" s="4" t="inlineStr">
        <is>
          <t>Contractor and archeitect of commercial and real estate projects. Rates communicated 54 landed to site.</t>
        </is>
      </c>
      <c r="O70" s="4" t="inlineStr">
        <is>
          <t>Will connect us when demand comes from site . Last purchased panther.</t>
        </is>
      </c>
      <c r="P70" s="4" t="inlineStr">
        <is>
          <t>Contractor and archeitect of commercial and real estate projects. Rates communicated 54 landed to site. | Will connect us when demand comes from site . Last purchased panther.</t>
        </is>
      </c>
      <c r="Q70" s="4">
        <f>LEN(TRIM(P70))-LEN(SUBSTITUTE(P70," ",""))+1</f>
        <v/>
      </c>
      <c r="R70" s="4" t="n">
        <v>22.8120894</v>
      </c>
      <c r="S70" s="4" t="n">
        <v>86.2152121</v>
      </c>
      <c r="T70" s="4">
        <f>COUNTIF($G$2:G70,G70)</f>
        <v/>
      </c>
      <c r="U70" s="4">
        <f>IF(F70&lt;5,"YES","NO")</f>
        <v/>
      </c>
      <c r="V70" s="4">
        <f>IF(AND(N70&lt;&gt;"",O70&lt;&gt;""),"YES","NO")</f>
        <v/>
      </c>
      <c r="W70" s="4">
        <f>IF(HOUR(D70)&lt;12,"Morning",IF(HOUR(D70)&lt;17,"Afternoon","Evening"))</f>
        <v/>
      </c>
      <c r="X70" s="4" t="n">
        <v>8</v>
      </c>
      <c r="Y70" s="4">
        <f>IF(F70&lt;5,"&lt;5 min",IF(F70&lt;15,"5-15 min",IF(F70&lt;30,"15-30 min","30+ min")))</f>
        <v/>
      </c>
    </row>
    <row r="71">
      <c r="A71" s="3" t="n">
        <v>45996</v>
      </c>
      <c r="B71" s="4" t="inlineStr">
        <is>
          <t>Friday</t>
        </is>
      </c>
      <c r="C71" s="4" t="inlineStr">
        <is>
          <t>Dec 25</t>
        </is>
      </c>
      <c r="D71" s="4" t="inlineStr">
        <is>
          <t>05/12/2025, 4:14 pm</t>
        </is>
      </c>
      <c r="E71" s="4" t="inlineStr">
        <is>
          <t>05/12/2025, 4:16 pm</t>
        </is>
      </c>
      <c r="F71" s="4">
        <f>(E71-D71)*24*60</f>
        <v/>
      </c>
      <c r="G71" s="4" t="inlineStr">
        <is>
          <t>Faithrive engineer pvt ltd</t>
        </is>
      </c>
      <c r="H71" s="4" t="inlineStr">
        <is>
          <t>001fw000009USbJAAW</t>
        </is>
      </c>
      <c r="I71" s="4" t="n">
        <v>831011</v>
      </c>
      <c r="J71" s="4" t="inlineStr">
        <is>
          <t>EAST SINGHBUM</t>
        </is>
      </c>
      <c r="K71" s="4" t="inlineStr"/>
      <c r="L71" s="4" t="inlineStr">
        <is>
          <t>Influencer</t>
        </is>
      </c>
      <c r="M71" s="4" t="inlineStr">
        <is>
          <t>Got future date</t>
        </is>
      </c>
      <c r="N71" s="4" t="inlineStr">
        <is>
          <t>Contractor of ihb projects and influencer. Rates given 55500 landed. Will share inquiry to dealer .</t>
        </is>
      </c>
      <c r="O71" s="4" t="inlineStr">
        <is>
          <t>Will connect to dealer for rates on inquiry from custumer .</t>
        </is>
      </c>
      <c r="P71" s="4" t="inlineStr">
        <is>
          <t>Contractor of ihb projects and influencer. Rates given 55500 landed. Will share inquiry to dealer . | Will connect to dealer for rates on inquiry from custumer .</t>
        </is>
      </c>
      <c r="Q71" s="4">
        <f>LEN(TRIM(P71))-LEN(SUBSTITUTE(P71," ",""))+1</f>
        <v/>
      </c>
      <c r="R71" s="4" t="n">
        <v>22.8119691</v>
      </c>
      <c r="S71" s="4" t="n">
        <v>86.21519549999999</v>
      </c>
      <c r="T71" s="4">
        <f>COUNTIF($G$2:G71,G71)</f>
        <v/>
      </c>
      <c r="U71" s="4">
        <f>IF(F71&lt;5,"YES","NO")</f>
        <v/>
      </c>
      <c r="V71" s="4">
        <f>IF(AND(N71&lt;&gt;"",O71&lt;&gt;""),"YES","NO")</f>
        <v/>
      </c>
      <c r="W71" s="4">
        <f>IF(HOUR(D71)&lt;12,"Morning",IF(HOUR(D71)&lt;17,"Afternoon","Evening"))</f>
        <v/>
      </c>
      <c r="X71" s="4" t="n">
        <v>6</v>
      </c>
      <c r="Y71" s="4">
        <f>IF(F71&lt;5,"&lt;5 min",IF(F71&lt;15,"5-15 min",IF(F71&lt;30,"15-30 min","30+ min")))</f>
        <v/>
      </c>
    </row>
    <row r="72">
      <c r="A72" s="3" t="n">
        <v>46013</v>
      </c>
      <c r="B72" s="4" t="inlineStr">
        <is>
          <t>Monday</t>
        </is>
      </c>
      <c r="C72" s="4" t="inlineStr">
        <is>
          <t>Dec 25</t>
        </is>
      </c>
      <c r="D72" s="4" t="inlineStr">
        <is>
          <t>22/12/2025, 5:14 pm</t>
        </is>
      </c>
      <c r="E72" s="4" t="inlineStr">
        <is>
          <t>22/12/2025, 5:16 pm</t>
        </is>
      </c>
      <c r="F72" s="4">
        <f>(E72-D72)*24*60</f>
        <v/>
      </c>
      <c r="G72" s="4" t="inlineStr">
        <is>
          <t>Faithrive engineer pvt ltd</t>
        </is>
      </c>
      <c r="H72" s="4" t="inlineStr">
        <is>
          <t>001fw000009USbJAAW</t>
        </is>
      </c>
      <c r="I72" s="4" t="n">
        <v>831011</v>
      </c>
      <c r="J72" s="4" t="inlineStr">
        <is>
          <t>EAST SINGHBUM</t>
        </is>
      </c>
      <c r="K72" s="4" t="inlineStr"/>
      <c r="L72" s="4" t="inlineStr">
        <is>
          <t>Influencer</t>
        </is>
      </c>
      <c r="M72" s="4" t="inlineStr">
        <is>
          <t>Got future date</t>
        </is>
      </c>
      <c r="N72" s="4" t="inlineStr">
        <is>
          <t>Ihb contractor using rungta , kamdhenu and shyam steel . Rates given 57000 landed to the custumer.</t>
        </is>
      </c>
      <c r="O72" s="4" t="inlineStr">
        <is>
          <t>Will let us know. Connect us when demand comes to him from any site.</t>
        </is>
      </c>
      <c r="P72" s="4" t="inlineStr">
        <is>
          <t>Ihb contractor using rungta , kamdhenu and shyam steel . Rates given 57000 landed to the custumer. | Will let us know. Connect us when demand comes to him from any site.</t>
        </is>
      </c>
      <c r="Q72" s="4">
        <f>LEN(TRIM(P72))-LEN(SUBSTITUTE(P72," ",""))+1</f>
        <v/>
      </c>
      <c r="R72" s="4" t="n">
        <v>22.811981</v>
      </c>
      <c r="S72" s="4" t="n">
        <v>86.215211</v>
      </c>
      <c r="T72" s="4">
        <f>COUNTIF($G$2:G72,G72)</f>
        <v/>
      </c>
      <c r="U72" s="4">
        <f>IF(F72&lt;5,"YES","NO")</f>
        <v/>
      </c>
      <c r="V72" s="4">
        <f>IF(AND(N72&lt;&gt;"",O72&lt;&gt;""),"YES","NO")</f>
        <v/>
      </c>
      <c r="W72" s="4">
        <f>IF(HOUR(D72)&lt;12,"Morning",IF(HOUR(D72)&lt;17,"Afternoon","Evening"))</f>
        <v/>
      </c>
      <c r="X72" s="4" t="n">
        <v>7</v>
      </c>
      <c r="Y72" s="4">
        <f>IF(F72&lt;5,"&lt;5 min",IF(F72&lt;15,"5-15 min",IF(F72&lt;30,"15-30 min","30+ min")))</f>
        <v/>
      </c>
    </row>
    <row r="73">
      <c r="A73" s="3" t="n">
        <v>46029</v>
      </c>
      <c r="B73" s="4" t="inlineStr">
        <is>
          <t>Wednesday</t>
        </is>
      </c>
      <c r="C73" s="4" t="inlineStr">
        <is>
          <t>Jan 26</t>
        </is>
      </c>
      <c r="D73" s="4" t="inlineStr">
        <is>
          <t>07/01/2026, 6:25 pm</t>
        </is>
      </c>
      <c r="E73" s="4" t="inlineStr">
        <is>
          <t>07/01/2026, 6:26 pm</t>
        </is>
      </c>
      <c r="F73" s="4">
        <f>(E73-D73)*24*60</f>
        <v/>
      </c>
      <c r="G73" s="4" t="inlineStr">
        <is>
          <t>Faithrive engineer pvt ltd</t>
        </is>
      </c>
      <c r="H73" s="4" t="inlineStr">
        <is>
          <t>001fw000009USbJAAW</t>
        </is>
      </c>
      <c r="I73" s="4" t="n">
        <v>831011</v>
      </c>
      <c r="J73" s="4" t="inlineStr">
        <is>
          <t>EAST SINGHBUM</t>
        </is>
      </c>
      <c r="K73" s="4" t="inlineStr"/>
      <c r="L73" s="4" t="inlineStr">
        <is>
          <t>Influencer</t>
        </is>
      </c>
      <c r="M73" s="4" t="inlineStr">
        <is>
          <t>Got future date</t>
        </is>
      </c>
      <c r="N73" s="4" t="inlineStr">
        <is>
          <t>IHB CONTRACTOR USING RUNGTA TMT and kamdhenu TMT. Rates given 59500 landed to the CUSTUMER.</t>
        </is>
      </c>
      <c r="O73" s="4" t="inlineStr">
        <is>
          <t>Will connect us on inquiry received from end CUSTUMER. Need time.</t>
        </is>
      </c>
      <c r="P73" s="4" t="inlineStr">
        <is>
          <t>IHB CONTRACTOR USING RUNGTA TMT and kamdhenu TMT. Rates given 59500 landed to the CUSTUMER. | Will connect us on inquiry received from end CUSTUMER. Need time.</t>
        </is>
      </c>
      <c r="Q73" s="4">
        <f>LEN(TRIM(P73))-LEN(SUBSTITUTE(P73," ",""))+1</f>
        <v/>
      </c>
      <c r="R73" s="4" t="n">
        <v>22.8120187</v>
      </c>
      <c r="S73" s="4" t="n">
        <v>86.2151786</v>
      </c>
      <c r="T73" s="4">
        <f>COUNTIF($G$2:G73,G73)</f>
        <v/>
      </c>
      <c r="U73" s="4">
        <f>IF(F73&lt;5,"YES","NO")</f>
        <v/>
      </c>
      <c r="V73" s="4">
        <f>IF(AND(N73&lt;&gt;"",O73&lt;&gt;""),"YES","NO")</f>
        <v/>
      </c>
      <c r="W73" s="4">
        <f>IF(HOUR(D73)&lt;12,"Morning",IF(HOUR(D73)&lt;17,"Afternoon","Evening"))</f>
        <v/>
      </c>
      <c r="X73" s="4" t="n">
        <v>6</v>
      </c>
      <c r="Y73" s="4">
        <f>IF(F73&lt;5,"&lt;5 min",IF(F73&lt;15,"5-15 min",IF(F73&lt;30,"15-30 min","30+ min")))</f>
        <v/>
      </c>
    </row>
    <row r="74">
      <c r="A74" s="3" t="n">
        <v>46034</v>
      </c>
      <c r="B74" s="4" t="inlineStr">
        <is>
          <t>Monday</t>
        </is>
      </c>
      <c r="C74" s="4" t="inlineStr">
        <is>
          <t>Jan 26</t>
        </is>
      </c>
      <c r="D74" s="4" t="inlineStr">
        <is>
          <t>12/01/2026, 6:28 pm</t>
        </is>
      </c>
      <c r="E74" s="4" t="inlineStr">
        <is>
          <t>12/01/2026, 6:29 pm</t>
        </is>
      </c>
      <c r="F74" s="4">
        <f>(E74-D74)*24*60</f>
        <v/>
      </c>
      <c r="G74" s="4" t="inlineStr">
        <is>
          <t>Faithrive engineer pvt ltd</t>
        </is>
      </c>
      <c r="H74" s="4" t="inlineStr">
        <is>
          <t>001fw000009USbJAAW</t>
        </is>
      </c>
      <c r="I74" s="4" t="n">
        <v>831011</v>
      </c>
      <c r="J74" s="4" t="inlineStr">
        <is>
          <t>EAST SINGHBUM</t>
        </is>
      </c>
      <c r="K74" s="4" t="inlineStr"/>
      <c r="L74" s="4" t="inlineStr">
        <is>
          <t>Influencer</t>
        </is>
      </c>
      <c r="M74" s="4" t="inlineStr">
        <is>
          <t>Got future date</t>
        </is>
      </c>
      <c r="N74" s="4" t="inlineStr">
        <is>
          <t>IHB and commercial project contractor USING tiscon and RUNGTA TMT and per Demand from CUSTUMER. Rates given 61500 landed to the CUSTUMER.</t>
        </is>
      </c>
      <c r="O74" s="4" t="inlineStr">
        <is>
          <t>Will connect us on inquiry received from end CUSTUMER. IHB CUSTUMER will guided for jsw one tmt.</t>
        </is>
      </c>
      <c r="P74" s="4" t="inlineStr">
        <is>
          <t>IHB and commercial project contractor USING tiscon and RUNGTA TMT and per Demand from CUSTUMER. Rates given 61500 landed to the CUSTUMER. | Will connect us on inquiry received from end CUSTUMER. IHB CUSTUMER will guided for jsw one tmt.</t>
        </is>
      </c>
      <c r="Q74" s="4">
        <f>LEN(TRIM(P74))-LEN(SUBSTITUTE(P74," ",""))+1</f>
        <v/>
      </c>
      <c r="R74" s="4" t="n">
        <v>22.8121623</v>
      </c>
      <c r="S74" s="4" t="n">
        <v>86.21527620000001</v>
      </c>
      <c r="T74" s="4">
        <f>COUNTIF($G$2:G74,G74)</f>
        <v/>
      </c>
      <c r="U74" s="4">
        <f>IF(F74&lt;5,"YES","NO")</f>
        <v/>
      </c>
      <c r="V74" s="4">
        <f>IF(AND(N74&lt;&gt;"",O74&lt;&gt;""),"YES","NO")</f>
        <v/>
      </c>
      <c r="W74" s="4">
        <f>IF(HOUR(D74)&lt;12,"Morning",IF(HOUR(D74)&lt;17,"Afternoon","Evening"))</f>
        <v/>
      </c>
      <c r="X74" s="4" t="n">
        <v>6</v>
      </c>
      <c r="Y74" s="4">
        <f>IF(F74&lt;5,"&lt;5 min",IF(F74&lt;15,"5-15 min",IF(F74&lt;30,"15-30 min","30+ min")))</f>
        <v/>
      </c>
    </row>
    <row r="75">
      <c r="A75" s="3" t="n">
        <v>46050</v>
      </c>
      <c r="B75" s="4" t="inlineStr">
        <is>
          <t>Wednesday</t>
        </is>
      </c>
      <c r="C75" s="4" t="inlineStr">
        <is>
          <t>Jan 26</t>
        </is>
      </c>
      <c r="D75" s="4" t="inlineStr">
        <is>
          <t>28/01/2026, 3:11 pm</t>
        </is>
      </c>
      <c r="E75" s="4" t="inlineStr">
        <is>
          <t>28/01/2026, 3:16 pm</t>
        </is>
      </c>
      <c r="F75" s="4">
        <f>(E75-D75)*24*60</f>
        <v/>
      </c>
      <c r="G75" s="4" t="inlineStr">
        <is>
          <t>Faithrive engineer pvt ltd</t>
        </is>
      </c>
      <c r="H75" s="4" t="inlineStr">
        <is>
          <t>001fw000009USbJAAW</t>
        </is>
      </c>
      <c r="I75" s="4" t="n">
        <v>831011</v>
      </c>
      <c r="J75" s="4" t="inlineStr">
        <is>
          <t>EAST SINGHBUM</t>
        </is>
      </c>
      <c r="K75" s="4" t="inlineStr"/>
      <c r="L75" s="4" t="inlineStr">
        <is>
          <t>Influencer</t>
        </is>
      </c>
      <c r="M75" s="4" t="inlineStr">
        <is>
          <t>Got future date</t>
        </is>
      </c>
      <c r="N75" s="4" t="inlineStr">
        <is>
          <t>IHB CONTRACTOR USING RUNGTA TMT and kamdhenu TMT. Rates given 64500 landed through retailer. Will share inquiries with us.</t>
        </is>
      </c>
      <c r="O75" s="4" t="inlineStr">
        <is>
          <t>Will connect us on inquiry. Need time waiting for IHB customer. Last purchase rungta @ 54 landed.</t>
        </is>
      </c>
      <c r="P75" s="4" t="inlineStr">
        <is>
          <t>IHB CONTRACTOR USING RUNGTA TMT and kamdhenu TMT. Rates given 64500 landed through retailer. Will share inquiries with us. | Will connect us on inquiry. Need time waiting for IHB customer. Last purchase rungta @ 54 landed.</t>
        </is>
      </c>
      <c r="Q75" s="4">
        <f>LEN(TRIM(P75))-LEN(SUBSTITUTE(P75," ",""))+1</f>
        <v/>
      </c>
      <c r="R75" s="4" t="n">
        <v>22.8119336</v>
      </c>
      <c r="S75" s="4" t="n">
        <v>86.21522299999999</v>
      </c>
      <c r="T75" s="4">
        <f>COUNTIF($G$2:G75,G75)</f>
        <v/>
      </c>
      <c r="U75" s="4">
        <f>IF(F75&lt;5,"YES","NO")</f>
        <v/>
      </c>
      <c r="V75" s="4">
        <f>IF(AND(N75&lt;&gt;"",O75&lt;&gt;""),"YES","NO")</f>
        <v/>
      </c>
      <c r="W75" s="4">
        <f>IF(HOUR(D75)&lt;12,"Morning",IF(HOUR(D75)&lt;17,"Afternoon","Evening"))</f>
        <v/>
      </c>
      <c r="X75" s="4" t="n">
        <v>7</v>
      </c>
      <c r="Y75" s="4">
        <f>IF(F75&lt;5,"&lt;5 min",IF(F75&lt;15,"5-15 min",IF(F75&lt;30,"15-30 min","30+ min")))</f>
        <v/>
      </c>
    </row>
    <row r="76">
      <c r="A76" s="3" t="n">
        <v>45965</v>
      </c>
      <c r="B76" s="4" t="inlineStr">
        <is>
          <t>Tuesday</t>
        </is>
      </c>
      <c r="C76" s="4" t="inlineStr">
        <is>
          <t>Nov 25</t>
        </is>
      </c>
      <c r="D76" s="4" t="inlineStr">
        <is>
          <t>04/11/2025, 5:48 pm</t>
        </is>
      </c>
      <c r="E76" s="4" t="inlineStr">
        <is>
          <t>04/11/2025, 5:51 pm</t>
        </is>
      </c>
      <c r="F76" s="4">
        <f>(E76-D76)*24*60</f>
        <v/>
      </c>
      <c r="G76" s="4" t="inlineStr">
        <is>
          <t>Green Vatican construction pvt Ltd</t>
        </is>
      </c>
      <c r="H76" s="4" t="inlineStr">
        <is>
          <t>001fw000007qqjMAAQ</t>
        </is>
      </c>
      <c r="I76" s="4" t="n">
        <v>831001</v>
      </c>
      <c r="J76" s="4" t="inlineStr">
        <is>
          <t>EAST SINGHBUM</t>
        </is>
      </c>
      <c r="K76" s="4" t="inlineStr"/>
      <c r="L76" s="4" t="inlineStr">
        <is>
          <t>Influencer</t>
        </is>
      </c>
      <c r="M76" s="4" t="inlineStr">
        <is>
          <t>Got future date</t>
        </is>
      </c>
      <c r="N76" s="4" t="inlineStr">
        <is>
          <t>Contractor of real estate and commercial project. Rates given 46500 basic to the dealer . Will connect with an requirement.</t>
        </is>
      </c>
      <c r="O76" s="4" t="inlineStr">
        <is>
          <t>Last purchase was rungta steel. @ 39500 basic from manufacture . Will connect us .</t>
        </is>
      </c>
      <c r="P76" s="4" t="inlineStr">
        <is>
          <t>Contractor of real estate and commercial project. Rates given 46500 basic to the dealer . Will connect with an requirement. | Last purchase was rungta steel. @ 39500 basic from manufacture . Will connect us .</t>
        </is>
      </c>
      <c r="Q76" s="4">
        <f>LEN(TRIM(P76))-LEN(SUBSTITUTE(P76," ",""))+1</f>
        <v/>
      </c>
      <c r="R76" s="4" t="n">
        <v>22.8074002</v>
      </c>
      <c r="S76" s="4" t="n">
        <v>86.2221129</v>
      </c>
      <c r="T76" s="4">
        <f>COUNTIF($G$2:G76,G76)</f>
        <v/>
      </c>
      <c r="U76" s="4">
        <f>IF(F76&lt;5,"YES","NO")</f>
        <v/>
      </c>
      <c r="V76" s="4">
        <f>IF(AND(N76&lt;&gt;"",O76&lt;&gt;""),"YES","NO")</f>
        <v/>
      </c>
      <c r="W76" s="4">
        <f>IF(HOUR(D76)&lt;12,"Morning",IF(HOUR(D76)&lt;17,"Afternoon","Evening"))</f>
        <v/>
      </c>
      <c r="X76" s="4" t="n">
        <v>7</v>
      </c>
      <c r="Y76" s="4">
        <f>IF(F76&lt;5,"&lt;5 min",IF(F76&lt;15,"5-15 min",IF(F76&lt;30,"15-30 min","30+ min")))</f>
        <v/>
      </c>
    </row>
    <row r="77">
      <c r="A77" s="3" t="n">
        <v>45981</v>
      </c>
      <c r="B77" s="4" t="inlineStr">
        <is>
          <t>Thursday</t>
        </is>
      </c>
      <c r="C77" s="4" t="inlineStr">
        <is>
          <t>Nov 25</t>
        </is>
      </c>
      <c r="D77" s="4" t="inlineStr">
        <is>
          <t>20/11/2025, 5:23 pm</t>
        </is>
      </c>
      <c r="E77" s="4" t="inlineStr">
        <is>
          <t>20/11/2025, 5:24 pm</t>
        </is>
      </c>
      <c r="F77" s="4">
        <f>(E77-D77)*24*60</f>
        <v/>
      </c>
      <c r="G77" s="4" t="inlineStr">
        <is>
          <t>Green Vatican construction pvt Ltd</t>
        </is>
      </c>
      <c r="H77" s="4" t="inlineStr">
        <is>
          <t>001fw000007qqjMAAQ</t>
        </is>
      </c>
      <c r="I77" s="4" t="n">
        <v>831001</v>
      </c>
      <c r="J77" s="4" t="inlineStr">
        <is>
          <t>EAST SINGHBUM</t>
        </is>
      </c>
      <c r="K77" s="4" t="inlineStr"/>
      <c r="L77" s="4" t="inlineStr">
        <is>
          <t>Influencer</t>
        </is>
      </c>
      <c r="M77" s="4" t="inlineStr">
        <is>
          <t>Got future date</t>
        </is>
      </c>
      <c r="N77" s="4" t="inlineStr">
        <is>
          <t>Contractor of ihb and real estate projects . Using kamdhen, tiscon and Jindal usd . Rates shared 54000 landed to the customer. .</t>
        </is>
      </c>
      <c r="O77" s="4" t="inlineStr">
        <is>
          <t>Will connect us later when inquiry received from end customer.</t>
        </is>
      </c>
      <c r="P77" s="4" t="inlineStr">
        <is>
          <t>Contractor of ihb and real estate projects . Using kamdhen, tiscon and Jindal usd . Rates shared 54000 landed to the customer. . | Will connect us later when inquiry received from end customer.</t>
        </is>
      </c>
      <c r="Q77" s="4">
        <f>LEN(TRIM(P77))-LEN(SUBSTITUTE(P77," ",""))+1</f>
        <v/>
      </c>
      <c r="R77" s="4" t="n">
        <v>22.81072</v>
      </c>
      <c r="S77" s="4" t="n">
        <v>86.2184458</v>
      </c>
      <c r="T77" s="4">
        <f>COUNTIF($G$2:G77,G77)</f>
        <v/>
      </c>
      <c r="U77" s="4">
        <f>IF(F77&lt;5,"YES","NO")</f>
        <v/>
      </c>
      <c r="V77" s="4">
        <f>IF(AND(N77&lt;&gt;"",O77&lt;&gt;""),"YES","NO")</f>
        <v/>
      </c>
      <c r="W77" s="4">
        <f>IF(HOUR(D77)&lt;12,"Morning",IF(HOUR(D77)&lt;17,"Afternoon","Evening"))</f>
        <v/>
      </c>
      <c r="X77" s="4" t="n">
        <v>6</v>
      </c>
      <c r="Y77" s="4">
        <f>IF(F77&lt;5,"&lt;5 min",IF(F77&lt;15,"5-15 min",IF(F77&lt;30,"15-30 min","30+ min")))</f>
        <v/>
      </c>
    </row>
    <row r="78">
      <c r="A78" s="3" t="n">
        <v>45982</v>
      </c>
      <c r="B78" s="4" t="inlineStr">
        <is>
          <t>Friday</t>
        </is>
      </c>
      <c r="C78" s="4" t="inlineStr">
        <is>
          <t>Nov 25</t>
        </is>
      </c>
      <c r="D78" s="4" t="inlineStr">
        <is>
          <t>21/11/2025, 4:24 pm</t>
        </is>
      </c>
      <c r="E78" s="4" t="inlineStr">
        <is>
          <t>21/11/2025, 4:25 pm</t>
        </is>
      </c>
      <c r="F78" s="4">
        <f>(E78-D78)*24*60</f>
        <v/>
      </c>
      <c r="G78" s="4" t="inlineStr">
        <is>
          <t>Green Vatican construction pvt Ltd</t>
        </is>
      </c>
      <c r="H78" s="4" t="inlineStr">
        <is>
          <t>001fw000007qqjMAAQ</t>
        </is>
      </c>
      <c r="I78" s="4" t="n">
        <v>831001</v>
      </c>
      <c r="J78" s="4" t="inlineStr">
        <is>
          <t>EAST SINGHBUM</t>
        </is>
      </c>
      <c r="K78" s="4" t="inlineStr"/>
      <c r="L78" s="4" t="inlineStr">
        <is>
          <t>Influencer</t>
        </is>
      </c>
      <c r="M78" s="4" t="inlineStr">
        <is>
          <t>Got future date</t>
        </is>
      </c>
      <c r="N78" s="4" t="inlineStr">
        <is>
          <t>Ihb and real estate contractor . Using rungta tmt and shyam steel . No inquiry currently .</t>
        </is>
      </c>
      <c r="O78" s="4" t="inlineStr">
        <is>
          <t>Asking to connect later. Rates given 54000 landed to the customer.</t>
        </is>
      </c>
      <c r="P78" s="4" t="inlineStr">
        <is>
          <t>Ihb and real estate contractor . Using rungta tmt and shyam steel . No inquiry currently . | Asking to connect later. Rates given 54000 landed to the customer.</t>
        </is>
      </c>
      <c r="Q78" s="4">
        <f>LEN(TRIM(P78))-LEN(SUBSTITUTE(P78," ",""))+1</f>
        <v/>
      </c>
      <c r="R78" s="4" t="n">
        <v>22.8119602</v>
      </c>
      <c r="S78" s="4" t="n">
        <v>86.2152095</v>
      </c>
      <c r="T78" s="4">
        <f>COUNTIF($G$2:G78,G78)</f>
        <v/>
      </c>
      <c r="U78" s="4">
        <f>IF(F78&lt;5,"YES","NO")</f>
        <v/>
      </c>
      <c r="V78" s="4">
        <f>IF(AND(N78&lt;&gt;"",O78&lt;&gt;""),"YES","NO")</f>
        <v/>
      </c>
      <c r="W78" s="4">
        <f>IF(HOUR(D78)&lt;12,"Morning",IF(HOUR(D78)&lt;17,"Afternoon","Evening"))</f>
        <v/>
      </c>
      <c r="X78" s="4" t="n">
        <v>5</v>
      </c>
      <c r="Y78" s="4">
        <f>IF(F78&lt;5,"&lt;5 min",IF(F78&lt;15,"5-15 min",IF(F78&lt;30,"15-30 min","30+ min")))</f>
        <v/>
      </c>
    </row>
    <row r="79">
      <c r="A79" s="3" t="n">
        <v>46002</v>
      </c>
      <c r="B79" s="4" t="inlineStr">
        <is>
          <t>Thursday</t>
        </is>
      </c>
      <c r="C79" s="4" t="inlineStr">
        <is>
          <t>Dec 25</t>
        </is>
      </c>
      <c r="D79" s="4" t="inlineStr">
        <is>
          <t>11/12/2025, 12:16 pm</t>
        </is>
      </c>
      <c r="E79" s="4" t="inlineStr">
        <is>
          <t>11/12/2025, 12:19 pm</t>
        </is>
      </c>
      <c r="F79" s="4">
        <f>(E79-D79)*24*60</f>
        <v/>
      </c>
      <c r="G79" s="4" t="inlineStr">
        <is>
          <t>Green Vatican construction pvt Ltd</t>
        </is>
      </c>
      <c r="H79" s="4" t="inlineStr">
        <is>
          <t>001fw000007qqjMAAQ</t>
        </is>
      </c>
      <c r="I79" s="4" t="n">
        <v>831001</v>
      </c>
      <c r="J79" s="4" t="inlineStr">
        <is>
          <t>EAST SINGHBUM</t>
        </is>
      </c>
      <c r="K79" s="4" t="inlineStr"/>
      <c r="L79" s="4" t="inlineStr">
        <is>
          <t>Influencer</t>
        </is>
      </c>
      <c r="M79" s="4" t="inlineStr">
        <is>
          <t>Got future date</t>
        </is>
      </c>
      <c r="N79" s="4" t="inlineStr">
        <is>
          <t>Contractor of ihb projects using rungta and mongia tmt . Rates given 56500 landed through retailer. Need time .</t>
        </is>
      </c>
      <c r="O79" s="4" t="inlineStr">
        <is>
          <t>Will connect us once inquiry comes from end user . Need time .</t>
        </is>
      </c>
      <c r="P79" s="4" t="inlineStr">
        <is>
          <t>Contractor of ihb projects using rungta and mongia tmt . Rates given 56500 landed through retailer. Need time . | Will connect us once inquiry comes from end user . Need time .</t>
        </is>
      </c>
      <c r="Q79" s="4">
        <f>LEN(TRIM(P79))-LEN(SUBSTITUTE(P79," ",""))+1</f>
        <v/>
      </c>
      <c r="R79" s="4" t="n">
        <v>22.8121046</v>
      </c>
      <c r="S79" s="4" t="n">
        <v>86.2151873</v>
      </c>
      <c r="T79" s="4">
        <f>COUNTIF($G$2:G79,G79)</f>
        <v/>
      </c>
      <c r="U79" s="4">
        <f>IF(F79&lt;5,"YES","NO")</f>
        <v/>
      </c>
      <c r="V79" s="4">
        <f>IF(AND(N79&lt;&gt;"",O79&lt;&gt;""),"YES","NO")</f>
        <v/>
      </c>
      <c r="W79" s="4">
        <f>IF(HOUR(D79)&lt;12,"Morning",IF(HOUR(D79)&lt;17,"Afternoon","Evening"))</f>
        <v/>
      </c>
      <c r="X79" s="4" t="n">
        <v>6</v>
      </c>
      <c r="Y79" s="4">
        <f>IF(F79&lt;5,"&lt;5 min",IF(F79&lt;15,"5-15 min",IF(F79&lt;30,"15-30 min","30+ min")))</f>
        <v/>
      </c>
    </row>
    <row r="80">
      <c r="A80" s="3" t="n">
        <v>46028</v>
      </c>
      <c r="B80" s="4" t="inlineStr">
        <is>
          <t>Tuesday</t>
        </is>
      </c>
      <c r="C80" s="4" t="inlineStr">
        <is>
          <t>Jan 26</t>
        </is>
      </c>
      <c r="D80" s="4" t="inlineStr">
        <is>
          <t>06/01/2026, 11:13 am</t>
        </is>
      </c>
      <c r="E80" s="4" t="inlineStr">
        <is>
          <t>06/01/2026, 11:17 am</t>
        </is>
      </c>
      <c r="F80" s="4">
        <f>(E80-D80)*24*60</f>
        <v/>
      </c>
      <c r="G80" s="4" t="inlineStr">
        <is>
          <t>Green Vatican construction pvt Ltd</t>
        </is>
      </c>
      <c r="H80" s="4" t="inlineStr">
        <is>
          <t>001fw000007qqjMAAQ</t>
        </is>
      </c>
      <c r="I80" s="4" t="n">
        <v>831001</v>
      </c>
      <c r="J80" s="4" t="inlineStr">
        <is>
          <t>EAST SINGHBUM</t>
        </is>
      </c>
      <c r="K80" s="4" t="inlineStr"/>
      <c r="L80" s="4" t="inlineStr">
        <is>
          <t>Influencer</t>
        </is>
      </c>
      <c r="M80" s="4" t="inlineStr">
        <is>
          <t>Got future date</t>
        </is>
      </c>
      <c r="N80" s="4" t="inlineStr">
        <is>
          <t>IHB CONTRACTOR USING RUNGTA TMT and panther TMT in his projects. Rates given 59500 landed.</t>
        </is>
      </c>
      <c r="O80" s="4" t="inlineStr">
        <is>
          <t>Need time for sharing inquiry. Waiting for site for inquiry.</t>
        </is>
      </c>
      <c r="P80" s="4" t="inlineStr">
        <is>
          <t>IHB CONTRACTOR USING RUNGTA TMT and panther TMT in his projects. Rates given 59500 landed. | Need time for sharing inquiry. Waiting for site for inquiry.</t>
        </is>
      </c>
      <c r="Q80" s="4">
        <f>LEN(TRIM(P80))-LEN(SUBSTITUTE(P80," ",""))+1</f>
        <v/>
      </c>
      <c r="R80" s="4" t="n">
        <v>22.8119627</v>
      </c>
      <c r="S80" s="4" t="n">
        <v>86.21522330000001</v>
      </c>
      <c r="T80" s="4">
        <f>COUNTIF($G$2:G80,G80)</f>
        <v/>
      </c>
      <c r="U80" s="4">
        <f>IF(F80&lt;5,"YES","NO")</f>
        <v/>
      </c>
      <c r="V80" s="4">
        <f>IF(AND(N80&lt;&gt;"",O80&lt;&gt;""),"YES","NO")</f>
        <v/>
      </c>
      <c r="W80" s="4">
        <f>IF(HOUR(D80)&lt;12,"Morning",IF(HOUR(D80)&lt;17,"Afternoon","Evening"))</f>
        <v/>
      </c>
      <c r="X80" s="4" t="n">
        <v>7</v>
      </c>
      <c r="Y80" s="4">
        <f>IF(F80&lt;5,"&lt;5 min",IF(F80&lt;15,"5-15 min",IF(F80&lt;30,"15-30 min","30+ min")))</f>
        <v/>
      </c>
    </row>
    <row r="81">
      <c r="A81" s="3" t="n">
        <v>46034</v>
      </c>
      <c r="B81" s="4" t="inlineStr">
        <is>
          <t>Monday</t>
        </is>
      </c>
      <c r="C81" s="4" t="inlineStr">
        <is>
          <t>Jan 26</t>
        </is>
      </c>
      <c r="D81" s="4" t="inlineStr">
        <is>
          <t>12/01/2026, 4:56 pm</t>
        </is>
      </c>
      <c r="E81" s="4" t="inlineStr">
        <is>
          <t>12/01/2026, 4:57 pm</t>
        </is>
      </c>
      <c r="F81" s="4">
        <f>(E81-D81)*24*60</f>
        <v/>
      </c>
      <c r="G81" s="4" t="inlineStr">
        <is>
          <t>Green Vatican construction pvt Ltd</t>
        </is>
      </c>
      <c r="H81" s="4" t="inlineStr">
        <is>
          <t>001fw000007qqjMAAQ</t>
        </is>
      </c>
      <c r="I81" s="4" t="n">
        <v>831001</v>
      </c>
      <c r="J81" s="4" t="inlineStr">
        <is>
          <t>EAST SINGHBUM</t>
        </is>
      </c>
      <c r="K81" s="4" t="inlineStr"/>
      <c r="L81" s="4" t="inlineStr">
        <is>
          <t>Influencer</t>
        </is>
      </c>
      <c r="M81" s="4" t="inlineStr">
        <is>
          <t>Got future date</t>
        </is>
      </c>
      <c r="N81" s="4" t="inlineStr">
        <is>
          <t>IHB and commercial project contractor using tiscon and RUNGTA TMT. Rates given 61500 landed to the CUSTUMER.</t>
        </is>
      </c>
      <c r="O81" s="4" t="inlineStr">
        <is>
          <t>Will let us know. Last purchased rungta. Will share inquiries with us and inquire rates for next inquiry.</t>
        </is>
      </c>
      <c r="P81" s="4" t="inlineStr">
        <is>
          <t>IHB and commercial project contractor using tiscon and RUNGTA TMT. Rates given 61500 landed to the CUSTUMER. | Will let us know. Last purchased rungta. Will share inquiries with us and inquire rates for next inquiry.</t>
        </is>
      </c>
      <c r="Q81" s="4">
        <f>LEN(TRIM(P81))-LEN(SUBSTITUTE(P81," ",""))+1</f>
        <v/>
      </c>
      <c r="R81" s="4" t="n">
        <v>22.8120023</v>
      </c>
      <c r="S81" s="4" t="n">
        <v>86.2151997</v>
      </c>
      <c r="T81" s="4">
        <f>COUNTIF($G$2:G81,G81)</f>
        <v/>
      </c>
      <c r="U81" s="4">
        <f>IF(F81&lt;5,"YES","NO")</f>
        <v/>
      </c>
      <c r="V81" s="4">
        <f>IF(AND(N81&lt;&gt;"",O81&lt;&gt;""),"YES","NO")</f>
        <v/>
      </c>
      <c r="W81" s="4">
        <f>IF(HOUR(D81)&lt;12,"Morning",IF(HOUR(D81)&lt;17,"Afternoon","Evening"))</f>
        <v/>
      </c>
      <c r="X81" s="4" t="n">
        <v>6</v>
      </c>
      <c r="Y81" s="4">
        <f>IF(F81&lt;5,"&lt;5 min",IF(F81&lt;15,"5-15 min",IF(F81&lt;30,"15-30 min","30+ min")))</f>
        <v/>
      </c>
    </row>
    <row r="82">
      <c r="A82" s="3" t="n">
        <v>46038</v>
      </c>
      <c r="B82" s="4" t="inlineStr">
        <is>
          <t>Friday</t>
        </is>
      </c>
      <c r="C82" s="4" t="inlineStr">
        <is>
          <t>Jan 26</t>
        </is>
      </c>
      <c r="D82" s="4" t="inlineStr">
        <is>
          <t>16/01/2026, 4:35 pm</t>
        </is>
      </c>
      <c r="E82" s="4" t="inlineStr">
        <is>
          <t>16/01/2026, 4:36 pm</t>
        </is>
      </c>
      <c r="F82" s="4">
        <f>(E82-D82)*24*60</f>
        <v/>
      </c>
      <c r="G82" s="4" t="inlineStr">
        <is>
          <t>Green Vatican construction pvt Ltd</t>
        </is>
      </c>
      <c r="H82" s="4" t="inlineStr">
        <is>
          <t>001fw000007qqjMAAQ</t>
        </is>
      </c>
      <c r="I82" s="4" t="n">
        <v>831001</v>
      </c>
      <c r="J82" s="4" t="inlineStr">
        <is>
          <t>EAST SINGHBUM</t>
        </is>
      </c>
      <c r="K82" s="4" t="inlineStr"/>
      <c r="L82" s="4" t="inlineStr">
        <is>
          <t>Influencer</t>
        </is>
      </c>
      <c r="M82" s="4" t="inlineStr">
        <is>
          <t>Got future date</t>
        </is>
      </c>
      <c r="N82" s="4" t="inlineStr">
        <is>
          <t>IHB CONTRACTOR USING RUNGTA TMT and kamdhenu. Rates given 61500 landed. Will connect us on inquiry.</t>
        </is>
      </c>
      <c r="O82" s="4" t="inlineStr">
        <is>
          <t>Will let us know need time for sharing inquiry to us. Will connect us soon.</t>
        </is>
      </c>
      <c r="P82" s="4" t="inlineStr">
        <is>
          <t>IHB CONTRACTOR USING RUNGTA TMT and kamdhenu. Rates given 61500 landed. Will connect us on inquiry. | Will let us know need time for sharing inquiry to us. Will connect us soon.</t>
        </is>
      </c>
      <c r="Q82" s="4">
        <f>LEN(TRIM(P82))-LEN(SUBSTITUTE(P82," ",""))+1</f>
        <v/>
      </c>
      <c r="R82" s="4" t="n">
        <v>22.8121248</v>
      </c>
      <c r="S82" s="4" t="n">
        <v>86.2151609</v>
      </c>
      <c r="T82" s="4">
        <f>COUNTIF($G$2:G82,G82)</f>
        <v/>
      </c>
      <c r="U82" s="4">
        <f>IF(F82&lt;5,"YES","NO")</f>
        <v/>
      </c>
      <c r="V82" s="4">
        <f>IF(AND(N82&lt;&gt;"",O82&lt;&gt;""),"YES","NO")</f>
        <v/>
      </c>
      <c r="W82" s="4">
        <f>IF(HOUR(D82)&lt;12,"Morning",IF(HOUR(D82)&lt;17,"Afternoon","Evening"))</f>
        <v/>
      </c>
      <c r="X82" s="4" t="n">
        <v>6</v>
      </c>
      <c r="Y82" s="4">
        <f>IF(F82&lt;5,"&lt;5 min",IF(F82&lt;15,"5-15 min",IF(F82&lt;30,"15-30 min","30+ min")))</f>
        <v/>
      </c>
    </row>
    <row r="83">
      <c r="A83" s="3" t="n">
        <v>46042</v>
      </c>
      <c r="B83" s="4" t="inlineStr">
        <is>
          <t>Tuesday</t>
        </is>
      </c>
      <c r="C83" s="4" t="inlineStr">
        <is>
          <t>Jan 26</t>
        </is>
      </c>
      <c r="D83" s="4" t="inlineStr">
        <is>
          <t>20/01/2026, 12:55 pm</t>
        </is>
      </c>
      <c r="E83" s="4" t="inlineStr">
        <is>
          <t>20/01/2026, 12:58 pm</t>
        </is>
      </c>
      <c r="F83" s="4">
        <f>(E83-D83)*24*60</f>
        <v/>
      </c>
      <c r="G83" s="4" t="inlineStr">
        <is>
          <t>Green Vatican construction pvt Ltd</t>
        </is>
      </c>
      <c r="H83" s="4" t="inlineStr">
        <is>
          <t>001fw000007qqjMAAQ</t>
        </is>
      </c>
      <c r="I83" s="4" t="n">
        <v>831001</v>
      </c>
      <c r="J83" s="4" t="inlineStr">
        <is>
          <t>EAST SINGHBUM</t>
        </is>
      </c>
      <c r="K83" s="4" t="inlineStr"/>
      <c r="L83" s="4" t="inlineStr">
        <is>
          <t>Influencer</t>
        </is>
      </c>
      <c r="M83" s="4" t="inlineStr">
        <is>
          <t>Got future date</t>
        </is>
      </c>
      <c r="N83" s="4" t="inlineStr">
        <is>
          <t>IHB CONTRACTOR USING RUNGTA TMT, kamdhenu and shyam steel. Rates given 62500 landed to him.</t>
        </is>
      </c>
      <c r="O83" s="4" t="inlineStr">
        <is>
          <t>Will connect us on inquiry. Last purchase rungta @ 51 from CUSTUMER.</t>
        </is>
      </c>
      <c r="P83" s="4" t="inlineStr">
        <is>
          <t>IHB CONTRACTOR USING RUNGTA TMT, kamdhenu and shyam steel. Rates given 62500 landed to him. | Will connect us on inquiry. Last purchase rungta @ 51 from CUSTUMER.</t>
        </is>
      </c>
      <c r="Q83" s="4">
        <f>LEN(TRIM(P83))-LEN(SUBSTITUTE(P83," ",""))+1</f>
        <v/>
      </c>
      <c r="R83" s="4" t="n">
        <v>22.8121355</v>
      </c>
      <c r="S83" s="4" t="n">
        <v>86.21519309999999</v>
      </c>
      <c r="T83" s="4">
        <f>COUNTIF($G$2:G83,G83)</f>
        <v/>
      </c>
      <c r="U83" s="4">
        <f>IF(F83&lt;5,"YES","NO")</f>
        <v/>
      </c>
      <c r="V83" s="4">
        <f>IF(AND(N83&lt;&gt;"",O83&lt;&gt;""),"YES","NO")</f>
        <v/>
      </c>
      <c r="W83" s="4">
        <f>IF(HOUR(D83)&lt;12,"Morning",IF(HOUR(D83)&lt;17,"Afternoon","Evening"))</f>
        <v/>
      </c>
      <c r="X83" s="4" t="n">
        <v>6</v>
      </c>
      <c r="Y83" s="4">
        <f>IF(F83&lt;5,"&lt;5 min",IF(F83&lt;15,"5-15 min",IF(F83&lt;30,"15-30 min","30+ min")))</f>
        <v/>
      </c>
    </row>
    <row r="84">
      <c r="A84" s="3" t="n">
        <v>46050</v>
      </c>
      <c r="B84" s="4" t="inlineStr">
        <is>
          <t>Wednesday</t>
        </is>
      </c>
      <c r="C84" s="4" t="inlineStr">
        <is>
          <t>Jan 26</t>
        </is>
      </c>
      <c r="D84" s="4" t="inlineStr">
        <is>
          <t>28/01/2026, 11:29 am</t>
        </is>
      </c>
      <c r="E84" s="4" t="inlineStr">
        <is>
          <t>28/01/2026, 11:31 am</t>
        </is>
      </c>
      <c r="F84" s="4">
        <f>(E84-D84)*24*60</f>
        <v/>
      </c>
      <c r="G84" s="4" t="inlineStr">
        <is>
          <t>Green Vatican construction pvt Ltd</t>
        </is>
      </c>
      <c r="H84" s="4" t="inlineStr">
        <is>
          <t>001fw000007qqjMAAQ</t>
        </is>
      </c>
      <c r="I84" s="4" t="n">
        <v>831001</v>
      </c>
      <c r="J84" s="4" t="inlineStr">
        <is>
          <t>EAST SINGHBUM</t>
        </is>
      </c>
      <c r="K84" s="4" t="inlineStr"/>
      <c r="L84" s="4" t="inlineStr">
        <is>
          <t>Influencer</t>
        </is>
      </c>
      <c r="M84" s="4" t="inlineStr">
        <is>
          <t>Got future date</t>
        </is>
      </c>
      <c r="N84" s="4" t="inlineStr">
        <is>
          <t>IHB and commercial project contractor using tiscon and RUNGTA. Rates given 64 landed. Will connect us on inquiry received.</t>
        </is>
      </c>
      <c r="O84" s="4" t="inlineStr">
        <is>
          <t>Need time for the same. Last purchase tiscon @63 landed from distributor.will connect us for rates.</t>
        </is>
      </c>
      <c r="P84" s="4" t="inlineStr">
        <is>
          <t>IHB and commercial project contractor using tiscon and RUNGTA. Rates given 64 landed. Will connect us on inquiry received. | Need time for the same. Last purchase tiscon @63 landed from distributor.will connect us for rates.</t>
        </is>
      </c>
      <c r="Q84" s="4">
        <f>LEN(TRIM(P84))-LEN(SUBSTITUTE(P84," ",""))+1</f>
        <v/>
      </c>
      <c r="R84" s="4" t="n">
        <v>22.8119116</v>
      </c>
      <c r="S84" s="4" t="n">
        <v>86.21521730000001</v>
      </c>
      <c r="T84" s="4">
        <f>COUNTIF($G$2:G84,G84)</f>
        <v/>
      </c>
      <c r="U84" s="4">
        <f>IF(F84&lt;5,"YES","NO")</f>
        <v/>
      </c>
      <c r="V84" s="4">
        <f>IF(AND(N84&lt;&gt;"",O84&lt;&gt;""),"YES","NO")</f>
        <v/>
      </c>
      <c r="W84" s="4">
        <f>IF(HOUR(D84)&lt;12,"Morning",IF(HOUR(D84)&lt;17,"Afternoon","Evening"))</f>
        <v/>
      </c>
      <c r="X84" s="4" t="n">
        <v>7</v>
      </c>
      <c r="Y84" s="4">
        <f>IF(F84&lt;5,"&lt;5 min",IF(F84&lt;15,"5-15 min",IF(F84&lt;30,"15-30 min","30+ min")))</f>
        <v/>
      </c>
    </row>
    <row r="85">
      <c r="A85" s="3" t="n">
        <v>45965</v>
      </c>
      <c r="B85" s="4" t="inlineStr">
        <is>
          <t>Tuesday</t>
        </is>
      </c>
      <c r="C85" s="4" t="inlineStr">
        <is>
          <t>Nov 25</t>
        </is>
      </c>
      <c r="D85" s="4" t="inlineStr">
        <is>
          <t>04/11/2025, 5:30 pm</t>
        </is>
      </c>
      <c r="E85" s="4" t="inlineStr">
        <is>
          <t>04/11/2025, 5:33 pm</t>
        </is>
      </c>
      <c r="F85" s="4">
        <f>(E85-D85)*24*60</f>
        <v/>
      </c>
      <c r="G85" s="4" t="inlineStr">
        <is>
          <t>Green sky realty</t>
        </is>
      </c>
      <c r="H85" s="4" t="inlineStr">
        <is>
          <t>001fw000007qk7aAAA</t>
        </is>
      </c>
      <c r="I85" s="4" t="n">
        <v>831001</v>
      </c>
      <c r="J85" s="4" t="inlineStr">
        <is>
          <t>EAST SINGHBUM</t>
        </is>
      </c>
      <c r="K85" s="4" t="inlineStr"/>
      <c r="L85" s="4" t="inlineStr">
        <is>
          <t>Influencer</t>
        </is>
      </c>
      <c r="M85" s="4" t="inlineStr">
        <is>
          <t>Got future date</t>
        </is>
      </c>
      <c r="N85" s="4" t="inlineStr">
        <is>
          <t>Resl estate developer. Using Tata tiscon and rungta steel . Rates communicated 46000 to the customer.</t>
        </is>
      </c>
      <c r="O85" s="4" t="inlineStr">
        <is>
          <t>Will communicate as soon inquiry comes to him .</t>
        </is>
      </c>
      <c r="P85" s="4" t="inlineStr">
        <is>
          <t>Resl estate developer. Using Tata tiscon and rungta steel . Rates communicated 46000 to the customer. | Will communicate as soon inquiry comes to him .</t>
        </is>
      </c>
      <c r="Q85" s="4">
        <f>LEN(TRIM(P85))-LEN(SUBSTITUTE(P85," ",""))+1</f>
        <v/>
      </c>
      <c r="R85" s="4" t="n">
        <v>22.8071957</v>
      </c>
      <c r="S85" s="4" t="n">
        <v>86.2222613</v>
      </c>
      <c r="T85" s="4">
        <f>COUNTIF($G$2:G85,G85)</f>
        <v/>
      </c>
      <c r="U85" s="4">
        <f>IF(F85&lt;5,"YES","NO")</f>
        <v/>
      </c>
      <c r="V85" s="4">
        <f>IF(AND(N85&lt;&gt;"",O85&lt;&gt;""),"YES","NO")</f>
        <v/>
      </c>
      <c r="W85" s="4">
        <f>IF(HOUR(D85)&lt;12,"Morning",IF(HOUR(D85)&lt;17,"Afternoon","Evening"))</f>
        <v/>
      </c>
      <c r="X85" s="4" t="n">
        <v>7</v>
      </c>
      <c r="Y85" s="4">
        <f>IF(F85&lt;5,"&lt;5 min",IF(F85&lt;15,"5-15 min",IF(F85&lt;30,"15-30 min","30+ min")))</f>
        <v/>
      </c>
    </row>
    <row r="86">
      <c r="A86" s="3" t="n">
        <v>45967</v>
      </c>
      <c r="B86" s="4" t="inlineStr">
        <is>
          <t>Thursday</t>
        </is>
      </c>
      <c r="C86" s="4" t="inlineStr">
        <is>
          <t>Nov 25</t>
        </is>
      </c>
      <c r="D86" s="4" t="inlineStr">
        <is>
          <t>06/11/2025, 6:48 pm</t>
        </is>
      </c>
      <c r="E86" s="4" t="inlineStr">
        <is>
          <t>06/11/2025, 6:49 pm</t>
        </is>
      </c>
      <c r="F86" s="4">
        <f>(E86-D86)*24*60</f>
        <v/>
      </c>
      <c r="G86" s="4" t="inlineStr">
        <is>
          <t>Green sky realty</t>
        </is>
      </c>
      <c r="H86" s="4" t="inlineStr">
        <is>
          <t>001fw000007qk7aAAA</t>
        </is>
      </c>
      <c r="I86" s="4" t="n">
        <v>831001</v>
      </c>
      <c r="J86" s="4" t="inlineStr">
        <is>
          <t>EAST SINGHBUM</t>
        </is>
      </c>
      <c r="K86" s="4" t="inlineStr"/>
      <c r="L86" s="4" t="inlineStr">
        <is>
          <t>Influencer</t>
        </is>
      </c>
      <c r="M86" s="4" t="inlineStr">
        <is>
          <t>Got future date</t>
        </is>
      </c>
      <c r="N86" s="4" t="inlineStr">
        <is>
          <t>Contractor of real estate projects. Using Tata tiscon and rungta tmt. Rates given 56000 landed to the dealer. No inquiry now.</t>
        </is>
      </c>
      <c r="O86" s="4" t="inlineStr">
        <is>
          <t>Last purchased 49000 rungta from dealer. Will connect us.</t>
        </is>
      </c>
      <c r="P86" s="4" t="inlineStr">
        <is>
          <t>Contractor of real estate projects. Using Tata tiscon and rungta tmt. Rates given 56000 landed to the dealer. No inquiry now. | Last purchased 49000 rungta from dealer. Will connect us.</t>
        </is>
      </c>
      <c r="Q86" s="4">
        <f>LEN(TRIM(P86))-LEN(SUBSTITUTE(P86," ",""))+1</f>
        <v/>
      </c>
      <c r="R86" s="4" t="n">
        <v>22.8074858</v>
      </c>
      <c r="S86" s="4" t="n">
        <v>86.2219013</v>
      </c>
      <c r="T86" s="4">
        <f>COUNTIF($G$2:G86,G86)</f>
        <v/>
      </c>
      <c r="U86" s="4">
        <f>IF(F86&lt;5,"YES","NO")</f>
        <v/>
      </c>
      <c r="V86" s="4">
        <f>IF(AND(N86&lt;&gt;"",O86&lt;&gt;""),"YES","NO")</f>
        <v/>
      </c>
      <c r="W86" s="4">
        <f>IF(HOUR(D86)&lt;12,"Morning",IF(HOUR(D86)&lt;17,"Afternoon","Evening"))</f>
        <v/>
      </c>
      <c r="X86" s="4" t="n">
        <v>6</v>
      </c>
      <c r="Y86" s="4">
        <f>IF(F86&lt;5,"&lt;5 min",IF(F86&lt;15,"5-15 min",IF(F86&lt;30,"15-30 min","30+ min")))</f>
        <v/>
      </c>
    </row>
    <row r="87">
      <c r="A87" s="3" t="n">
        <v>46003</v>
      </c>
      <c r="B87" s="4" t="inlineStr">
        <is>
          <t>Friday</t>
        </is>
      </c>
      <c r="C87" s="4" t="inlineStr">
        <is>
          <t>Dec 25</t>
        </is>
      </c>
      <c r="D87" s="4" t="inlineStr">
        <is>
          <t>12/12/2025, 11:00 am</t>
        </is>
      </c>
      <c r="E87" s="4" t="inlineStr">
        <is>
          <t>12/12/2025, 11:04 am</t>
        </is>
      </c>
      <c r="F87" s="4">
        <f>(E87-D87)*24*60</f>
        <v/>
      </c>
      <c r="G87" s="4" t="inlineStr">
        <is>
          <t>Green sky realty</t>
        </is>
      </c>
      <c r="H87" s="4" t="inlineStr">
        <is>
          <t>001fw000007qk7aAAA</t>
        </is>
      </c>
      <c r="I87" s="4" t="n">
        <v>831001</v>
      </c>
      <c r="J87" s="4" t="inlineStr">
        <is>
          <t>EAST SINGHBUM</t>
        </is>
      </c>
      <c r="K87" s="4" t="inlineStr"/>
      <c r="L87" s="4" t="inlineStr">
        <is>
          <t>Influencer</t>
        </is>
      </c>
      <c r="M87" s="4" t="inlineStr">
        <is>
          <t>Got future date</t>
        </is>
      </c>
      <c r="N87" s="4" t="inlineStr">
        <is>
          <t>Contractor of ihb and commercial projects. Using rungta and govinda tmt . Rates given 56500 basic to the custumer. Will connect us.</t>
        </is>
      </c>
      <c r="O87" s="4" t="inlineStr">
        <is>
          <t>Will connect us when inquiry received from custumer. Need time.</t>
        </is>
      </c>
      <c r="P87" s="4" t="inlineStr">
        <is>
          <t>Contractor of ihb and commercial projects. Using rungta and govinda tmt . Rates given 56500 basic to the custumer. Will connect us. | Will connect us when inquiry received from custumer. Need time.</t>
        </is>
      </c>
      <c r="Q87" s="4">
        <f>LEN(TRIM(P87))-LEN(SUBSTITUTE(P87," ",""))+1</f>
        <v/>
      </c>
      <c r="R87" s="4" t="n">
        <v>22.8120029</v>
      </c>
      <c r="S87" s="4" t="n">
        <v>86.2151902</v>
      </c>
      <c r="T87" s="4">
        <f>COUNTIF($G$2:G87,G87)</f>
        <v/>
      </c>
      <c r="U87" s="4">
        <f>IF(F87&lt;5,"YES","NO")</f>
        <v/>
      </c>
      <c r="V87" s="4">
        <f>IF(AND(N87&lt;&gt;"",O87&lt;&gt;""),"YES","NO")</f>
        <v/>
      </c>
      <c r="W87" s="4">
        <f>IF(HOUR(D87)&lt;12,"Morning",IF(HOUR(D87)&lt;17,"Afternoon","Evening"))</f>
        <v/>
      </c>
      <c r="X87" s="4" t="n">
        <v>7</v>
      </c>
      <c r="Y87" s="4">
        <f>IF(F87&lt;5,"&lt;5 min",IF(F87&lt;15,"5-15 min",IF(F87&lt;30,"15-30 min","30+ min")))</f>
        <v/>
      </c>
    </row>
    <row r="88">
      <c r="A88" s="3" t="n">
        <v>46013</v>
      </c>
      <c r="B88" s="4" t="inlineStr">
        <is>
          <t>Monday</t>
        </is>
      </c>
      <c r="C88" s="4" t="inlineStr">
        <is>
          <t>Dec 25</t>
        </is>
      </c>
      <c r="D88" s="4" t="inlineStr">
        <is>
          <t>22/12/2025, 5:11 pm</t>
        </is>
      </c>
      <c r="E88" s="4" t="inlineStr">
        <is>
          <t>22/12/2025, 5:12 pm</t>
        </is>
      </c>
      <c r="F88" s="4">
        <f>(E88-D88)*24*60</f>
        <v/>
      </c>
      <c r="G88" s="4" t="inlineStr">
        <is>
          <t>Green sky realty</t>
        </is>
      </c>
      <c r="H88" s="4" t="inlineStr">
        <is>
          <t>001fw000007qk7aAAA</t>
        </is>
      </c>
      <c r="I88" s="4" t="n">
        <v>831001</v>
      </c>
      <c r="J88" s="4" t="inlineStr">
        <is>
          <t>EAST SINGHBUM</t>
        </is>
      </c>
      <c r="K88" s="4" t="inlineStr"/>
      <c r="L88" s="4" t="inlineStr">
        <is>
          <t>Influencer</t>
        </is>
      </c>
      <c r="M88" s="4" t="inlineStr">
        <is>
          <t>Got future date</t>
        </is>
      </c>
      <c r="N88" s="4" t="inlineStr">
        <is>
          <t>Ihb contractor using tiscon rungta and kamdhenu . Rates given 57000 landed to the custumer</t>
        </is>
      </c>
      <c r="O88" s="4" t="inlineStr">
        <is>
          <t>Will let us know . Will take take from dealer and connect us .</t>
        </is>
      </c>
      <c r="P88" s="4" t="inlineStr">
        <is>
          <t>Ihb contractor using tiscon rungta and kamdhenu . Rates given 57000 landed to the custumer | Will let us know . Will take take from dealer and connect us .</t>
        </is>
      </c>
      <c r="Q88" s="4">
        <f>LEN(TRIM(P88))-LEN(SUBSTITUTE(P88," ",""))+1</f>
        <v/>
      </c>
      <c r="R88" s="4" t="n">
        <v>22.8119965</v>
      </c>
      <c r="S88" s="4" t="n">
        <v>86.2152119</v>
      </c>
      <c r="T88" s="4">
        <f>COUNTIF($G$2:G88,G88)</f>
        <v/>
      </c>
      <c r="U88" s="4">
        <f>IF(F88&lt;5,"YES","NO")</f>
        <v/>
      </c>
      <c r="V88" s="4">
        <f>IF(AND(N88&lt;&gt;"",O88&lt;&gt;""),"YES","NO")</f>
        <v/>
      </c>
      <c r="W88" s="4">
        <f>IF(HOUR(D88)&lt;12,"Morning",IF(HOUR(D88)&lt;17,"Afternoon","Evening"))</f>
        <v/>
      </c>
      <c r="X88" s="4" t="n">
        <v>7</v>
      </c>
      <c r="Y88" s="4">
        <f>IF(F88&lt;5,"&lt;5 min",IF(F88&lt;15,"5-15 min",IF(F88&lt;30,"15-30 min","30+ min")))</f>
        <v/>
      </c>
    </row>
    <row r="89">
      <c r="A89" s="3" t="n">
        <v>46021</v>
      </c>
      <c r="B89" s="4" t="inlineStr">
        <is>
          <t>Tuesday</t>
        </is>
      </c>
      <c r="C89" s="4" t="inlineStr">
        <is>
          <t>Dec 25</t>
        </is>
      </c>
      <c r="D89" s="4" t="inlineStr">
        <is>
          <t>30/12/2025, 11:20 am</t>
        </is>
      </c>
      <c r="E89" s="4" t="inlineStr">
        <is>
          <t>30/12/2025, 11:22 am</t>
        </is>
      </c>
      <c r="F89" s="4">
        <f>(E89-D89)*24*60</f>
        <v/>
      </c>
      <c r="G89" s="4" t="inlineStr">
        <is>
          <t>Green sky realty</t>
        </is>
      </c>
      <c r="H89" s="4" t="inlineStr">
        <is>
          <t>001fw000007qk7aAAA</t>
        </is>
      </c>
      <c r="I89" s="4" t="n">
        <v>831001</v>
      </c>
      <c r="J89" s="4" t="inlineStr">
        <is>
          <t>EAST SINGHBUM</t>
        </is>
      </c>
      <c r="K89" s="4" t="inlineStr"/>
      <c r="L89" s="4" t="inlineStr">
        <is>
          <t>Influencer</t>
        </is>
      </c>
      <c r="M89" s="4" t="inlineStr">
        <is>
          <t>Got future date</t>
        </is>
      </c>
      <c r="N89" s="4" t="inlineStr">
        <is>
          <t>Ihb and commercial projects contractor. Using tiscon and rungta. Rates given 58000 landed.</t>
        </is>
      </c>
      <c r="O89" s="4" t="inlineStr">
        <is>
          <t>Will connect on inquiry received from site . Last purchased rungta . Will connect us.</t>
        </is>
      </c>
      <c r="P89" s="4" t="inlineStr">
        <is>
          <t>Ihb and commercial projects contractor. Using tiscon and rungta. Rates given 58000 landed. | Will connect on inquiry received from site . Last purchased rungta . Will connect us.</t>
        </is>
      </c>
      <c r="Q89" s="4">
        <f>LEN(TRIM(P89))-LEN(SUBSTITUTE(P89," ",""))+1</f>
        <v/>
      </c>
      <c r="R89" s="4" t="n">
        <v>22.8119792</v>
      </c>
      <c r="S89" s="4" t="n">
        <v>86.21521970000001</v>
      </c>
      <c r="T89" s="4">
        <f>COUNTIF($G$2:G89,G89)</f>
        <v/>
      </c>
      <c r="U89" s="4">
        <f>IF(F89&lt;5,"YES","NO")</f>
        <v/>
      </c>
      <c r="V89" s="4">
        <f>IF(AND(N89&lt;&gt;"",O89&lt;&gt;""),"YES","NO")</f>
        <v/>
      </c>
      <c r="W89" s="4">
        <f>IF(HOUR(D89)&lt;12,"Morning",IF(HOUR(D89)&lt;17,"Afternoon","Evening"))</f>
        <v/>
      </c>
      <c r="X89" s="4" t="n">
        <v>7</v>
      </c>
      <c r="Y89" s="4">
        <f>IF(F89&lt;5,"&lt;5 min",IF(F89&lt;15,"5-15 min",IF(F89&lt;30,"15-30 min","30+ min")))</f>
        <v/>
      </c>
    </row>
    <row r="90">
      <c r="A90" s="3" t="n">
        <v>46034</v>
      </c>
      <c r="B90" s="4" t="inlineStr">
        <is>
          <t>Monday</t>
        </is>
      </c>
      <c r="C90" s="4" t="inlineStr">
        <is>
          <t>Jan 26</t>
        </is>
      </c>
      <c r="D90" s="4" t="inlineStr">
        <is>
          <t>12/01/2026, 5:59 pm</t>
        </is>
      </c>
      <c r="E90" s="4" t="inlineStr">
        <is>
          <t>12/01/2026, 6:01 pm</t>
        </is>
      </c>
      <c r="F90" s="4">
        <f>(E90-D90)*24*60</f>
        <v/>
      </c>
      <c r="G90" s="4" t="inlineStr">
        <is>
          <t>Green sky realty</t>
        </is>
      </c>
      <c r="H90" s="4" t="inlineStr">
        <is>
          <t>001fw000007qk7aAAA</t>
        </is>
      </c>
      <c r="I90" s="4" t="n">
        <v>831001</v>
      </c>
      <c r="J90" s="4" t="inlineStr">
        <is>
          <t>EAST SINGHBUM</t>
        </is>
      </c>
      <c r="K90" s="4" t="inlineStr"/>
      <c r="L90" s="4" t="inlineStr">
        <is>
          <t>Influencer</t>
        </is>
      </c>
      <c r="M90" s="4" t="inlineStr">
        <is>
          <t>Got future date</t>
        </is>
      </c>
      <c r="N90" s="4" t="inlineStr">
        <is>
          <t>IHB CONTRACTOR USING RUNGTA TMT and shyam steel. Rates given 61500 landed to the CUSTUMER.</t>
        </is>
      </c>
      <c r="O90" s="4" t="inlineStr">
        <is>
          <t>Will let us know. Will share inquiries for rates. Last purchased shyam steel for IHB.</t>
        </is>
      </c>
      <c r="P90" s="4" t="inlineStr">
        <is>
          <t>IHB CONTRACTOR USING RUNGTA TMT and shyam steel. Rates given 61500 landed to the CUSTUMER. | Will let us know. Will share inquiries for rates. Last purchased shyam steel for IHB.</t>
        </is>
      </c>
      <c r="Q90" s="4">
        <f>LEN(TRIM(P90))-LEN(SUBSTITUTE(P90," ",""))+1</f>
        <v/>
      </c>
      <c r="R90" s="4" t="n">
        <v>22.812157</v>
      </c>
      <c r="S90" s="4" t="n">
        <v>86.21517660000001</v>
      </c>
      <c r="T90" s="4">
        <f>COUNTIF($G$2:G90,G90)</f>
        <v/>
      </c>
      <c r="U90" s="4">
        <f>IF(F90&lt;5,"YES","NO")</f>
        <v/>
      </c>
      <c r="V90" s="4">
        <f>IF(AND(N90&lt;&gt;"",O90&lt;&gt;""),"YES","NO")</f>
        <v/>
      </c>
      <c r="W90" s="4">
        <f>IF(HOUR(D90)&lt;12,"Morning",IF(HOUR(D90)&lt;17,"Afternoon","Evening"))</f>
        <v/>
      </c>
      <c r="X90" s="4" t="n">
        <v>6</v>
      </c>
      <c r="Y90" s="4">
        <f>IF(F90&lt;5,"&lt;5 min",IF(F90&lt;15,"5-15 min",IF(F90&lt;30,"15-30 min","30+ min")))</f>
        <v/>
      </c>
    </row>
    <row r="91">
      <c r="A91" s="3" t="n">
        <v>45994</v>
      </c>
      <c r="B91" s="4" t="inlineStr">
        <is>
          <t>Wednesday</t>
        </is>
      </c>
      <c r="C91" s="4" t="inlineStr">
        <is>
          <t>Dec 25</t>
        </is>
      </c>
      <c r="D91" s="4" t="inlineStr">
        <is>
          <t>03/12/2025, 5:57 pm</t>
        </is>
      </c>
      <c r="E91" s="4" t="inlineStr">
        <is>
          <t>03/12/2025, 5:58 pm</t>
        </is>
      </c>
      <c r="F91" s="4">
        <f>(E91-D91)*24*60</f>
        <v/>
      </c>
      <c r="G91" s="4" t="inlineStr">
        <is>
          <t>LALSAR STEEL</t>
        </is>
      </c>
      <c r="H91" s="4" t="inlineStr">
        <is>
          <t>001J100000VlzqLIAR</t>
        </is>
      </c>
      <c r="I91" s="4" t="n">
        <v>831001</v>
      </c>
      <c r="J91" s="4" t="inlineStr">
        <is>
          <t>EAST SINGHBUM</t>
        </is>
      </c>
      <c r="K91" s="4" t="inlineStr"/>
      <c r="L91" s="4" t="inlineStr">
        <is>
          <t>Distributor</t>
        </is>
      </c>
      <c r="M91" s="4" t="inlineStr">
        <is>
          <t>Got future date</t>
        </is>
      </c>
      <c r="N91" s="4" t="inlineStr">
        <is>
          <t>Distributor off . Planning for sales and dispatch .</t>
        </is>
      </c>
      <c r="O91" s="4" t="inlineStr">
        <is>
          <t>Will connect for any queries and visit Will be done together to cater dealer .</t>
        </is>
      </c>
      <c r="P91" s="4" t="inlineStr">
        <is>
          <t>Distributor off . Planning for sales and dispatch . | Will connect for any queries and visit Will be done together to cater dealer .</t>
        </is>
      </c>
      <c r="Q91" s="4">
        <f>LEN(TRIM(P91))-LEN(SUBSTITUTE(P91," ",""))+1</f>
        <v/>
      </c>
      <c r="R91" s="4" t="n">
        <v>22.8111359</v>
      </c>
      <c r="S91" s="4" t="n">
        <v>86.1078972</v>
      </c>
      <c r="T91" s="4">
        <f>COUNTIF($G$2:G91,G91)</f>
        <v/>
      </c>
      <c r="U91" s="4">
        <f>IF(F91&lt;5,"YES","NO")</f>
        <v/>
      </c>
      <c r="V91" s="4">
        <f>IF(AND(N91&lt;&gt;"",O91&lt;&gt;""),"YES","NO")</f>
        <v/>
      </c>
      <c r="W91" s="4">
        <f>IF(HOUR(D91)&lt;12,"Morning",IF(HOUR(D91)&lt;17,"Afternoon","Evening"))</f>
        <v/>
      </c>
      <c r="X91" s="4" t="n">
        <v>6</v>
      </c>
      <c r="Y91" s="4">
        <f>IF(F91&lt;5,"&lt;5 min",IF(F91&lt;15,"5-15 min",IF(F91&lt;30,"15-30 min","30+ min")))</f>
        <v/>
      </c>
    </row>
    <row r="92">
      <c r="A92" s="3" t="n">
        <v>45999</v>
      </c>
      <c r="B92" s="4" t="inlineStr">
        <is>
          <t>Monday</t>
        </is>
      </c>
      <c r="C92" s="4" t="inlineStr">
        <is>
          <t>Dec 25</t>
        </is>
      </c>
      <c r="D92" s="4" t="inlineStr">
        <is>
          <t>08/12/2025, 1:06 pm</t>
        </is>
      </c>
      <c r="E92" s="4" t="inlineStr">
        <is>
          <t>08/12/2025, 1:08 pm</t>
        </is>
      </c>
      <c r="F92" s="4">
        <f>(E92-D92)*24*60</f>
        <v/>
      </c>
      <c r="G92" s="4" t="inlineStr">
        <is>
          <t>LALSAR STEEL</t>
        </is>
      </c>
      <c r="H92" s="4" t="inlineStr">
        <is>
          <t>001J100000VlzqLIAR</t>
        </is>
      </c>
      <c r="I92" s="4" t="n">
        <v>831001</v>
      </c>
      <c r="J92" s="4" t="inlineStr">
        <is>
          <t>EAST SINGHBUM</t>
        </is>
      </c>
      <c r="K92" s="4" t="inlineStr"/>
      <c r="L92" s="4" t="inlineStr">
        <is>
          <t>Distributor</t>
        </is>
      </c>
      <c r="M92" s="4" t="inlineStr">
        <is>
          <t>Got future date</t>
        </is>
      </c>
      <c r="N92" s="4" t="inlineStr">
        <is>
          <t>Distributor of the area . Visited for sales plan and dispatch.</t>
        </is>
      </c>
      <c r="O92" s="4" t="inlineStr">
        <is>
          <t>Rates and market scenario discussed . Competitive rates of brand discussed .</t>
        </is>
      </c>
      <c r="P92" s="4" t="inlineStr">
        <is>
          <t>Distributor of the area . Visited for sales plan and dispatch. | Rates and market scenario discussed . Competitive rates of brand discussed .</t>
        </is>
      </c>
      <c r="Q92" s="4">
        <f>LEN(TRIM(P92))-LEN(SUBSTITUTE(P92," ",""))+1</f>
        <v/>
      </c>
      <c r="R92" s="4" t="n">
        <v>22.8090019</v>
      </c>
      <c r="S92" s="4" t="n">
        <v>86.1139453</v>
      </c>
      <c r="T92" s="4">
        <f>COUNTIF($G$2:G92,G92)</f>
        <v/>
      </c>
      <c r="U92" s="4">
        <f>IF(F92&lt;5,"YES","NO")</f>
        <v/>
      </c>
      <c r="V92" s="4">
        <f>IF(AND(N92&lt;&gt;"",O92&lt;&gt;""),"YES","NO")</f>
        <v/>
      </c>
      <c r="W92" s="4">
        <f>IF(HOUR(D92)&lt;12,"Morning",IF(HOUR(D92)&lt;17,"Afternoon","Evening"))</f>
        <v/>
      </c>
      <c r="X92" s="4" t="n">
        <v>6</v>
      </c>
      <c r="Y92" s="4">
        <f>IF(F92&lt;5,"&lt;5 min",IF(F92&lt;15,"5-15 min",IF(F92&lt;30,"15-30 min","30+ min")))</f>
        <v/>
      </c>
    </row>
    <row r="93">
      <c r="A93" s="3" t="n">
        <v>46000</v>
      </c>
      <c r="B93" s="4" t="inlineStr">
        <is>
          <t>Tuesday</t>
        </is>
      </c>
      <c r="C93" s="4" t="inlineStr">
        <is>
          <t>Dec 25</t>
        </is>
      </c>
      <c r="D93" s="4" t="inlineStr">
        <is>
          <t>09/12/2025, 1:03 pm</t>
        </is>
      </c>
      <c r="E93" s="4" t="inlineStr">
        <is>
          <t>09/12/2025, 1:37 pm</t>
        </is>
      </c>
      <c r="F93" s="4">
        <f>(E93-D93)*24*60</f>
        <v/>
      </c>
      <c r="G93" s="4" t="inlineStr">
        <is>
          <t>LALSAR STEEL</t>
        </is>
      </c>
      <c r="H93" s="4" t="inlineStr">
        <is>
          <t>001J100000VlzqLIAR</t>
        </is>
      </c>
      <c r="I93" s="4" t="n">
        <v>831001</v>
      </c>
      <c r="J93" s="4" t="inlineStr">
        <is>
          <t>EAST SINGHBUM</t>
        </is>
      </c>
      <c r="K93" s="4" t="inlineStr"/>
      <c r="L93" s="4" t="inlineStr">
        <is>
          <t>Distributor</t>
        </is>
      </c>
      <c r="M93" s="4" t="inlineStr">
        <is>
          <t>Got future date</t>
        </is>
      </c>
      <c r="N93" s="4" t="inlineStr">
        <is>
          <t>Discussion for sales planning. Rates Discussion and visit together at retailer outlet .</t>
        </is>
      </c>
      <c r="O93" s="4" t="inlineStr">
        <is>
          <t>For tmt sales boost planning we will be imposed as discussed today .</t>
        </is>
      </c>
      <c r="P93" s="4" t="inlineStr">
        <is>
          <t>Discussion for sales planning. Rates Discussion and visit together at retailer outlet . | For tmt sales boost planning we will be imposed as discussed today .</t>
        </is>
      </c>
      <c r="Q93" s="4">
        <f>LEN(TRIM(P93))-LEN(SUBSTITUTE(P93," ",""))+1</f>
        <v/>
      </c>
      <c r="R93" s="4" t="n">
        <v>22.8108482</v>
      </c>
      <c r="S93" s="4" t="n">
        <v>86.1082524</v>
      </c>
      <c r="T93" s="4">
        <f>COUNTIF($G$2:G93,G93)</f>
        <v/>
      </c>
      <c r="U93" s="4">
        <f>IF(F93&lt;5,"YES","NO")</f>
        <v/>
      </c>
      <c r="V93" s="4">
        <f>IF(AND(N93&lt;&gt;"",O93&lt;&gt;""),"YES","NO")</f>
        <v/>
      </c>
      <c r="W93" s="4">
        <f>IF(HOUR(D93)&lt;12,"Morning",IF(HOUR(D93)&lt;17,"Afternoon","Evening"))</f>
        <v/>
      </c>
      <c r="X93" s="4" t="n">
        <v>6</v>
      </c>
      <c r="Y93" s="4">
        <f>IF(F93&lt;5,"&lt;5 min",IF(F93&lt;15,"5-15 min",IF(F93&lt;30,"15-30 min","30+ min")))</f>
        <v/>
      </c>
    </row>
    <row r="94">
      <c r="A94" s="3" t="n">
        <v>46021</v>
      </c>
      <c r="B94" s="4" t="inlineStr">
        <is>
          <t>Tuesday</t>
        </is>
      </c>
      <c r="C94" s="4" t="inlineStr">
        <is>
          <t>Dec 25</t>
        </is>
      </c>
      <c r="D94" s="4" t="inlineStr">
        <is>
          <t>30/12/2025, 5:14 pm</t>
        </is>
      </c>
      <c r="E94" s="4" t="inlineStr">
        <is>
          <t>30/12/2025, 5:18 pm</t>
        </is>
      </c>
      <c r="F94" s="4">
        <f>(E94-D94)*24*60</f>
        <v/>
      </c>
      <c r="G94" s="4" t="inlineStr">
        <is>
          <t>LALSAR STEEL</t>
        </is>
      </c>
      <c r="H94" s="4" t="inlineStr">
        <is>
          <t>001J100000VlzqLIAR</t>
        </is>
      </c>
      <c r="I94" s="4" t="n">
        <v>831001</v>
      </c>
      <c r="J94" s="4" t="inlineStr">
        <is>
          <t>EAST SINGHBUM</t>
        </is>
      </c>
      <c r="K94" s="4" t="inlineStr"/>
      <c r="L94" s="4" t="inlineStr">
        <is>
          <t>Distributor</t>
        </is>
      </c>
      <c r="M94" s="4" t="inlineStr">
        <is>
          <t>Got future date</t>
        </is>
      </c>
      <c r="N94" s="4" t="inlineStr">
        <is>
          <t>Meeting with distributor for projects inquiries orders and rates update .</t>
        </is>
      </c>
      <c r="O94" s="4" t="inlineStr">
        <is>
          <t>Distributor outstation not available at his office.</t>
        </is>
      </c>
      <c r="P94" s="4" t="inlineStr">
        <is>
          <t>Meeting with distributor for projects inquiries orders and rates update . | Distributor outstation not available at his office.</t>
        </is>
      </c>
      <c r="Q94" s="4">
        <f>LEN(TRIM(P94))-LEN(SUBSTITUTE(P94," ",""))+1</f>
        <v/>
      </c>
      <c r="R94" s="4" t="n">
        <v>22.8104584</v>
      </c>
      <c r="S94" s="4" t="n">
        <v>86.11072249999999</v>
      </c>
      <c r="T94" s="4">
        <f>COUNTIF($G$2:G94,G94)</f>
        <v/>
      </c>
      <c r="U94" s="4">
        <f>IF(F94&lt;5,"YES","NO")</f>
        <v/>
      </c>
      <c r="V94" s="4">
        <f>IF(AND(N94&lt;&gt;"",O94&lt;&gt;""),"YES","NO")</f>
        <v/>
      </c>
      <c r="W94" s="4">
        <f>IF(HOUR(D94)&lt;12,"Morning",IF(HOUR(D94)&lt;17,"Afternoon","Evening"))</f>
        <v/>
      </c>
      <c r="X94" s="4" t="n">
        <v>7</v>
      </c>
      <c r="Y94" s="4">
        <f>IF(F94&lt;5,"&lt;5 min",IF(F94&lt;15,"5-15 min",IF(F94&lt;30,"15-30 min","30+ min")))</f>
        <v/>
      </c>
    </row>
    <row r="95">
      <c r="A95" s="3" t="n">
        <v>46035</v>
      </c>
      <c r="B95" s="4" t="inlineStr">
        <is>
          <t>Tuesday</t>
        </is>
      </c>
      <c r="C95" s="4" t="inlineStr">
        <is>
          <t>Jan 26</t>
        </is>
      </c>
      <c r="D95" s="4" t="inlineStr">
        <is>
          <t>13/01/2026, 4:13 pm</t>
        </is>
      </c>
      <c r="E95" s="4" t="inlineStr">
        <is>
          <t>13/01/2026, 4:15 pm</t>
        </is>
      </c>
      <c r="F95" s="4">
        <f>(E95-D95)*24*60</f>
        <v/>
      </c>
      <c r="G95" s="4" t="inlineStr">
        <is>
          <t>LALSAR STEEL</t>
        </is>
      </c>
      <c r="H95" s="4" t="inlineStr">
        <is>
          <t>001J100000VlzqLIAR</t>
        </is>
      </c>
      <c r="I95" s="4" t="n">
        <v>831001</v>
      </c>
      <c r="J95" s="4" t="inlineStr">
        <is>
          <t>EAST SINGHBUM</t>
        </is>
      </c>
      <c r="K95" s="4" t="inlineStr"/>
      <c r="L95" s="4" t="inlineStr">
        <is>
          <t>Distributor</t>
        </is>
      </c>
      <c r="M95" s="4" t="inlineStr">
        <is>
          <t>Got future date</t>
        </is>
      </c>
      <c r="N95" s="4" t="inlineStr">
        <is>
          <t>Discussion regarding sales and dispatch.at his office.</t>
        </is>
      </c>
      <c r="O95" s="4" t="inlineStr">
        <is>
          <t>Rates discussion and market differences and positioning of brand.</t>
        </is>
      </c>
      <c r="P95" s="4" t="inlineStr">
        <is>
          <t>Discussion regarding sales and dispatch.at his office. | Rates discussion and market differences and positioning of brand.</t>
        </is>
      </c>
      <c r="Q95" s="4">
        <f>LEN(TRIM(P95))-LEN(SUBSTITUTE(P95," ",""))+1</f>
        <v/>
      </c>
      <c r="R95" s="4" t="n">
        <v>22.8113116</v>
      </c>
      <c r="S95" s="4" t="n">
        <v>86.107923</v>
      </c>
      <c r="T95" s="4">
        <f>COUNTIF($G$2:G95,G95)</f>
        <v/>
      </c>
      <c r="U95" s="4">
        <f>IF(F95&lt;5,"YES","NO")</f>
        <v/>
      </c>
      <c r="V95" s="4">
        <f>IF(AND(N95&lt;&gt;"",O95&lt;&gt;""),"YES","NO")</f>
        <v/>
      </c>
      <c r="W95" s="4">
        <f>IF(HOUR(D95)&lt;12,"Morning",IF(HOUR(D95)&lt;17,"Afternoon","Evening"))</f>
        <v/>
      </c>
      <c r="X95" s="4" t="n">
        <v>6</v>
      </c>
      <c r="Y95" s="4">
        <f>IF(F95&lt;5,"&lt;5 min",IF(F95&lt;15,"5-15 min",IF(F95&lt;30,"15-30 min","30+ min")))</f>
        <v/>
      </c>
    </row>
    <row r="96">
      <c r="A96" s="3" t="n">
        <v>46045</v>
      </c>
      <c r="B96" s="4" t="inlineStr">
        <is>
          <t>Friday</t>
        </is>
      </c>
      <c r="C96" s="4" t="inlineStr">
        <is>
          <t>Jan 26</t>
        </is>
      </c>
      <c r="D96" s="4" t="inlineStr">
        <is>
          <t>23/01/2026, 1:05 pm</t>
        </is>
      </c>
      <c r="E96" s="4" t="inlineStr">
        <is>
          <t>23/01/2026, 1:06 pm</t>
        </is>
      </c>
      <c r="F96" s="4">
        <f>(E96-D96)*24*60</f>
        <v/>
      </c>
      <c r="G96" s="4" t="inlineStr">
        <is>
          <t>LALSAR STEEL</t>
        </is>
      </c>
      <c r="H96" s="4" t="inlineStr">
        <is>
          <t>001J100000VlzqLIAR</t>
        </is>
      </c>
      <c r="I96" s="4" t="n">
        <v>831001</v>
      </c>
      <c r="J96" s="4" t="inlineStr">
        <is>
          <t>EAST SINGHBUM</t>
        </is>
      </c>
      <c r="K96" s="4" t="inlineStr"/>
      <c r="L96" s="4" t="inlineStr">
        <is>
          <t>Distributor</t>
        </is>
      </c>
      <c r="M96" s="4" t="inlineStr">
        <is>
          <t>Got future date</t>
        </is>
      </c>
      <c r="N96" s="4" t="inlineStr">
        <is>
          <t>For sales planning and discussion regarding market competition.</t>
        </is>
      </c>
      <c r="O96" s="4" t="inlineStr">
        <is>
          <t>Will coonect us and plan accordingly to meet target this month.</t>
        </is>
      </c>
      <c r="P96" s="4" t="inlineStr">
        <is>
          <t>For sales planning and discussion regarding market competition. | Will coonect us and plan accordingly to meet target this month.</t>
        </is>
      </c>
      <c r="Q96" s="4">
        <f>LEN(TRIM(P96))-LEN(SUBSTITUTE(P96," ",""))+1</f>
        <v/>
      </c>
      <c r="R96" s="4" t="n">
        <v>22.8112587</v>
      </c>
      <c r="S96" s="4" t="n">
        <v>86.1079257</v>
      </c>
      <c r="T96" s="4">
        <f>COUNTIF($G$2:G96,G96)</f>
        <v/>
      </c>
      <c r="U96" s="4">
        <f>IF(F96&lt;5,"YES","NO")</f>
        <v/>
      </c>
      <c r="V96" s="4">
        <f>IF(AND(N96&lt;&gt;"",O96&lt;&gt;""),"YES","NO")</f>
        <v/>
      </c>
      <c r="W96" s="4">
        <f>IF(HOUR(D96)&lt;12,"Morning",IF(HOUR(D96)&lt;17,"Afternoon","Evening"))</f>
        <v/>
      </c>
      <c r="X96" s="4" t="n">
        <v>5</v>
      </c>
      <c r="Y96" s="4">
        <f>IF(F96&lt;5,"&lt;5 min",IF(F96&lt;15,"5-15 min",IF(F96&lt;30,"15-30 min","30+ min")))</f>
        <v/>
      </c>
    </row>
    <row r="97">
      <c r="A97" s="3" t="n">
        <v>46051</v>
      </c>
      <c r="B97" s="4" t="inlineStr">
        <is>
          <t>Thursday</t>
        </is>
      </c>
      <c r="C97" s="4" t="inlineStr">
        <is>
          <t>Jan 26</t>
        </is>
      </c>
      <c r="D97" s="4" t="inlineStr">
        <is>
          <t>29/01/2026, 12:33 pm</t>
        </is>
      </c>
      <c r="E97" s="4" t="inlineStr">
        <is>
          <t>29/01/2026, 12:34 pm</t>
        </is>
      </c>
      <c r="F97" s="4">
        <f>(E97-D97)*24*60</f>
        <v/>
      </c>
      <c r="G97" s="4" t="inlineStr">
        <is>
          <t>LALSAR STEEL</t>
        </is>
      </c>
      <c r="H97" s="4" t="inlineStr">
        <is>
          <t>001J100000VlzqLIAR</t>
        </is>
      </c>
      <c r="I97" s="4" t="n">
        <v>831001</v>
      </c>
      <c r="J97" s="4" t="inlineStr">
        <is>
          <t>EAST SINGHBUM</t>
        </is>
      </c>
      <c r="K97" s="4" t="inlineStr"/>
      <c r="L97" s="4" t="inlineStr">
        <is>
          <t>Distributor</t>
        </is>
      </c>
      <c r="M97" s="4" t="inlineStr">
        <is>
          <t>Got future date</t>
        </is>
      </c>
      <c r="N97" s="4" t="inlineStr">
        <is>
          <t>Regarding projects orders and custumer follow up</t>
        </is>
      </c>
      <c r="O97" s="4" t="inlineStr">
        <is>
          <t>Rates given for 80 Mt will let us know once get finalized.</t>
        </is>
      </c>
      <c r="P97" s="4" t="inlineStr">
        <is>
          <t>Regarding projects orders and custumer follow up | Rates given for 80 Mt will let us know once get finalized.</t>
        </is>
      </c>
      <c r="Q97" s="4">
        <f>LEN(TRIM(P97))-LEN(SUBSTITUTE(P97," ",""))+1</f>
        <v/>
      </c>
      <c r="R97" s="4" t="n">
        <v>22.8112653</v>
      </c>
      <c r="S97" s="4" t="n">
        <v>86.1079443</v>
      </c>
      <c r="T97" s="4">
        <f>COUNTIF($G$2:G97,G97)</f>
        <v/>
      </c>
      <c r="U97" s="4">
        <f>IF(F97&lt;5,"YES","NO")</f>
        <v/>
      </c>
      <c r="V97" s="4">
        <f>IF(AND(N97&lt;&gt;"",O97&lt;&gt;""),"YES","NO")</f>
        <v/>
      </c>
      <c r="W97" s="4">
        <f>IF(HOUR(D97)&lt;12,"Morning",IF(HOUR(D97)&lt;17,"Afternoon","Evening"))</f>
        <v/>
      </c>
      <c r="X97" s="4" t="n">
        <v>6</v>
      </c>
      <c r="Y97" s="4">
        <f>IF(F97&lt;5,"&lt;5 min",IF(F97&lt;15,"5-15 min",IF(F97&lt;30,"15-30 min","30+ min")))</f>
        <v/>
      </c>
    </row>
    <row r="98">
      <c r="A98" s="3" t="n">
        <v>45966</v>
      </c>
      <c r="B98" s="4" t="inlineStr">
        <is>
          <t>Wednesday</t>
        </is>
      </c>
      <c r="C98" s="4" t="inlineStr">
        <is>
          <t>Nov 25</t>
        </is>
      </c>
      <c r="D98" s="4" t="inlineStr">
        <is>
          <t>05/11/2025, 5:15 pm</t>
        </is>
      </c>
      <c r="E98" s="4" t="inlineStr">
        <is>
          <t>05/11/2025, 5:16 pm</t>
        </is>
      </c>
      <c r="F98" s="4">
        <f>(E98-D98)*24*60</f>
        <v/>
      </c>
      <c r="G98" s="4" t="inlineStr">
        <is>
          <t>M K TRADERS</t>
        </is>
      </c>
      <c r="H98" s="4" t="inlineStr">
        <is>
          <t>001fw000007kGVjAAM</t>
        </is>
      </c>
      <c r="I98" s="4" t="n">
        <v>831009</v>
      </c>
      <c r="J98" s="4" t="inlineStr">
        <is>
          <t>EAST SINGHBUM</t>
        </is>
      </c>
      <c r="K98" s="4" t="inlineStr"/>
      <c r="L98" s="4" t="inlineStr">
        <is>
          <t>Retailer PB</t>
        </is>
      </c>
      <c r="M98" s="4" t="inlineStr">
        <is>
          <t>Got future date</t>
        </is>
      </c>
      <c r="N98" s="4" t="inlineStr">
        <is>
          <t>Dealer of panther and rungta tmt. Rates shared 46000 basic ex gst.</t>
        </is>
      </c>
      <c r="O98" s="4" t="inlineStr">
        <is>
          <t>Will connect with an inquiry. Purchase panther @ 59 landed gst.</t>
        </is>
      </c>
      <c r="P98" s="4" t="inlineStr">
        <is>
          <t>Dealer of panther and rungta tmt. Rates shared 46000 basic ex gst. | Will connect with an inquiry. Purchase panther @ 59 landed gst.</t>
        </is>
      </c>
      <c r="Q98" s="4">
        <f>LEN(TRIM(P98))-LEN(SUBSTITUTE(P98," ",""))+1</f>
        <v/>
      </c>
      <c r="R98" s="4" t="n">
        <v>22.8077292</v>
      </c>
      <c r="S98" s="4" t="n">
        <v>86.2216985</v>
      </c>
      <c r="T98" s="4">
        <f>COUNTIF($G$2:G98,G98)</f>
        <v/>
      </c>
      <c r="U98" s="4">
        <f>IF(F98&lt;5,"YES","NO")</f>
        <v/>
      </c>
      <c r="V98" s="4">
        <f>IF(AND(N98&lt;&gt;"",O98&lt;&gt;""),"YES","NO")</f>
        <v/>
      </c>
      <c r="W98" s="4">
        <f>IF(HOUR(D98)&lt;12,"Morning",IF(HOUR(D98)&lt;17,"Afternoon","Evening"))</f>
        <v/>
      </c>
      <c r="X98" s="4" t="n">
        <v>6</v>
      </c>
      <c r="Y98" s="4">
        <f>IF(F98&lt;5,"&lt;5 min",IF(F98&lt;15,"5-15 min",IF(F98&lt;30,"15-30 min","30+ min")))</f>
        <v/>
      </c>
    </row>
    <row r="99">
      <c r="A99" s="3" t="n">
        <v>45978</v>
      </c>
      <c r="B99" s="4" t="inlineStr">
        <is>
          <t>Monday</t>
        </is>
      </c>
      <c r="C99" s="4" t="inlineStr">
        <is>
          <t>Nov 25</t>
        </is>
      </c>
      <c r="D99" s="4" t="inlineStr">
        <is>
          <t>17/11/2025, 6:02 pm</t>
        </is>
      </c>
      <c r="E99" s="4" t="inlineStr">
        <is>
          <t>17/11/2025, 6:03 pm</t>
        </is>
      </c>
      <c r="F99" s="4">
        <f>(E99-D99)*24*60</f>
        <v/>
      </c>
      <c r="G99" s="4" t="inlineStr">
        <is>
          <t>M K TRADERS</t>
        </is>
      </c>
      <c r="H99" s="4" t="inlineStr">
        <is>
          <t>001fw000007kGVjAAM</t>
        </is>
      </c>
      <c r="I99" s="4" t="n">
        <v>831009</v>
      </c>
      <c r="J99" s="4" t="inlineStr">
        <is>
          <t>EAST SINGHBUM</t>
        </is>
      </c>
      <c r="K99" s="4" t="inlineStr"/>
      <c r="L99" s="4" t="inlineStr">
        <is>
          <t>Retailer PB</t>
        </is>
      </c>
      <c r="M99" s="4" t="inlineStr">
        <is>
          <t>Got future date</t>
        </is>
      </c>
      <c r="N99" s="4" t="inlineStr">
        <is>
          <t>Dealer of panther and rungta . Rates given 53000 landed at counter. Main owner not available.</t>
        </is>
      </c>
      <c r="O99" s="4" t="inlineStr">
        <is>
          <t>Asking to connect later . Selling panther @ 58000 in retail .</t>
        </is>
      </c>
      <c r="P99" s="4" t="inlineStr">
        <is>
          <t>Dealer of panther and rungta . Rates given 53000 landed at counter. Main owner not available. | Asking to connect later . Selling panther @ 58000 in retail .</t>
        </is>
      </c>
      <c r="Q99" s="4">
        <f>LEN(TRIM(P99))-LEN(SUBSTITUTE(P99," ",""))+1</f>
        <v/>
      </c>
      <c r="R99" s="4" t="n">
        <v>22.806614</v>
      </c>
      <c r="S99" s="4" t="n">
        <v>86.2227292</v>
      </c>
      <c r="T99" s="4">
        <f>COUNTIF($G$2:G99,G99)</f>
        <v/>
      </c>
      <c r="U99" s="4">
        <f>IF(F99&lt;5,"YES","NO")</f>
        <v/>
      </c>
      <c r="V99" s="4">
        <f>IF(AND(N99&lt;&gt;"",O99&lt;&gt;""),"YES","NO")</f>
        <v/>
      </c>
      <c r="W99" s="4">
        <f>IF(HOUR(D99)&lt;12,"Morning",IF(HOUR(D99)&lt;17,"Afternoon","Evening"))</f>
        <v/>
      </c>
      <c r="X99" s="4" t="n">
        <v>8</v>
      </c>
      <c r="Y99" s="4">
        <f>IF(F99&lt;5,"&lt;5 min",IF(F99&lt;15,"5-15 min",IF(F99&lt;30,"15-30 min","30+ min")))</f>
        <v/>
      </c>
    </row>
    <row r="100">
      <c r="A100" s="3" t="n">
        <v>45994</v>
      </c>
      <c r="B100" s="4" t="inlineStr">
        <is>
          <t>Wednesday</t>
        </is>
      </c>
      <c r="C100" s="4" t="inlineStr">
        <is>
          <t>Dec 25</t>
        </is>
      </c>
      <c r="D100" s="4" t="inlineStr">
        <is>
          <t>03/12/2025, 3:21 pm</t>
        </is>
      </c>
      <c r="E100" s="4" t="inlineStr">
        <is>
          <t>03/12/2025, 3:22 pm</t>
        </is>
      </c>
      <c r="F100" s="4">
        <f>(E100-D100)*24*60</f>
        <v/>
      </c>
      <c r="G100" s="4" t="inlineStr">
        <is>
          <t>M K TRADERS</t>
        </is>
      </c>
      <c r="H100" s="4" t="inlineStr">
        <is>
          <t>001fw000007kGVjAAM</t>
        </is>
      </c>
      <c r="I100" s="4" t="n">
        <v>831009</v>
      </c>
      <c r="J100" s="4" t="inlineStr">
        <is>
          <t>EAST SINGHBUM</t>
        </is>
      </c>
      <c r="K100" s="4" t="inlineStr"/>
      <c r="L100" s="4" t="inlineStr">
        <is>
          <t>Retailer PB</t>
        </is>
      </c>
      <c r="M100" s="4" t="inlineStr">
        <is>
          <t>Got future date</t>
        </is>
      </c>
      <c r="N100" s="4" t="inlineStr">
        <is>
          <t>Dealer of panther and rungta tmt. Will share inquiry rates given 55000 landed to the dealer till site.</t>
        </is>
      </c>
      <c r="O100" s="4" t="inlineStr">
        <is>
          <t>Will share inquiry once received from customer end.</t>
        </is>
      </c>
      <c r="P100" s="4" t="inlineStr">
        <is>
          <t>Dealer of panther and rungta tmt. Will share inquiry rates given 55000 landed to the dealer till site. | Will share inquiry once received from customer end.</t>
        </is>
      </c>
      <c r="Q100" s="4">
        <f>LEN(TRIM(P100))-LEN(SUBSTITUTE(P100," ",""))+1</f>
        <v/>
      </c>
      <c r="R100" s="4" t="n">
        <v>22.8058813</v>
      </c>
      <c r="S100" s="4" t="n">
        <v>86.223433</v>
      </c>
      <c r="T100" s="4">
        <f>COUNTIF($G$2:G100,G100)</f>
        <v/>
      </c>
      <c r="U100" s="4">
        <f>IF(F100&lt;5,"YES","NO")</f>
        <v/>
      </c>
      <c r="V100" s="4">
        <f>IF(AND(N100&lt;&gt;"",O100&lt;&gt;""),"YES","NO")</f>
        <v/>
      </c>
      <c r="W100" s="4">
        <f>IF(HOUR(D100)&lt;12,"Morning",IF(HOUR(D100)&lt;17,"Afternoon","Evening"))</f>
        <v/>
      </c>
      <c r="X100" s="4" t="n">
        <v>6</v>
      </c>
      <c r="Y100" s="4">
        <f>IF(F100&lt;5,"&lt;5 min",IF(F100&lt;15,"5-15 min",IF(F100&lt;30,"15-30 min","30+ min")))</f>
        <v/>
      </c>
    </row>
    <row r="101">
      <c r="A101" s="3" t="n">
        <v>46017</v>
      </c>
      <c r="B101" s="4" t="inlineStr">
        <is>
          <t>Friday</t>
        </is>
      </c>
      <c r="C101" s="4" t="inlineStr">
        <is>
          <t>Dec 25</t>
        </is>
      </c>
      <c r="D101" s="4" t="inlineStr">
        <is>
          <t>26/12/2025, 4:37 pm</t>
        </is>
      </c>
      <c r="E101" s="4" t="inlineStr">
        <is>
          <t>26/12/2025, 4:40 pm</t>
        </is>
      </c>
      <c r="F101" s="4">
        <f>(E101-D101)*24*60</f>
        <v/>
      </c>
      <c r="G101" s="4" t="inlineStr">
        <is>
          <t>M K TRADERS</t>
        </is>
      </c>
      <c r="H101" s="4" t="inlineStr">
        <is>
          <t>001fw000007kGVjAAM</t>
        </is>
      </c>
      <c r="I101" s="4" t="n">
        <v>831009</v>
      </c>
      <c r="J101" s="4" t="inlineStr">
        <is>
          <t>EAST SINGHBUM</t>
        </is>
      </c>
      <c r="K101" s="4" t="inlineStr"/>
      <c r="L101" s="4" t="inlineStr">
        <is>
          <t>Retailer PB</t>
        </is>
      </c>
      <c r="M101" s="4" t="inlineStr">
        <is>
          <t>Got future date</t>
        </is>
      </c>
      <c r="N101" s="4" t="inlineStr">
        <is>
          <t>Dealer of Jindal panther and rungta tmt. Rates given 57000 landed to the dealer.</t>
        </is>
      </c>
      <c r="O101" s="4" t="inlineStr">
        <is>
          <t>Willconnect when inquiry comes by him . Will share us. Need time</t>
        </is>
      </c>
      <c r="P101" s="4" t="inlineStr">
        <is>
          <t>Dealer of Jindal panther and rungta tmt. Rates given 57000 landed to the dealer. | Willconnect when inquiry comes by him . Will share us. Need time</t>
        </is>
      </c>
      <c r="Q101" s="4">
        <f>LEN(TRIM(P101))-LEN(SUBSTITUTE(P101," ",""))+1</f>
        <v/>
      </c>
      <c r="R101" s="4" t="n">
        <v>22.8074635</v>
      </c>
      <c r="S101" s="4" t="n">
        <v>86.22185090000001</v>
      </c>
      <c r="T101" s="4">
        <f>COUNTIF($G$2:G101,G101)</f>
        <v/>
      </c>
      <c r="U101" s="4">
        <f>IF(F101&lt;5,"YES","NO")</f>
        <v/>
      </c>
      <c r="V101" s="4">
        <f>IF(AND(N101&lt;&gt;"",O101&lt;&gt;""),"YES","NO")</f>
        <v/>
      </c>
      <c r="W101" s="4">
        <f>IF(HOUR(D101)&lt;12,"Morning",IF(HOUR(D101)&lt;17,"Afternoon","Evening"))</f>
        <v/>
      </c>
      <c r="X101" s="4" t="n">
        <v>6</v>
      </c>
      <c r="Y101" s="4">
        <f>IF(F101&lt;5,"&lt;5 min",IF(F101&lt;15,"5-15 min",IF(F101&lt;30,"15-30 min","30+ min")))</f>
        <v/>
      </c>
    </row>
    <row r="102">
      <c r="A102" s="3" t="n">
        <v>46028</v>
      </c>
      <c r="B102" s="4" t="inlineStr">
        <is>
          <t>Tuesday</t>
        </is>
      </c>
      <c r="C102" s="4" t="inlineStr">
        <is>
          <t>Jan 26</t>
        </is>
      </c>
      <c r="D102" s="4" t="inlineStr">
        <is>
          <t>06/01/2026, 2:22 pm</t>
        </is>
      </c>
      <c r="E102" s="4" t="inlineStr">
        <is>
          <t>06/01/2026, 2:25 pm</t>
        </is>
      </c>
      <c r="F102" s="4">
        <f>(E102-D102)*24*60</f>
        <v/>
      </c>
      <c r="G102" s="4" t="inlineStr">
        <is>
          <t>M K TRADERS</t>
        </is>
      </c>
      <c r="H102" s="4" t="inlineStr">
        <is>
          <t>001fw000007kGVjAAM</t>
        </is>
      </c>
      <c r="I102" s="4" t="n">
        <v>831009</v>
      </c>
      <c r="J102" s="4" t="inlineStr">
        <is>
          <t>EAST SINGHBUM</t>
        </is>
      </c>
      <c r="K102" s="4" t="inlineStr"/>
      <c r="L102" s="4" t="inlineStr">
        <is>
          <t>Retailer PB</t>
        </is>
      </c>
      <c r="M102" s="4" t="inlineStr">
        <is>
          <t>Got future date</t>
        </is>
      </c>
      <c r="N102" s="4" t="inlineStr">
        <is>
          <t>Dealer of panther and RUNGTA TMT. Rates given 59500 landed at site. No inquiry now. Will connect us</t>
        </is>
      </c>
      <c r="O102" s="4" t="inlineStr">
        <is>
          <t>Will connect on demand received from customer. Need time.</t>
        </is>
      </c>
      <c r="P102" s="4" t="inlineStr">
        <is>
          <t>Dealer of panther and RUNGTA TMT. Rates given 59500 landed at site. No inquiry now. Will connect us | Will connect on demand received from customer. Need time.</t>
        </is>
      </c>
      <c r="Q102" s="4">
        <f>LEN(TRIM(P102))-LEN(SUBSTITUTE(P102," ",""))+1</f>
        <v/>
      </c>
      <c r="R102" s="4" t="n">
        <v>22.8067786</v>
      </c>
      <c r="S102" s="4" t="n">
        <v>86.22251319999999</v>
      </c>
      <c r="T102" s="4">
        <f>COUNTIF($G$2:G102,G102)</f>
        <v/>
      </c>
      <c r="U102" s="4">
        <f>IF(F102&lt;5,"YES","NO")</f>
        <v/>
      </c>
      <c r="V102" s="4">
        <f>IF(AND(N102&lt;&gt;"",O102&lt;&gt;""),"YES","NO")</f>
        <v/>
      </c>
      <c r="W102" s="4">
        <f>IF(HOUR(D102)&lt;12,"Morning",IF(HOUR(D102)&lt;17,"Afternoon","Evening"))</f>
        <v/>
      </c>
      <c r="X102" s="4" t="n">
        <v>7</v>
      </c>
      <c r="Y102" s="4">
        <f>IF(F102&lt;5,"&lt;5 min",IF(F102&lt;15,"5-15 min",IF(F102&lt;30,"15-30 min","30+ min")))</f>
        <v/>
      </c>
    </row>
    <row r="103">
      <c r="A103" s="3" t="n">
        <v>46041</v>
      </c>
      <c r="B103" s="4" t="inlineStr">
        <is>
          <t>Monday</t>
        </is>
      </c>
      <c r="C103" s="4" t="inlineStr">
        <is>
          <t>Jan 26</t>
        </is>
      </c>
      <c r="D103" s="4" t="inlineStr">
        <is>
          <t>19/01/2026, 5:07 pm</t>
        </is>
      </c>
      <c r="E103" s="4" t="inlineStr">
        <is>
          <t>19/01/2026, 5:09 pm</t>
        </is>
      </c>
      <c r="F103" s="4">
        <f>(E103-D103)*24*60</f>
        <v/>
      </c>
      <c r="G103" s="4" t="inlineStr">
        <is>
          <t>M K TRADERS</t>
        </is>
      </c>
      <c r="H103" s="4" t="inlineStr">
        <is>
          <t>001fw000007kGVjAAM</t>
        </is>
      </c>
      <c r="I103" s="4" t="n">
        <v>831009</v>
      </c>
      <c r="J103" s="4" t="inlineStr">
        <is>
          <t>EAST SINGHBUM</t>
        </is>
      </c>
      <c r="K103" s="4" t="inlineStr"/>
      <c r="L103" s="4" t="inlineStr">
        <is>
          <t>Retailer PB</t>
        </is>
      </c>
      <c r="M103" s="4" t="inlineStr">
        <is>
          <t>Got future date</t>
        </is>
      </c>
      <c r="N103" s="4" t="inlineStr">
        <is>
          <t>Dealer of jspl panther and RUNGTA TMT. Rates given 62500 landed to the CUSTUMER.</t>
        </is>
      </c>
      <c r="O103" s="4" t="inlineStr">
        <is>
          <t>Will connect us on inquiry. Last purchase panther @ 58000 landed.</t>
        </is>
      </c>
      <c r="P103" s="4" t="inlineStr">
        <is>
          <t>Dealer of jspl panther and RUNGTA TMT. Rates given 62500 landed to the CUSTUMER. | Will connect us on inquiry. Last purchase panther @ 58000 landed.</t>
        </is>
      </c>
      <c r="Q103" s="4">
        <f>LEN(TRIM(P103))-LEN(SUBSTITUTE(P103," ",""))+1</f>
        <v/>
      </c>
      <c r="R103" s="4" t="n">
        <v>22.8073075</v>
      </c>
      <c r="S103" s="4" t="n">
        <v>86.222247</v>
      </c>
      <c r="T103" s="4">
        <f>COUNTIF($G$2:G103,G103)</f>
        <v/>
      </c>
      <c r="U103" s="4">
        <f>IF(F103&lt;5,"YES","NO")</f>
        <v/>
      </c>
      <c r="V103" s="4">
        <f>IF(AND(N103&lt;&gt;"",O103&lt;&gt;""),"YES","NO")</f>
        <v/>
      </c>
      <c r="W103" s="4">
        <f>IF(HOUR(D103)&lt;12,"Morning",IF(HOUR(D103)&lt;17,"Afternoon","Evening"))</f>
        <v/>
      </c>
      <c r="X103" s="4" t="n">
        <v>6</v>
      </c>
      <c r="Y103" s="4">
        <f>IF(F103&lt;5,"&lt;5 min",IF(F103&lt;15,"5-15 min",IF(F103&lt;30,"15-30 min","30+ min")))</f>
        <v/>
      </c>
    </row>
    <row r="104">
      <c r="A104" s="3" t="n">
        <v>46050</v>
      </c>
      <c r="B104" s="4" t="inlineStr">
        <is>
          <t>Wednesday</t>
        </is>
      </c>
      <c r="C104" s="4" t="inlineStr">
        <is>
          <t>Jan 26</t>
        </is>
      </c>
      <c r="D104" s="4" t="inlineStr">
        <is>
          <t>28/01/2026, 6:07 pm</t>
        </is>
      </c>
      <c r="E104" s="4" t="inlineStr">
        <is>
          <t>28/01/2026, 6:11 pm</t>
        </is>
      </c>
      <c r="F104" s="4">
        <f>(E104-D104)*24*60</f>
        <v/>
      </c>
      <c r="G104" s="4" t="inlineStr">
        <is>
          <t>M K TRADERS</t>
        </is>
      </c>
      <c r="H104" s="4" t="inlineStr">
        <is>
          <t>001fw000007kGVjAAM</t>
        </is>
      </c>
      <c r="I104" s="4" t="n">
        <v>831009</v>
      </c>
      <c r="J104" s="4" t="inlineStr">
        <is>
          <t>EAST SINGHBUM</t>
        </is>
      </c>
      <c r="K104" s="4" t="inlineStr"/>
      <c r="L104" s="4" t="inlineStr">
        <is>
          <t>Retailer PB</t>
        </is>
      </c>
      <c r="M104" s="4" t="inlineStr">
        <is>
          <t>Got future date</t>
        </is>
      </c>
      <c r="N104" s="4" t="inlineStr">
        <is>
          <t>Dealer of panther TMT and RUNGTA TMT. Rates given 64000 landed to the dealer. No inquiry now.</t>
        </is>
      </c>
      <c r="O104" s="4" t="inlineStr">
        <is>
          <t>Selling panther @ 65 from counter. Last purchased rungta @ 54 landed. Will connect us.</t>
        </is>
      </c>
      <c r="P104" s="4" t="inlineStr">
        <is>
          <t>Dealer of panther TMT and RUNGTA TMT. Rates given 64000 landed to the dealer. No inquiry now. | Selling panther @ 65 from counter. Last purchased rungta @ 54 landed. Will connect us.</t>
        </is>
      </c>
      <c r="Q104" s="4">
        <f>LEN(TRIM(P104))-LEN(SUBSTITUTE(P104," ",""))+1</f>
        <v/>
      </c>
      <c r="R104" s="4" t="n">
        <v>22.806619</v>
      </c>
      <c r="S104" s="4" t="n">
        <v>86.2223305</v>
      </c>
      <c r="T104" s="4">
        <f>COUNTIF($G$2:G104,G104)</f>
        <v/>
      </c>
      <c r="U104" s="4">
        <f>IF(F104&lt;5,"YES","NO")</f>
        <v/>
      </c>
      <c r="V104" s="4">
        <f>IF(AND(N104&lt;&gt;"",O104&lt;&gt;""),"YES","NO")</f>
        <v/>
      </c>
      <c r="W104" s="4">
        <f>IF(HOUR(D104)&lt;12,"Morning",IF(HOUR(D104)&lt;17,"Afternoon","Evening"))</f>
        <v/>
      </c>
      <c r="X104" s="4" t="n">
        <v>7</v>
      </c>
      <c r="Y104" s="4">
        <f>IF(F104&lt;5,"&lt;5 min",IF(F104&lt;15,"5-15 min",IF(F104&lt;30,"15-30 min","30+ min")))</f>
        <v/>
      </c>
    </row>
    <row r="105">
      <c r="A105" s="3" t="n">
        <v>45987</v>
      </c>
      <c r="B105" s="4" t="inlineStr">
        <is>
          <t>Wednesday</t>
        </is>
      </c>
      <c r="C105" s="4" t="inlineStr">
        <is>
          <t>Nov 25</t>
        </is>
      </c>
      <c r="D105" s="4" t="inlineStr">
        <is>
          <t>26/11/2025, 12:59 pm</t>
        </is>
      </c>
      <c r="E105" s="4" t="inlineStr">
        <is>
          <t>26/11/2025, 1:00 pm</t>
        </is>
      </c>
      <c r="F105" s="4">
        <f>(E105-D105)*24*60</f>
        <v/>
      </c>
      <c r="G105" s="4" t="inlineStr">
        <is>
          <t>M S TRADERS</t>
        </is>
      </c>
      <c r="H105" s="4" t="inlineStr">
        <is>
          <t>001J100000Vo6hCIAR</t>
        </is>
      </c>
      <c r="I105" s="4" t="n">
        <v>831009</v>
      </c>
      <c r="J105" s="4" t="inlineStr">
        <is>
          <t>EAST SINGHBUM</t>
        </is>
      </c>
      <c r="K105" s="4" t="inlineStr"/>
      <c r="L105" s="4" t="inlineStr">
        <is>
          <t>Retailer PB</t>
        </is>
      </c>
      <c r="M105" s="4" t="inlineStr">
        <is>
          <t>Got future date</t>
        </is>
      </c>
      <c r="N105" s="4" t="inlineStr">
        <is>
          <t>Dealer of rungta tmt and local isi . Rates given 54000 landed to the dealer. Will connect with inquiry</t>
        </is>
      </c>
      <c r="O105" s="4" t="inlineStr">
        <is>
          <t>Asking to connect as demand comes from end user .</t>
        </is>
      </c>
      <c r="P105" s="4" t="inlineStr">
        <is>
          <t>Dealer of rungta tmt and local isi . Rates given 54000 landed to the dealer. Will connect with inquiry | Asking to connect as demand comes from end user .</t>
        </is>
      </c>
      <c r="Q105" s="4">
        <f>LEN(TRIM(P105))-LEN(SUBSTITUTE(P105," ",""))+1</f>
        <v/>
      </c>
      <c r="R105" s="4" t="n">
        <v>22.8372813</v>
      </c>
      <c r="S105" s="4" t="n">
        <v>86.1696584</v>
      </c>
      <c r="T105" s="4">
        <f>COUNTIF($G$2:G105,G105)</f>
        <v/>
      </c>
      <c r="U105" s="4">
        <f>IF(F105&lt;5,"YES","NO")</f>
        <v/>
      </c>
      <c r="V105" s="4">
        <f>IF(AND(N105&lt;&gt;"",O105&lt;&gt;""),"YES","NO")</f>
        <v/>
      </c>
      <c r="W105" s="4">
        <f>IF(HOUR(D105)&lt;12,"Morning",IF(HOUR(D105)&lt;17,"Afternoon","Evening"))</f>
        <v/>
      </c>
      <c r="X105" s="4" t="n">
        <v>4</v>
      </c>
      <c r="Y105" s="4">
        <f>IF(F105&lt;5,"&lt;5 min",IF(F105&lt;15,"5-15 min",IF(F105&lt;30,"15-30 min","30+ min")))</f>
        <v/>
      </c>
    </row>
    <row r="106">
      <c r="A106" s="3" t="n">
        <v>46007</v>
      </c>
      <c r="B106" s="4" t="inlineStr">
        <is>
          <t>Tuesday</t>
        </is>
      </c>
      <c r="C106" s="4" t="inlineStr">
        <is>
          <t>Dec 25</t>
        </is>
      </c>
      <c r="D106" s="4" t="inlineStr">
        <is>
          <t>16/12/2025, 5:25 pm</t>
        </is>
      </c>
      <c r="E106" s="4" t="inlineStr">
        <is>
          <t>16/12/2025, 5:26 pm</t>
        </is>
      </c>
      <c r="F106" s="4">
        <f>(E106-D106)*24*60</f>
        <v/>
      </c>
      <c r="G106" s="4" t="inlineStr">
        <is>
          <t>M S TRADERS</t>
        </is>
      </c>
      <c r="H106" s="4" t="inlineStr">
        <is>
          <t>001J100000Vo6hCIAR</t>
        </is>
      </c>
      <c r="I106" s="4" t="n">
        <v>831009</v>
      </c>
      <c r="J106" s="4" t="inlineStr">
        <is>
          <t>EAST SINGHBUM</t>
        </is>
      </c>
      <c r="K106" s="4" t="inlineStr"/>
      <c r="L106" s="4" t="inlineStr">
        <is>
          <t>Retailer PB</t>
        </is>
      </c>
      <c r="M106" s="4" t="inlineStr">
        <is>
          <t>Got future date</t>
        </is>
      </c>
      <c r="N106" s="4" t="inlineStr">
        <is>
          <t>Dealer of rungta tmt and govinda tmt rates given 56500 landed . Need to make space in his godown to start.</t>
        </is>
      </c>
      <c r="O106" s="4" t="inlineStr">
        <is>
          <t>Will connect us later. Will share any requirements that comes.</t>
        </is>
      </c>
      <c r="P106" s="4" t="inlineStr">
        <is>
          <t>Dealer of rungta tmt and govinda tmt rates given 56500 landed . Need to make space in his godown to start. | Will connect us later. Will share any requirements that comes.</t>
        </is>
      </c>
      <c r="Q106" s="4">
        <f>LEN(TRIM(P106))-LEN(SUBSTITUTE(P106," ",""))+1</f>
        <v/>
      </c>
      <c r="R106" s="4" t="n">
        <v>22.8371051</v>
      </c>
      <c r="S106" s="4" t="n">
        <v>86.16979259999999</v>
      </c>
      <c r="T106" s="4">
        <f>COUNTIF($G$2:G106,G106)</f>
        <v/>
      </c>
      <c r="U106" s="4">
        <f>IF(F106&lt;5,"YES","NO")</f>
        <v/>
      </c>
      <c r="V106" s="4">
        <f>IF(AND(N106&lt;&gt;"",O106&lt;&gt;""),"YES","NO")</f>
        <v/>
      </c>
      <c r="W106" s="4">
        <f>IF(HOUR(D106)&lt;12,"Morning",IF(HOUR(D106)&lt;17,"Afternoon","Evening"))</f>
        <v/>
      </c>
      <c r="X106" s="4" t="n">
        <v>7</v>
      </c>
      <c r="Y106" s="4">
        <f>IF(F106&lt;5,"&lt;5 min",IF(F106&lt;15,"5-15 min",IF(F106&lt;30,"15-30 min","30+ min")))</f>
        <v/>
      </c>
    </row>
    <row r="107">
      <c r="A107" s="3" t="n">
        <v>45966</v>
      </c>
      <c r="B107" s="4" t="inlineStr">
        <is>
          <t>Wednesday</t>
        </is>
      </c>
      <c r="C107" s="4" t="inlineStr">
        <is>
          <t>Nov 25</t>
        </is>
      </c>
      <c r="D107" s="4" t="inlineStr">
        <is>
          <t>05/11/2025, 6:05 pm</t>
        </is>
      </c>
      <c r="E107" s="4" t="inlineStr">
        <is>
          <t>05/11/2025, 6:06 pm</t>
        </is>
      </c>
      <c r="F107" s="4">
        <f>(E107-D107)*24*60</f>
        <v/>
      </c>
      <c r="G107" s="4" t="inlineStr">
        <is>
          <t>M/S A. B. CONSTRUCTION</t>
        </is>
      </c>
      <c r="H107" s="4" t="inlineStr">
        <is>
          <t>001fw000007nhe7AAA</t>
        </is>
      </c>
      <c r="I107" s="4" t="n">
        <v>831004</v>
      </c>
      <c r="J107" s="4" t="inlineStr">
        <is>
          <t>EAST SINGHBUM</t>
        </is>
      </c>
      <c r="K107" s="4" t="inlineStr"/>
      <c r="L107" s="4" t="inlineStr">
        <is>
          <t>Influencer</t>
        </is>
      </c>
      <c r="M107" s="4" t="inlineStr">
        <is>
          <t>Got future date</t>
        </is>
      </c>
      <c r="N107" s="4" t="inlineStr">
        <is>
          <t>Contractor of ihb and commercial project . Using tiscon. Rates given 46 basic ex gst .Will connect later .</t>
        </is>
      </c>
      <c r="O107" s="4" t="inlineStr">
        <is>
          <t>Last purchased Tata @ 65 landed from distributor. Will connect us .</t>
        </is>
      </c>
      <c r="P107" s="4" t="inlineStr">
        <is>
          <t>Contractor of ihb and commercial project . Using tiscon. Rates given 46 basic ex gst .Will connect later . | Last purchased Tata @ 65 landed from distributor. Will connect us .</t>
        </is>
      </c>
      <c r="Q107" s="4">
        <f>LEN(TRIM(P107))-LEN(SUBSTITUTE(P107," ",""))+1</f>
        <v/>
      </c>
      <c r="R107" s="4" t="n">
        <v>22.8075985</v>
      </c>
      <c r="S107" s="4" t="n">
        <v>86.2216265</v>
      </c>
      <c r="T107" s="4">
        <f>COUNTIF($G$2:G107,G107)</f>
        <v/>
      </c>
      <c r="U107" s="4">
        <f>IF(F107&lt;5,"YES","NO")</f>
        <v/>
      </c>
      <c r="V107" s="4">
        <f>IF(AND(N107&lt;&gt;"",O107&lt;&gt;""),"YES","NO")</f>
        <v/>
      </c>
      <c r="W107" s="4">
        <f>IF(HOUR(D107)&lt;12,"Morning",IF(HOUR(D107)&lt;17,"Afternoon","Evening"))</f>
        <v/>
      </c>
      <c r="X107" s="4" t="n">
        <v>6</v>
      </c>
      <c r="Y107" s="4">
        <f>IF(F107&lt;5,"&lt;5 min",IF(F107&lt;15,"5-15 min",IF(F107&lt;30,"15-30 min","30+ min")))</f>
        <v/>
      </c>
    </row>
    <row r="108">
      <c r="A108" s="3" t="n">
        <v>45978</v>
      </c>
      <c r="B108" s="4" t="inlineStr">
        <is>
          <t>Monday</t>
        </is>
      </c>
      <c r="C108" s="4" t="inlineStr">
        <is>
          <t>Nov 25</t>
        </is>
      </c>
      <c r="D108" s="4" t="inlineStr">
        <is>
          <t>17/11/2025, 6:17 pm</t>
        </is>
      </c>
      <c r="E108" s="4" t="inlineStr">
        <is>
          <t>17/11/2025, 6:18 pm</t>
        </is>
      </c>
      <c r="F108" s="4">
        <f>(E108-D108)*24*60</f>
        <v/>
      </c>
      <c r="G108" s="4" t="inlineStr">
        <is>
          <t>M/S A. B. CONSTRUCTION</t>
        </is>
      </c>
      <c r="H108" s="4" t="inlineStr">
        <is>
          <t>001fw000007nhe7AAA</t>
        </is>
      </c>
      <c r="I108" s="4" t="n">
        <v>831004</v>
      </c>
      <c r="J108" s="4" t="inlineStr">
        <is>
          <t>EAST SINGHBUM</t>
        </is>
      </c>
      <c r="K108" s="4" t="inlineStr"/>
      <c r="L108" s="4" t="inlineStr">
        <is>
          <t>Influencer</t>
        </is>
      </c>
      <c r="M108" s="4" t="inlineStr">
        <is>
          <t>Got future date</t>
        </is>
      </c>
      <c r="N108" s="4" t="inlineStr">
        <is>
          <t>Ihb and commercial contractor . Using tiscon panther and rungta tmt. Rates given 53000 landed to the customer.</t>
        </is>
      </c>
      <c r="O108" s="4" t="inlineStr">
        <is>
          <t>No inquiry currently. Will pass it on when comes from end user.</t>
        </is>
      </c>
      <c r="P108" s="4" t="inlineStr">
        <is>
          <t>Ihb and commercial contractor . Using tiscon panther and rungta tmt. Rates given 53000 landed to the customer. | No inquiry currently. Will pass it on when comes from end user.</t>
        </is>
      </c>
      <c r="Q108" s="4">
        <f>LEN(TRIM(P108))-LEN(SUBSTITUTE(P108," ",""))+1</f>
        <v/>
      </c>
      <c r="R108" s="4" t="n">
        <v>22.8077144</v>
      </c>
      <c r="S108" s="4" t="n">
        <v>86.221755</v>
      </c>
      <c r="T108" s="4">
        <f>COUNTIF($G$2:G108,G108)</f>
        <v/>
      </c>
      <c r="U108" s="4">
        <f>IF(F108&lt;5,"YES","NO")</f>
        <v/>
      </c>
      <c r="V108" s="4">
        <f>IF(AND(N108&lt;&gt;"",O108&lt;&gt;""),"YES","NO")</f>
        <v/>
      </c>
      <c r="W108" s="4">
        <f>IF(HOUR(D108)&lt;12,"Morning",IF(HOUR(D108)&lt;17,"Afternoon","Evening"))</f>
        <v/>
      </c>
      <c r="X108" s="4" t="n">
        <v>8</v>
      </c>
      <c r="Y108" s="4">
        <f>IF(F108&lt;5,"&lt;5 min",IF(F108&lt;15,"5-15 min",IF(F108&lt;30,"15-30 min","30+ min")))</f>
        <v/>
      </c>
    </row>
    <row r="109">
      <c r="A109" s="3" t="n">
        <v>46001</v>
      </c>
      <c r="B109" s="4" t="inlineStr">
        <is>
          <t>Wednesday</t>
        </is>
      </c>
      <c r="C109" s="4" t="inlineStr">
        <is>
          <t>Dec 25</t>
        </is>
      </c>
      <c r="D109" s="4" t="inlineStr">
        <is>
          <t>10/12/2025, 4:32 pm</t>
        </is>
      </c>
      <c r="E109" s="4" t="inlineStr">
        <is>
          <t>10/12/2025, 4:35 pm</t>
        </is>
      </c>
      <c r="F109" s="4">
        <f>(E109-D109)*24*60</f>
        <v/>
      </c>
      <c r="G109" s="4" t="inlineStr">
        <is>
          <t>M/S A. B. CONSTRUCTION</t>
        </is>
      </c>
      <c r="H109" s="4" t="inlineStr">
        <is>
          <t>001fw000007nhe7AAA</t>
        </is>
      </c>
      <c r="I109" s="4" t="n">
        <v>831004</v>
      </c>
      <c r="J109" s="4" t="inlineStr">
        <is>
          <t>EAST SINGHBUM</t>
        </is>
      </c>
      <c r="K109" s="4" t="inlineStr"/>
      <c r="L109" s="4" t="inlineStr">
        <is>
          <t>Influencer</t>
        </is>
      </c>
      <c r="M109" s="4" t="inlineStr">
        <is>
          <t>Got future date</t>
        </is>
      </c>
      <c r="N109" s="4" t="inlineStr">
        <is>
          <t>Contractor of ihb and commercial projects . Will connect us . Rates given 56000 landed to the custumer.</t>
        </is>
      </c>
      <c r="O109" s="4" t="inlineStr">
        <is>
          <t>Will connect us on demand availability and inquiry from custumer</t>
        </is>
      </c>
      <c r="P109" s="4" t="inlineStr">
        <is>
          <t>Contractor of ihb and commercial projects . Will connect us . Rates given 56000 landed to the custumer. | Will connect us on demand availability and inquiry from custumer</t>
        </is>
      </c>
      <c r="Q109" s="4">
        <f>LEN(TRIM(P109))-LEN(SUBSTITUTE(P109," ",""))+1</f>
        <v/>
      </c>
      <c r="R109" s="4" t="n">
        <v>22.8076266</v>
      </c>
      <c r="S109" s="4" t="n">
        <v>86.2219959</v>
      </c>
      <c r="T109" s="4">
        <f>COUNTIF($G$2:G109,G109)</f>
        <v/>
      </c>
      <c r="U109" s="4">
        <f>IF(F109&lt;5,"YES","NO")</f>
        <v/>
      </c>
      <c r="V109" s="4">
        <f>IF(AND(N109&lt;&gt;"",O109&lt;&gt;""),"YES","NO")</f>
        <v/>
      </c>
      <c r="W109" s="4">
        <f>IF(HOUR(D109)&lt;12,"Morning",IF(HOUR(D109)&lt;17,"Afternoon","Evening"))</f>
        <v/>
      </c>
      <c r="X109" s="4" t="n">
        <v>7</v>
      </c>
      <c r="Y109" s="4">
        <f>IF(F109&lt;5,"&lt;5 min",IF(F109&lt;15,"5-15 min",IF(F109&lt;30,"15-30 min","30+ min")))</f>
        <v/>
      </c>
    </row>
    <row r="110">
      <c r="A110" s="3" t="n">
        <v>46014</v>
      </c>
      <c r="B110" s="4" t="inlineStr">
        <is>
          <t>Tuesday</t>
        </is>
      </c>
      <c r="C110" s="4" t="inlineStr">
        <is>
          <t>Dec 25</t>
        </is>
      </c>
      <c r="D110" s="4" t="inlineStr">
        <is>
          <t>23/12/2025, 5:12 pm</t>
        </is>
      </c>
      <c r="E110" s="4" t="inlineStr">
        <is>
          <t>23/12/2025, 5:16 pm</t>
        </is>
      </c>
      <c r="F110" s="4">
        <f>(E110-D110)*24*60</f>
        <v/>
      </c>
      <c r="G110" s="4" t="inlineStr">
        <is>
          <t>M/S A. B. CONSTRUCTION</t>
        </is>
      </c>
      <c r="H110" s="4" t="inlineStr">
        <is>
          <t>001fw000007nhe7AAA</t>
        </is>
      </c>
      <c r="I110" s="4" t="n">
        <v>831004</v>
      </c>
      <c r="J110" s="4" t="inlineStr">
        <is>
          <t>EAST SINGHBUM</t>
        </is>
      </c>
      <c r="K110" s="4" t="inlineStr"/>
      <c r="L110" s="4" t="inlineStr">
        <is>
          <t>Influencer</t>
        </is>
      </c>
      <c r="M110" s="4" t="inlineStr">
        <is>
          <t>Got future date</t>
        </is>
      </c>
      <c r="N110" s="4" t="inlineStr">
        <is>
          <t>Ihb contractor and engineer. Using rungta tmt and panther . Rates given 57000 landed to the custumer.</t>
        </is>
      </c>
      <c r="O110" s="4" t="inlineStr">
        <is>
          <t>Will connect us when demand comes from site . Need time .</t>
        </is>
      </c>
      <c r="P110" s="4" t="inlineStr">
        <is>
          <t>Ihb contractor and engineer. Using rungta tmt and panther . Rates given 57000 landed to the custumer. | Will connect us when demand comes from site . Need time .</t>
        </is>
      </c>
      <c r="Q110" s="4">
        <f>LEN(TRIM(P110))-LEN(SUBSTITUTE(P110," ",""))+1</f>
        <v/>
      </c>
      <c r="R110" s="4" t="n">
        <v>22.8120135</v>
      </c>
      <c r="S110" s="4" t="n">
        <v>86.2151616</v>
      </c>
      <c r="T110" s="4">
        <f>COUNTIF($G$2:G110,G110)</f>
        <v/>
      </c>
      <c r="U110" s="4">
        <f>IF(F110&lt;5,"YES","NO")</f>
        <v/>
      </c>
      <c r="V110" s="4">
        <f>IF(AND(N110&lt;&gt;"",O110&lt;&gt;""),"YES","NO")</f>
        <v/>
      </c>
      <c r="W110" s="4">
        <f>IF(HOUR(D110)&lt;12,"Morning",IF(HOUR(D110)&lt;17,"Afternoon","Evening"))</f>
        <v/>
      </c>
      <c r="X110" s="4" t="n">
        <v>7</v>
      </c>
      <c r="Y110" s="4">
        <f>IF(F110&lt;5,"&lt;5 min",IF(F110&lt;15,"5-15 min",IF(F110&lt;30,"15-30 min","30+ min")))</f>
        <v/>
      </c>
    </row>
    <row r="111">
      <c r="A111" s="3" t="n">
        <v>46049</v>
      </c>
      <c r="B111" s="4" t="inlineStr">
        <is>
          <t>Tuesday</t>
        </is>
      </c>
      <c r="C111" s="4" t="inlineStr">
        <is>
          <t>Jan 26</t>
        </is>
      </c>
      <c r="D111" s="4" t="inlineStr">
        <is>
          <t>27/01/2026, 6:52 pm</t>
        </is>
      </c>
      <c r="E111" s="4" t="inlineStr">
        <is>
          <t>27/01/2026, 6:54 pm</t>
        </is>
      </c>
      <c r="F111" s="4">
        <f>(E111-D111)*24*60</f>
        <v/>
      </c>
      <c r="G111" s="4" t="inlineStr">
        <is>
          <t>M/S A. B. CONSTRUCTION</t>
        </is>
      </c>
      <c r="H111" s="4" t="inlineStr">
        <is>
          <t>001fw000007nhe7AAA</t>
        </is>
      </c>
      <c r="I111" s="4" t="n">
        <v>831004</v>
      </c>
      <c r="J111" s="4" t="inlineStr">
        <is>
          <t>EAST SINGHBUM</t>
        </is>
      </c>
      <c r="K111" s="4" t="inlineStr"/>
      <c r="L111" s="4" t="inlineStr">
        <is>
          <t>Influencer</t>
        </is>
      </c>
      <c r="M111" s="4" t="inlineStr">
        <is>
          <t>Got future date</t>
        </is>
      </c>
      <c r="N111" s="4" t="inlineStr">
        <is>
          <t>IHB CONTRACTOR USING RUNGTA TMT and kamdhenu TMT. Rates given 64000 landed through retailer.</t>
        </is>
      </c>
      <c r="O111" s="4" t="inlineStr">
        <is>
          <t>Will connect us on inquiry. Need time. Last purchase kamdhenu @ 57000 landed. Will connect us.</t>
        </is>
      </c>
      <c r="P111" s="4" t="inlineStr">
        <is>
          <t>IHB CONTRACTOR USING RUNGTA TMT and kamdhenu TMT. Rates given 64000 landed through retailer. | Will connect us on inquiry. Need time. Last purchase kamdhenu @ 57000 landed. Will connect us.</t>
        </is>
      </c>
      <c r="Q111" s="4">
        <f>LEN(TRIM(P111))-LEN(SUBSTITUTE(P111," ",""))+1</f>
        <v/>
      </c>
      <c r="R111" s="4" t="n">
        <v>22.8121302</v>
      </c>
      <c r="S111" s="4" t="n">
        <v>86.2151277</v>
      </c>
      <c r="T111" s="4">
        <f>COUNTIF($G$2:G111,G111)</f>
        <v/>
      </c>
      <c r="U111" s="4">
        <f>IF(F111&lt;5,"YES","NO")</f>
        <v/>
      </c>
      <c r="V111" s="4">
        <f>IF(AND(N111&lt;&gt;"",O111&lt;&gt;""),"YES","NO")</f>
        <v/>
      </c>
      <c r="W111" s="4">
        <f>IF(HOUR(D111)&lt;12,"Morning",IF(HOUR(D111)&lt;17,"Afternoon","Evening"))</f>
        <v/>
      </c>
      <c r="X111" s="4" t="n">
        <v>6</v>
      </c>
      <c r="Y111" s="4">
        <f>IF(F111&lt;5,"&lt;5 min",IF(F111&lt;15,"5-15 min",IF(F111&lt;30,"15-30 min","30+ min")))</f>
        <v/>
      </c>
    </row>
    <row r="112">
      <c r="A112" s="3" t="n">
        <v>45980</v>
      </c>
      <c r="B112" s="4" t="inlineStr">
        <is>
          <t>Wednesday</t>
        </is>
      </c>
      <c r="C112" s="4" t="inlineStr">
        <is>
          <t>Nov 25</t>
        </is>
      </c>
      <c r="D112" s="4" t="inlineStr">
        <is>
          <t>19/11/2025, 11:49 am</t>
        </is>
      </c>
      <c r="E112" s="4" t="inlineStr">
        <is>
          <t>19/11/2025, 11:50 am</t>
        </is>
      </c>
      <c r="F112" s="4">
        <f>(E112-D112)*24*60</f>
        <v/>
      </c>
      <c r="G112" s="4" t="inlineStr">
        <is>
          <t>M/S ANUP STORES</t>
        </is>
      </c>
      <c r="H112" s="4" t="inlineStr">
        <is>
          <t>001fw0000058fXnAAI</t>
        </is>
      </c>
      <c r="I112" s="4" t="n">
        <v>832303</v>
      </c>
      <c r="J112" s="4" t="inlineStr">
        <is>
          <t>EAST SINGHBUM</t>
        </is>
      </c>
      <c r="K112" s="4" t="inlineStr"/>
      <c r="L112" s="4" t="inlineStr">
        <is>
          <t>Retailer PB</t>
        </is>
      </c>
      <c r="M112" s="4" t="inlineStr">
        <is>
          <t>Got future date</t>
        </is>
      </c>
      <c r="N112" s="4" t="inlineStr">
        <is>
          <t>Dealer of panther tmt and rungta tmt. Potential of 80 mt. Rates given 53700 landed to the dealer.</t>
        </is>
      </c>
      <c r="O112" s="4" t="inlineStr">
        <is>
          <t>Need time for sharing inquiry. Waiting for demand from customers.</t>
        </is>
      </c>
      <c r="P112" s="4" t="inlineStr">
        <is>
          <t>Dealer of panther tmt and rungta tmt. Potential of 80 mt. Rates given 53700 landed to the dealer. | Need time for sharing inquiry. Waiting for demand from customers.</t>
        </is>
      </c>
      <c r="Q112" s="4">
        <f>LEN(TRIM(P112))-LEN(SUBSTITUTE(P112," ",""))+1</f>
        <v/>
      </c>
      <c r="R112" s="4" t="n">
        <v>22.811992</v>
      </c>
      <c r="S112" s="4" t="n">
        <v>86.215194</v>
      </c>
      <c r="T112" s="4">
        <f>COUNTIF($G$2:G112,G112)</f>
        <v/>
      </c>
      <c r="U112" s="4">
        <f>IF(F112&lt;5,"YES","NO")</f>
        <v/>
      </c>
      <c r="V112" s="4">
        <f>IF(AND(N112&lt;&gt;"",O112&lt;&gt;""),"YES","NO")</f>
        <v/>
      </c>
      <c r="W112" s="4">
        <f>IF(HOUR(D112)&lt;12,"Morning",IF(HOUR(D112)&lt;17,"Afternoon","Evening"))</f>
        <v/>
      </c>
      <c r="X112" s="4" t="n">
        <v>6</v>
      </c>
      <c r="Y112" s="4">
        <f>IF(F112&lt;5,"&lt;5 min",IF(F112&lt;15,"5-15 min",IF(F112&lt;30,"15-30 min","30+ min")))</f>
        <v/>
      </c>
    </row>
    <row r="113">
      <c r="A113" s="3" t="n">
        <v>46006</v>
      </c>
      <c r="B113" s="4" t="inlineStr">
        <is>
          <t>Monday</t>
        </is>
      </c>
      <c r="C113" s="4" t="inlineStr">
        <is>
          <t>Dec 25</t>
        </is>
      </c>
      <c r="D113" s="4" t="inlineStr">
        <is>
          <t>15/12/2025, 6:32 pm</t>
        </is>
      </c>
      <c r="E113" s="4" t="inlineStr">
        <is>
          <t>15/12/2025, 6:32 pm</t>
        </is>
      </c>
      <c r="F113" s="4">
        <f>(E113-D113)*24*60</f>
        <v/>
      </c>
      <c r="G113" s="4" t="inlineStr">
        <is>
          <t>M/S ANUP STORES</t>
        </is>
      </c>
      <c r="H113" s="4" t="inlineStr">
        <is>
          <t>001fw0000058fXnAAI</t>
        </is>
      </c>
      <c r="I113" s="4" t="n">
        <v>832303</v>
      </c>
      <c r="J113" s="4" t="inlineStr">
        <is>
          <t>EAST SINGHBUM</t>
        </is>
      </c>
      <c r="K113" s="4" t="inlineStr"/>
      <c r="L113" s="4" t="inlineStr">
        <is>
          <t>Retailer PB</t>
        </is>
      </c>
      <c r="M113" s="4" t="inlineStr">
        <is>
          <t>Got future date</t>
        </is>
      </c>
      <c r="N113" s="4" t="inlineStr">
        <is>
          <t>Dealer of Tata tiscon and rungta tmt. Rates given 56500 landed to the dealer. Will connect us.</t>
        </is>
      </c>
      <c r="O113" s="4" t="inlineStr">
        <is>
          <t>Will connect us as inquiry comes to him . Need time</t>
        </is>
      </c>
      <c r="P113" s="4" t="inlineStr">
        <is>
          <t>Dealer of Tata tiscon and rungta tmt. Rates given 56500 landed to the dealer. Will connect us. | Will connect us as inquiry comes to him . Need time</t>
        </is>
      </c>
      <c r="Q113" s="4">
        <f>LEN(TRIM(P113))-LEN(SUBSTITUTE(P113," ",""))+1</f>
        <v/>
      </c>
      <c r="R113" s="4" t="n">
        <v>22.8120952</v>
      </c>
      <c r="S113" s="4" t="n">
        <v>86.2151708</v>
      </c>
      <c r="T113" s="4">
        <f>COUNTIF($G$2:G113,G113)</f>
        <v/>
      </c>
      <c r="U113" s="4">
        <f>IF(F113&lt;5,"YES","NO")</f>
        <v/>
      </c>
      <c r="V113" s="4">
        <f>IF(AND(N113&lt;&gt;"",O113&lt;&gt;""),"YES","NO")</f>
        <v/>
      </c>
      <c r="W113" s="4">
        <f>IF(HOUR(D113)&lt;12,"Morning",IF(HOUR(D113)&lt;17,"Afternoon","Evening"))</f>
        <v/>
      </c>
      <c r="X113" s="4" t="n">
        <v>7</v>
      </c>
      <c r="Y113" s="4">
        <f>IF(F113&lt;5,"&lt;5 min",IF(F113&lt;15,"5-15 min",IF(F113&lt;30,"15-30 min","30+ min")))</f>
        <v/>
      </c>
    </row>
    <row r="114">
      <c r="A114" s="3" t="n">
        <v>46037</v>
      </c>
      <c r="B114" s="4" t="inlineStr">
        <is>
          <t>Thursday</t>
        </is>
      </c>
      <c r="C114" s="4" t="inlineStr">
        <is>
          <t>Jan 26</t>
        </is>
      </c>
      <c r="D114" s="4" t="inlineStr">
        <is>
          <t>15/01/2026, 12:06 pm</t>
        </is>
      </c>
      <c r="E114" s="4" t="inlineStr">
        <is>
          <t>15/01/2026, 12:08 pm</t>
        </is>
      </c>
      <c r="F114" s="4">
        <f>(E114-D114)*24*60</f>
        <v/>
      </c>
      <c r="G114" s="4" t="inlineStr">
        <is>
          <t>M/S ANUP STORES</t>
        </is>
      </c>
      <c r="H114" s="4" t="inlineStr">
        <is>
          <t>001fw0000058fXnAAI</t>
        </is>
      </c>
      <c r="I114" s="4" t="n">
        <v>832303</v>
      </c>
      <c r="J114" s="4" t="inlineStr">
        <is>
          <t>EAST SINGHBUM</t>
        </is>
      </c>
      <c r="K114" s="4" t="inlineStr"/>
      <c r="L114" s="4" t="inlineStr">
        <is>
          <t>Retailer PB</t>
        </is>
      </c>
      <c r="M114" s="4" t="inlineStr">
        <is>
          <t>Got future date</t>
        </is>
      </c>
      <c r="N114" s="4" t="inlineStr">
        <is>
          <t>Dealer of Tata tiscon and RUNGTA TMT. Rates given 61500 landed to the dealer.</t>
        </is>
      </c>
      <c r="O114" s="4" t="inlineStr">
        <is>
          <t>Rates are comparable but demand from CUSTUMER side is low. Need time. Last purchase rungta 42500 basic.</t>
        </is>
      </c>
      <c r="P114" s="4" t="inlineStr">
        <is>
          <t>Dealer of Tata tiscon and RUNGTA TMT. Rates given 61500 landed to the dealer. | Rates are comparable but demand from CUSTUMER side is low. Need time. Last purchase rungta 42500 basic.</t>
        </is>
      </c>
      <c r="Q114" s="4">
        <f>LEN(TRIM(P114))-LEN(SUBSTITUTE(P114," ",""))+1</f>
        <v/>
      </c>
      <c r="R114" s="4" t="n">
        <v>22.812105</v>
      </c>
      <c r="S114" s="4" t="n">
        <v>86.2151028</v>
      </c>
      <c r="T114" s="4">
        <f>COUNTIF($G$2:G114,G114)</f>
        <v/>
      </c>
      <c r="U114" s="4">
        <f>IF(F114&lt;5,"YES","NO")</f>
        <v/>
      </c>
      <c r="V114" s="4">
        <f>IF(AND(N114&lt;&gt;"",O114&lt;&gt;""),"YES","NO")</f>
        <v/>
      </c>
      <c r="W114" s="4">
        <f>IF(HOUR(D114)&lt;12,"Morning",IF(HOUR(D114)&lt;17,"Afternoon","Evening"))</f>
        <v/>
      </c>
      <c r="X114" s="4" t="n">
        <v>6</v>
      </c>
      <c r="Y114" s="4">
        <f>IF(F114&lt;5,"&lt;5 min",IF(F114&lt;15,"5-15 min",IF(F114&lt;30,"15-30 min","30+ min")))</f>
        <v/>
      </c>
    </row>
    <row r="115">
      <c r="A115" s="3" t="n">
        <v>45968</v>
      </c>
      <c r="B115" s="4" t="inlineStr">
        <is>
          <t>Friday</t>
        </is>
      </c>
      <c r="C115" s="4" t="inlineStr">
        <is>
          <t>Nov 25</t>
        </is>
      </c>
      <c r="D115" s="4" t="inlineStr">
        <is>
          <t>07/11/2025, 3:40 pm</t>
        </is>
      </c>
      <c r="E115" s="4" t="inlineStr">
        <is>
          <t>07/11/2025, 3:45 pm</t>
        </is>
      </c>
      <c r="F115" s="4">
        <f>(E115-D115)*24*60</f>
        <v/>
      </c>
      <c r="G115" s="4" t="inlineStr">
        <is>
          <t>M/S BIJAYSHREE ENTERPRISES</t>
        </is>
      </c>
      <c r="H115" s="4" t="inlineStr">
        <is>
          <t>001fw000004j8DgAAI</t>
        </is>
      </c>
      <c r="I115" s="4" t="n">
        <v>831012</v>
      </c>
      <c r="J115" s="4" t="inlineStr">
        <is>
          <t>EAST SINGHBUM</t>
        </is>
      </c>
      <c r="K115" s="4" t="inlineStr"/>
      <c r="L115" s="4" t="inlineStr">
        <is>
          <t>Retailer PB</t>
        </is>
      </c>
      <c r="M115" s="4" t="inlineStr">
        <is>
          <t>Got future date</t>
        </is>
      </c>
      <c r="N115" s="4" t="inlineStr">
        <is>
          <t>Dealer of Tata steel and rungta tmt . Rates given 57000 landed 12 mm .</t>
        </is>
      </c>
      <c r="O115" s="4" t="inlineStr">
        <is>
          <t>Will give us inquiry as soon as possible. Waiting for customer.</t>
        </is>
      </c>
      <c r="P115" s="4" t="inlineStr">
        <is>
          <t>Dealer of Tata steel and rungta tmt . Rates given 57000 landed 12 mm . | Will give us inquiry as soon as possible. Waiting for customer.</t>
        </is>
      </c>
      <c r="Q115" s="4">
        <f>LEN(TRIM(P115))-LEN(SUBSTITUTE(P115," ",""))+1</f>
        <v/>
      </c>
      <c r="R115" s="4" t="n">
        <v>22.8251051</v>
      </c>
      <c r="S115" s="4" t="n">
        <v>86.222649</v>
      </c>
      <c r="T115" s="4">
        <f>COUNTIF($G$2:G115,G115)</f>
        <v/>
      </c>
      <c r="U115" s="4">
        <f>IF(F115&lt;5,"YES","NO")</f>
        <v/>
      </c>
      <c r="V115" s="4">
        <f>IF(AND(N115&lt;&gt;"",O115&lt;&gt;""),"YES","NO")</f>
        <v/>
      </c>
      <c r="W115" s="4">
        <f>IF(HOUR(D115)&lt;12,"Morning",IF(HOUR(D115)&lt;17,"Afternoon","Evening"))</f>
        <v/>
      </c>
      <c r="X115" s="4" t="n">
        <v>6</v>
      </c>
      <c r="Y115" s="4">
        <f>IF(F115&lt;5,"&lt;5 min",IF(F115&lt;15,"5-15 min",IF(F115&lt;30,"15-30 min","30+ min")))</f>
        <v/>
      </c>
    </row>
    <row r="116">
      <c r="A116" s="3" t="n">
        <v>45980</v>
      </c>
      <c r="B116" s="4" t="inlineStr">
        <is>
          <t>Wednesday</t>
        </is>
      </c>
      <c r="C116" s="4" t="inlineStr">
        <is>
          <t>Nov 25</t>
        </is>
      </c>
      <c r="D116" s="4" t="inlineStr">
        <is>
          <t>19/11/2025, 7:23 pm</t>
        </is>
      </c>
      <c r="E116" s="4" t="inlineStr">
        <is>
          <t>19/11/2025, 7:25 pm</t>
        </is>
      </c>
      <c r="F116" s="4">
        <f>(E116-D116)*24*60</f>
        <v/>
      </c>
      <c r="G116" s="4" t="inlineStr">
        <is>
          <t>M/S BIJAYSHREE ENTERPRISES</t>
        </is>
      </c>
      <c r="H116" s="4" t="inlineStr">
        <is>
          <t>001fw000004j8DgAAI</t>
        </is>
      </c>
      <c r="I116" s="4" t="n">
        <v>831012</v>
      </c>
      <c r="J116" s="4" t="inlineStr">
        <is>
          <t>EAST SINGHBUM</t>
        </is>
      </c>
      <c r="K116" s="4" t="inlineStr"/>
      <c r="L116" s="4" t="inlineStr">
        <is>
          <t>Retailer PB</t>
        </is>
      </c>
      <c r="M116" s="4" t="inlineStr">
        <is>
          <t>Got future date</t>
        </is>
      </c>
      <c r="N116" s="4" t="inlineStr">
        <is>
          <t>Dealer of tiscon and rungta tmt. Rates given 54000 landed to the dealer. Inquiry expected . Within this week.</t>
        </is>
      </c>
      <c r="O116" s="4" t="inlineStr">
        <is>
          <t>Will connect us when inquiry comes from customer. Selling tiscon @ 71</t>
        </is>
      </c>
      <c r="P116" s="4" t="inlineStr">
        <is>
          <t>Dealer of tiscon and rungta tmt. Rates given 54000 landed to the dealer. Inquiry expected . Within this week. | Will connect us when inquiry comes from customer. Selling tiscon @ 71</t>
        </is>
      </c>
      <c r="Q116" s="4">
        <f>LEN(TRIM(P116))-LEN(SUBSTITUTE(P116," ",""))+1</f>
        <v/>
      </c>
      <c r="R116" s="4" t="n">
        <v>22.8250911</v>
      </c>
      <c r="S116" s="4" t="n">
        <v>86.2227109</v>
      </c>
      <c r="T116" s="4">
        <f>COUNTIF($G$2:G116,G116)</f>
        <v/>
      </c>
      <c r="U116" s="4">
        <f>IF(F116&lt;5,"YES","NO")</f>
        <v/>
      </c>
      <c r="V116" s="4">
        <f>IF(AND(N116&lt;&gt;"",O116&lt;&gt;""),"YES","NO")</f>
        <v/>
      </c>
      <c r="W116" s="4">
        <f>IF(HOUR(D116)&lt;12,"Morning",IF(HOUR(D116)&lt;17,"Afternoon","Evening"))</f>
        <v/>
      </c>
      <c r="X116" s="4" t="n">
        <v>6</v>
      </c>
      <c r="Y116" s="4">
        <f>IF(F116&lt;5,"&lt;5 min",IF(F116&lt;15,"5-15 min",IF(F116&lt;30,"15-30 min","30+ min")))</f>
        <v/>
      </c>
    </row>
    <row r="117">
      <c r="A117" s="3" t="n">
        <v>45992</v>
      </c>
      <c r="B117" s="4" t="inlineStr">
        <is>
          <t>Monday</t>
        </is>
      </c>
      <c r="C117" s="4" t="inlineStr">
        <is>
          <t>Dec 25</t>
        </is>
      </c>
      <c r="D117" s="4" t="inlineStr">
        <is>
          <t>01/12/2025, 8:02 pm</t>
        </is>
      </c>
      <c r="E117" s="4" t="inlineStr">
        <is>
          <t>01/12/2025, 8:05 pm</t>
        </is>
      </c>
      <c r="F117" s="4">
        <f>(E117-D117)*24*60</f>
        <v/>
      </c>
      <c r="G117" s="4" t="inlineStr">
        <is>
          <t>M/S BIJAYSHREE ENTERPRISES</t>
        </is>
      </c>
      <c r="H117" s="4" t="inlineStr">
        <is>
          <t>001fw000004j8DgAAI</t>
        </is>
      </c>
      <c r="I117" s="4" t="n">
        <v>831012</v>
      </c>
      <c r="J117" s="4" t="inlineStr">
        <is>
          <t>EAST SINGHBUM</t>
        </is>
      </c>
      <c r="K117" s="4" t="inlineStr"/>
      <c r="L117" s="4" t="inlineStr">
        <is>
          <t>Retailer PB</t>
        </is>
      </c>
      <c r="M117" s="4" t="inlineStr">
        <is>
          <t>Got future date</t>
        </is>
      </c>
      <c r="N117" s="4" t="inlineStr">
        <is>
          <t>Dealer of Tata tiscon and rungta tmt. Potential of 70 mt .rates given 55000 landed to customer.</t>
        </is>
      </c>
      <c r="O117" s="4" t="inlineStr">
        <is>
          <t>Owner not available will connect in next week. Asking to wait</t>
        </is>
      </c>
      <c r="P117" s="4" t="inlineStr">
        <is>
          <t>Dealer of Tata tiscon and rungta tmt. Potential of 70 mt .rates given 55000 landed to customer. | Owner not available will connect in next week. Asking to wait</t>
        </is>
      </c>
      <c r="Q117" s="4">
        <f>LEN(TRIM(P117))-LEN(SUBSTITUTE(P117," ",""))+1</f>
        <v/>
      </c>
      <c r="R117" s="4" t="n">
        <v>22.8315376</v>
      </c>
      <c r="S117" s="4" t="n">
        <v>86.22676</v>
      </c>
      <c r="T117" s="4">
        <f>COUNTIF($G$2:G117,G117)</f>
        <v/>
      </c>
      <c r="U117" s="4">
        <f>IF(F117&lt;5,"YES","NO")</f>
        <v/>
      </c>
      <c r="V117" s="4">
        <f>IF(AND(N117&lt;&gt;"",O117&lt;&gt;""),"YES","NO")</f>
        <v/>
      </c>
      <c r="W117" s="4">
        <f>IF(HOUR(D117)&lt;12,"Morning",IF(HOUR(D117)&lt;17,"Afternoon","Evening"))</f>
        <v/>
      </c>
      <c r="X117" s="4" t="n">
        <v>6</v>
      </c>
      <c r="Y117" s="4">
        <f>IF(F117&lt;5,"&lt;5 min",IF(F117&lt;15,"5-15 min",IF(F117&lt;30,"15-30 min","30+ min")))</f>
        <v/>
      </c>
    </row>
    <row r="118">
      <c r="A118" s="3" t="n">
        <v>46020</v>
      </c>
      <c r="B118" s="4" t="inlineStr">
        <is>
          <t>Monday</t>
        </is>
      </c>
      <c r="C118" s="4" t="inlineStr">
        <is>
          <t>Dec 25</t>
        </is>
      </c>
      <c r="D118" s="4" t="inlineStr">
        <is>
          <t>29/12/2025, 7:54 pm</t>
        </is>
      </c>
      <c r="E118" s="4" t="inlineStr">
        <is>
          <t>29/12/2025, 7:57 pm</t>
        </is>
      </c>
      <c r="F118" s="4">
        <f>(E118-D118)*24*60</f>
        <v/>
      </c>
      <c r="G118" s="4" t="inlineStr">
        <is>
          <t>M/S BIJAYSHREE ENTERPRISES</t>
        </is>
      </c>
      <c r="H118" s="4" t="inlineStr">
        <is>
          <t>001fw000004j8DgAAI</t>
        </is>
      </c>
      <c r="I118" s="4" t="n">
        <v>831012</v>
      </c>
      <c r="J118" s="4" t="inlineStr">
        <is>
          <t>EAST SINGHBUM</t>
        </is>
      </c>
      <c r="K118" s="4" t="inlineStr"/>
      <c r="L118" s="4" t="inlineStr">
        <is>
          <t>Retailer PB</t>
        </is>
      </c>
      <c r="M118" s="4" t="inlineStr">
        <is>
          <t>Got future date</t>
        </is>
      </c>
      <c r="N118" s="4" t="inlineStr">
        <is>
          <t>Dealer of Tata tiscon and rungta tmt. Rates given 57000 landed . Currently purchased Tata @ 70 landed.</t>
        </is>
      </c>
      <c r="O118" s="4" t="inlineStr">
        <is>
          <t>Will connect us when inquiry comes . Communicating brand to the end custumer for demand generation will let us know.</t>
        </is>
      </c>
      <c r="P118" s="4" t="inlineStr">
        <is>
          <t>Dealer of Tata tiscon and rungta tmt. Rates given 57000 landed . Currently purchased Tata @ 70 landed. | Will connect us when inquiry comes . Communicating brand to the end custumer for demand generation will let us know.</t>
        </is>
      </c>
      <c r="Q118" s="4">
        <f>LEN(TRIM(P118))-LEN(SUBSTITUTE(P118," ",""))+1</f>
        <v/>
      </c>
      <c r="R118" s="4" t="n">
        <v>22.8249141</v>
      </c>
      <c r="S118" s="4" t="n">
        <v>86.22271859999999</v>
      </c>
      <c r="T118" s="4">
        <f>COUNTIF($G$2:G118,G118)</f>
        <v/>
      </c>
      <c r="U118" s="4">
        <f>IF(F118&lt;5,"YES","NO")</f>
        <v/>
      </c>
      <c r="V118" s="4">
        <f>IF(AND(N118&lt;&gt;"",O118&lt;&gt;""),"YES","NO")</f>
        <v/>
      </c>
      <c r="W118" s="4">
        <f>IF(HOUR(D118)&lt;12,"Morning",IF(HOUR(D118)&lt;17,"Afternoon","Evening"))</f>
        <v/>
      </c>
      <c r="X118" s="4" t="n">
        <v>6</v>
      </c>
      <c r="Y118" s="4">
        <f>IF(F118&lt;5,"&lt;5 min",IF(F118&lt;15,"5-15 min",IF(F118&lt;30,"15-30 min","30+ min")))</f>
        <v/>
      </c>
    </row>
    <row r="119">
      <c r="A119" s="3" t="n">
        <v>46043</v>
      </c>
      <c r="B119" s="4" t="inlineStr">
        <is>
          <t>Wednesday</t>
        </is>
      </c>
      <c r="C119" s="4" t="inlineStr">
        <is>
          <t>Jan 26</t>
        </is>
      </c>
      <c r="D119" s="4" t="inlineStr">
        <is>
          <t>21/01/2026, 6:29 pm</t>
        </is>
      </c>
      <c r="E119" s="4" t="inlineStr">
        <is>
          <t>21/01/2026, 6:30 pm</t>
        </is>
      </c>
      <c r="F119" s="4">
        <f>(E119-D119)*24*60</f>
        <v/>
      </c>
      <c r="G119" s="4" t="inlineStr">
        <is>
          <t>M/S BIJAYSHREE ENTERPRISES</t>
        </is>
      </c>
      <c r="H119" s="4" t="inlineStr">
        <is>
          <t>001fw000004j8DgAAI</t>
        </is>
      </c>
      <c r="I119" s="4" t="n">
        <v>831012</v>
      </c>
      <c r="J119" s="4" t="inlineStr">
        <is>
          <t>EAST SINGHBUM</t>
        </is>
      </c>
      <c r="K119" s="4" t="inlineStr"/>
      <c r="L119" s="4" t="inlineStr">
        <is>
          <t>Retailer PB</t>
        </is>
      </c>
      <c r="M119" s="4" t="inlineStr">
        <is>
          <t>Got future date</t>
        </is>
      </c>
      <c r="N119" s="4" t="inlineStr">
        <is>
          <t>Dealer of Tata tiscon and RUNGTA TMT. Rates given 62500 landed to the CUSTUMER.</t>
        </is>
      </c>
      <c r="O119" s="4" t="inlineStr">
        <is>
          <t>Will connect us on inquiry received from direct site. Will float rates to the IHB projects. Purchase rungta last for @ 51 landed</t>
        </is>
      </c>
      <c r="P119" s="4" t="inlineStr">
        <is>
          <t>Dealer of Tata tiscon and RUNGTA TMT. Rates given 62500 landed to the CUSTUMER. | Will connect us on inquiry received from direct site. Will float rates to the IHB projects. Purchase rungta last for @ 51 landed</t>
        </is>
      </c>
      <c r="Q119" s="4">
        <f>LEN(TRIM(P119))-LEN(SUBSTITUTE(P119," ",""))+1</f>
        <v/>
      </c>
      <c r="R119" s="4" t="n">
        <v>22.8250317</v>
      </c>
      <c r="S119" s="4" t="n">
        <v>86.2226982</v>
      </c>
      <c r="T119" s="4">
        <f>COUNTIF($G$2:G119,G119)</f>
        <v/>
      </c>
      <c r="U119" s="4">
        <f>IF(F119&lt;5,"YES","NO")</f>
        <v/>
      </c>
      <c r="V119" s="4">
        <f>IF(AND(N119&lt;&gt;"",O119&lt;&gt;""),"YES","NO")</f>
        <v/>
      </c>
      <c r="W119" s="4">
        <f>IF(HOUR(D119)&lt;12,"Morning",IF(HOUR(D119)&lt;17,"Afternoon","Evening"))</f>
        <v/>
      </c>
      <c r="X119" s="4" t="n">
        <v>6</v>
      </c>
      <c r="Y119" s="4">
        <f>IF(F119&lt;5,"&lt;5 min",IF(F119&lt;15,"5-15 min",IF(F119&lt;30,"15-30 min","30+ min")))</f>
        <v/>
      </c>
    </row>
    <row r="120">
      <c r="A120" s="3" t="n">
        <v>45995</v>
      </c>
      <c r="B120" s="4" t="inlineStr">
        <is>
          <t>Thursday</t>
        </is>
      </c>
      <c r="C120" s="4" t="inlineStr">
        <is>
          <t>Dec 25</t>
        </is>
      </c>
      <c r="D120" s="4" t="inlineStr">
        <is>
          <t>04/12/2025, 5:16 pm</t>
        </is>
      </c>
      <c r="E120" s="4" t="inlineStr">
        <is>
          <t>04/12/2025, 5:18 pm</t>
        </is>
      </c>
      <c r="F120" s="4">
        <f>(E120-D120)*24*60</f>
        <v/>
      </c>
      <c r="G120" s="4" t="inlineStr">
        <is>
          <t>M/S CKP STEEL</t>
        </is>
      </c>
      <c r="H120" s="4" t="inlineStr">
        <is>
          <t>001fw00000EVCGCAA5</t>
        </is>
      </c>
      <c r="I120" s="4" t="n">
        <v>833102</v>
      </c>
      <c r="J120" s="4" t="inlineStr">
        <is>
          <t>WEST SINGHBHUM</t>
        </is>
      </c>
      <c r="K120" s="4" t="inlineStr"/>
      <c r="L120" s="4" t="inlineStr">
        <is>
          <t>Retailer PB</t>
        </is>
      </c>
      <c r="M120" s="4" t="inlineStr">
        <is>
          <t>Account created</t>
        </is>
      </c>
      <c r="N120" s="4" t="inlineStr">
        <is>
          <t>Dealer of Tata tiscon and rungta tmt . Potential of 100 mt . Will connect us later. Asking to give regular rates.</t>
        </is>
      </c>
      <c r="O120" s="4" t="inlineStr">
        <is>
          <t>Will connect us when he will decide to give us inquiry within this week .</t>
        </is>
      </c>
      <c r="P120" s="4" t="inlineStr">
        <is>
          <t>Dealer of Tata tiscon and rungta tmt . Potential of 100 mt . Will connect us later. Asking to give regular rates. | Will connect us when he will decide to give us inquiry within this week .</t>
        </is>
      </c>
      <c r="Q120" s="4">
        <f>LEN(TRIM(P120))-LEN(SUBSTITUTE(P120," ",""))+1</f>
        <v/>
      </c>
      <c r="R120" s="4" t="n">
        <v>22.6866479</v>
      </c>
      <c r="S120" s="4" t="n">
        <v>85.62116260000001</v>
      </c>
      <c r="T120" s="4">
        <f>COUNTIF($G$2:G120,G120)</f>
        <v/>
      </c>
      <c r="U120" s="4">
        <f>IF(F120&lt;5,"YES","NO")</f>
        <v/>
      </c>
      <c r="V120" s="4">
        <f>IF(AND(N120&lt;&gt;"",O120&lt;&gt;""),"YES","NO")</f>
        <v/>
      </c>
      <c r="W120" s="4">
        <f>IF(HOUR(D120)&lt;12,"Morning",IF(HOUR(D120)&lt;17,"Afternoon","Evening"))</f>
        <v/>
      </c>
      <c r="X120" s="4" t="n">
        <v>6</v>
      </c>
      <c r="Y120" s="4">
        <f>IF(F120&lt;5,"&lt;5 min",IF(F120&lt;15,"5-15 min",IF(F120&lt;30,"15-30 min","30+ min")))</f>
        <v/>
      </c>
    </row>
    <row r="121">
      <c r="A121" s="3" t="n">
        <v>46015</v>
      </c>
      <c r="B121" s="4" t="inlineStr">
        <is>
          <t>Wednesday</t>
        </is>
      </c>
      <c r="C121" s="4" t="inlineStr">
        <is>
          <t>Dec 25</t>
        </is>
      </c>
      <c r="D121" s="4" t="inlineStr">
        <is>
          <t>24/12/2025, 5:10 pm</t>
        </is>
      </c>
      <c r="E121" s="4" t="inlineStr">
        <is>
          <t>24/12/2025, 5:11 pm</t>
        </is>
      </c>
      <c r="F121" s="4">
        <f>(E121-D121)*24*60</f>
        <v/>
      </c>
      <c r="G121" s="4" t="inlineStr">
        <is>
          <t>M/S DHARAM BHAGWATI STEEL PRIVATE LIMITED</t>
        </is>
      </c>
      <c r="H121" s="4" t="inlineStr">
        <is>
          <t>001J100000VnrNsIAJ</t>
        </is>
      </c>
      <c r="I121" s="4" t="n">
        <v>831012</v>
      </c>
      <c r="J121" s="4" t="inlineStr">
        <is>
          <t>EAST SINGHBUM</t>
        </is>
      </c>
      <c r="K121" s="4" t="inlineStr"/>
      <c r="L121" s="4" t="inlineStr">
        <is>
          <t>Retailer PB</t>
        </is>
      </c>
      <c r="M121" s="4" t="inlineStr">
        <is>
          <t>Got future date</t>
        </is>
      </c>
      <c r="N121" s="4" t="inlineStr">
        <is>
          <t>Dealer of kamdhenu tmt , panther and rungta tmt . Rates given 57000 landed .</t>
        </is>
      </c>
      <c r="O121" s="4" t="inlineStr">
        <is>
          <t>Will connect us when requirements comes to him need time for the same.</t>
        </is>
      </c>
      <c r="P121" s="4" t="inlineStr">
        <is>
          <t>Dealer of kamdhenu tmt , panther and rungta tmt . Rates given 57000 landed . | Will connect us when requirements comes to him need time for the same.</t>
        </is>
      </c>
      <c r="Q121" s="4">
        <f>LEN(TRIM(P121))-LEN(SUBSTITUTE(P121," ",""))+1</f>
        <v/>
      </c>
      <c r="R121" s="4" t="n">
        <v>22.8403725</v>
      </c>
      <c r="S121" s="4" t="n">
        <v>86.2240243</v>
      </c>
      <c r="T121" s="4">
        <f>COUNTIF($G$2:G121,G121)</f>
        <v/>
      </c>
      <c r="U121" s="4">
        <f>IF(F121&lt;5,"YES","NO")</f>
        <v/>
      </c>
      <c r="V121" s="4">
        <f>IF(AND(N121&lt;&gt;"",O121&lt;&gt;""),"YES","NO")</f>
        <v/>
      </c>
      <c r="W121" s="4">
        <f>IF(HOUR(D121)&lt;12,"Morning",IF(HOUR(D121)&lt;17,"Afternoon","Evening"))</f>
        <v/>
      </c>
      <c r="X121" s="4" t="n">
        <v>8</v>
      </c>
      <c r="Y121" s="4">
        <f>IF(F121&lt;5,"&lt;5 min",IF(F121&lt;15,"5-15 min",IF(F121&lt;30,"15-30 min","30+ min")))</f>
        <v/>
      </c>
    </row>
    <row r="122">
      <c r="A122" s="3" t="n">
        <v>45986</v>
      </c>
      <c r="B122" s="4" t="inlineStr">
        <is>
          <t>Tuesday</t>
        </is>
      </c>
      <c r="C122" s="4" t="inlineStr">
        <is>
          <t>Nov 25</t>
        </is>
      </c>
      <c r="D122" s="4" t="inlineStr">
        <is>
          <t>25/11/2025, 12:57 pm</t>
        </is>
      </c>
      <c r="E122" s="4" t="inlineStr">
        <is>
          <t>25/11/2025, 12:59 pm</t>
        </is>
      </c>
      <c r="F122" s="4">
        <f>(E122-D122)*24*60</f>
        <v/>
      </c>
      <c r="G122" s="4" t="inlineStr">
        <is>
          <t>M/S FATMA TRADERS</t>
        </is>
      </c>
      <c r="H122" s="4" t="inlineStr">
        <is>
          <t>001J100000VnqISIAZ</t>
        </is>
      </c>
      <c r="I122" s="4" t="n">
        <v>831012</v>
      </c>
      <c r="J122" s="4" t="inlineStr">
        <is>
          <t>EAST SINGHBUM</t>
        </is>
      </c>
      <c r="K122" s="4" t="inlineStr"/>
      <c r="L122" s="4" t="inlineStr">
        <is>
          <t>Retailer PB</t>
        </is>
      </c>
      <c r="M122" s="4" t="inlineStr">
        <is>
          <t>Got future date</t>
        </is>
      </c>
      <c r="N122" s="4" t="inlineStr">
        <is>
          <t>Dealer of panther tmt Tata tiscon rungta tmt. Rates shared 54500 landed. Will confirm in 2 days</t>
        </is>
      </c>
      <c r="O122" s="4" t="inlineStr">
        <is>
          <t>Rates are workable will give us call back on demand.</t>
        </is>
      </c>
      <c r="P122" s="4" t="inlineStr">
        <is>
          <t>Dealer of panther tmt Tata tiscon rungta tmt. Rates shared 54500 landed. Will confirm in 2 days | Rates are workable will give us call back on demand.</t>
        </is>
      </c>
      <c r="Q122" s="4">
        <f>LEN(TRIM(P122))-LEN(SUBSTITUTE(P122," ",""))+1</f>
        <v/>
      </c>
      <c r="R122" s="4" t="n">
        <v>22.8336632</v>
      </c>
      <c r="S122" s="4" t="n">
        <v>86.20229980000001</v>
      </c>
      <c r="T122" s="4">
        <f>COUNTIF($G$2:G122,G122)</f>
        <v/>
      </c>
      <c r="U122" s="4">
        <f>IF(F122&lt;5,"YES","NO")</f>
        <v/>
      </c>
      <c r="V122" s="4">
        <f>IF(AND(N122&lt;&gt;"",O122&lt;&gt;""),"YES","NO")</f>
        <v/>
      </c>
      <c r="W122" s="4">
        <f>IF(HOUR(D122)&lt;12,"Morning",IF(HOUR(D122)&lt;17,"Afternoon","Evening"))</f>
        <v/>
      </c>
      <c r="X122" s="4" t="n">
        <v>7</v>
      </c>
      <c r="Y122" s="4">
        <f>IF(F122&lt;5,"&lt;5 min",IF(F122&lt;15,"5-15 min",IF(F122&lt;30,"15-30 min","30+ min")))</f>
        <v/>
      </c>
    </row>
    <row r="123">
      <c r="A123" s="3" t="n">
        <v>45999</v>
      </c>
      <c r="B123" s="4" t="inlineStr">
        <is>
          <t>Monday</t>
        </is>
      </c>
      <c r="C123" s="4" t="inlineStr">
        <is>
          <t>Dec 25</t>
        </is>
      </c>
      <c r="D123" s="4" t="inlineStr">
        <is>
          <t>08/12/2025, 5:36 pm</t>
        </is>
      </c>
      <c r="E123" s="4" t="inlineStr">
        <is>
          <t>08/12/2025, 5:38 pm</t>
        </is>
      </c>
      <c r="F123" s="4">
        <f>(E123-D123)*24*60</f>
        <v/>
      </c>
      <c r="G123" s="4" t="inlineStr">
        <is>
          <t>M/S FATMA TRADERS</t>
        </is>
      </c>
      <c r="H123" s="4" t="inlineStr">
        <is>
          <t>001J100000VnqISIAZ</t>
        </is>
      </c>
      <c r="I123" s="4" t="n">
        <v>831012</v>
      </c>
      <c r="J123" s="4" t="inlineStr">
        <is>
          <t>EAST SINGHBUM</t>
        </is>
      </c>
      <c r="K123" s="4" t="inlineStr"/>
      <c r="L123" s="4" t="inlineStr">
        <is>
          <t>Retailer PB</t>
        </is>
      </c>
      <c r="M123" s="4" t="inlineStr">
        <is>
          <t>Got future date</t>
        </is>
      </c>
      <c r="N123" s="4" t="inlineStr">
        <is>
          <t>Dealer of panther rugta and tiscon Tata . Rates given 55500 landed to the custumer</t>
        </is>
      </c>
      <c r="O123" s="4" t="inlineStr">
        <is>
          <t>Will connect us later. Need time to start with us . Rugta rates 50000 giving to custumer.</t>
        </is>
      </c>
      <c r="P123" s="4" t="inlineStr">
        <is>
          <t>Dealer of panther rugta and tiscon Tata . Rates given 55500 landed to the custumer | Will connect us later. Need time to start with us . Rugta rates 50000 giving to custumer.</t>
        </is>
      </c>
      <c r="Q123" s="4">
        <f>LEN(TRIM(P123))-LEN(SUBSTITUTE(P123," ",""))+1</f>
        <v/>
      </c>
      <c r="R123" s="4" t="n">
        <v>22.833106</v>
      </c>
      <c r="S123" s="4" t="n">
        <v>86.2025488</v>
      </c>
      <c r="T123" s="4">
        <f>COUNTIF($G$2:G123,G123)</f>
        <v/>
      </c>
      <c r="U123" s="4">
        <f>IF(F123&lt;5,"YES","NO")</f>
        <v/>
      </c>
      <c r="V123" s="4">
        <f>IF(AND(N123&lt;&gt;"",O123&lt;&gt;""),"YES","NO")</f>
        <v/>
      </c>
      <c r="W123" s="4">
        <f>IF(HOUR(D123)&lt;12,"Morning",IF(HOUR(D123)&lt;17,"Afternoon","Evening"))</f>
        <v/>
      </c>
      <c r="X123" s="4" t="n">
        <v>6</v>
      </c>
      <c r="Y123" s="4">
        <f>IF(F123&lt;5,"&lt;5 min",IF(F123&lt;15,"5-15 min",IF(F123&lt;30,"15-30 min","30+ min")))</f>
        <v/>
      </c>
    </row>
    <row r="124">
      <c r="A124" s="3" t="n">
        <v>46036</v>
      </c>
      <c r="B124" s="4" t="inlineStr">
        <is>
          <t>Wednesday</t>
        </is>
      </c>
      <c r="C124" s="4" t="inlineStr">
        <is>
          <t>Jan 26</t>
        </is>
      </c>
      <c r="D124" s="4" t="inlineStr">
        <is>
          <t>14/01/2026, 5:16 pm</t>
        </is>
      </c>
      <c r="E124" s="4" t="inlineStr">
        <is>
          <t>14/01/2026, 5:18 pm</t>
        </is>
      </c>
      <c r="F124" s="4">
        <f>(E124-D124)*24*60</f>
        <v/>
      </c>
      <c r="G124" s="4" t="inlineStr">
        <is>
          <t>M/S FATMA TRADERS</t>
        </is>
      </c>
      <c r="H124" s="4" t="inlineStr">
        <is>
          <t>001J100000VnqISIAZ</t>
        </is>
      </c>
      <c r="I124" s="4" t="n">
        <v>831012</v>
      </c>
      <c r="J124" s="4" t="inlineStr">
        <is>
          <t>EAST SINGHBUM</t>
        </is>
      </c>
      <c r="K124" s="4" t="inlineStr"/>
      <c r="L124" s="4" t="inlineStr">
        <is>
          <t>Retailer PB</t>
        </is>
      </c>
      <c r="M124" s="4" t="inlineStr">
        <is>
          <t>Got future date</t>
        </is>
      </c>
      <c r="N124" s="4" t="inlineStr">
        <is>
          <t>Dealer of panther, Tata tiscon rungta tmt . Rates given 61500 landed to the CUSTUMER.</t>
        </is>
      </c>
      <c r="O124" s="4" t="inlineStr">
        <is>
          <t>Will connect us on inquiry received from end CUSTUMER.</t>
        </is>
      </c>
      <c r="P124" s="4" t="inlineStr">
        <is>
          <t>Dealer of panther, Tata tiscon rungta tmt . Rates given 61500 landed to the CUSTUMER. | Will connect us on inquiry received from end CUSTUMER.</t>
        </is>
      </c>
      <c r="Q124" s="4">
        <f>LEN(TRIM(P124))-LEN(SUBSTITUTE(P124," ",""))+1</f>
        <v/>
      </c>
      <c r="R124" s="4" t="n">
        <v>22.8309169</v>
      </c>
      <c r="S124" s="4" t="n">
        <v>86.20167120000001</v>
      </c>
      <c r="T124" s="4">
        <f>COUNTIF($G$2:G124,G124)</f>
        <v/>
      </c>
      <c r="U124" s="4">
        <f>IF(F124&lt;5,"YES","NO")</f>
        <v/>
      </c>
      <c r="V124" s="4">
        <f>IF(AND(N124&lt;&gt;"",O124&lt;&gt;""),"YES","NO")</f>
        <v/>
      </c>
      <c r="W124" s="4">
        <f>IF(HOUR(D124)&lt;12,"Morning",IF(HOUR(D124)&lt;17,"Afternoon","Evening"))</f>
        <v/>
      </c>
      <c r="X124" s="4" t="n">
        <v>6</v>
      </c>
      <c r="Y124" s="4">
        <f>IF(F124&lt;5,"&lt;5 min",IF(F124&lt;15,"5-15 min",IF(F124&lt;30,"15-30 min","30+ min")))</f>
        <v/>
      </c>
    </row>
    <row r="125">
      <c r="A125" s="3" t="n">
        <v>46014</v>
      </c>
      <c r="B125" s="4" t="inlineStr">
        <is>
          <t>Tuesday</t>
        </is>
      </c>
      <c r="C125" s="4" t="inlineStr">
        <is>
          <t>Dec 25</t>
        </is>
      </c>
      <c r="D125" s="4" t="inlineStr">
        <is>
          <t>23/12/2025, 6:40 pm</t>
        </is>
      </c>
      <c r="E125" s="4" t="inlineStr">
        <is>
          <t>23/12/2025, 6:42 pm</t>
        </is>
      </c>
      <c r="F125" s="4">
        <f>(E125-D125)*24*60</f>
        <v/>
      </c>
      <c r="G125" s="4" t="inlineStr">
        <is>
          <t>M/S GARG STEEL TRADERS</t>
        </is>
      </c>
      <c r="H125" s="4" t="inlineStr">
        <is>
          <t>001fw000006fxvAAAQ</t>
        </is>
      </c>
      <c r="I125" s="4" t="n">
        <v>831002</v>
      </c>
      <c r="J125" s="4" t="inlineStr">
        <is>
          <t>EAST SINGHBUM</t>
        </is>
      </c>
      <c r="K125" s="4" t="inlineStr"/>
      <c r="L125" s="4" t="inlineStr">
        <is>
          <t>Retailer PB</t>
        </is>
      </c>
      <c r="M125" s="4" t="inlineStr">
        <is>
          <t>Got future date</t>
        </is>
      </c>
      <c r="N125" s="4" t="inlineStr">
        <is>
          <t>Dealer of msp and rungta tmt. Rates given 57000 landed to the custumer.</t>
        </is>
      </c>
      <c r="O125" s="4" t="inlineStr">
        <is>
          <t>Will connect us when inquiry comes to him. Need time for the same.</t>
        </is>
      </c>
      <c r="P125" s="4" t="inlineStr">
        <is>
          <t>Dealer of msp and rungta tmt. Rates given 57000 landed to the custumer. | Will connect us when inquiry comes to him. Need time for the same.</t>
        </is>
      </c>
      <c r="Q125" s="4">
        <f>LEN(TRIM(P125))-LEN(SUBSTITUTE(P125," ",""))+1</f>
        <v/>
      </c>
      <c r="R125" s="4" t="n">
        <v>22.7703041</v>
      </c>
      <c r="S125" s="4" t="n">
        <v>86.2075016</v>
      </c>
      <c r="T125" s="4">
        <f>COUNTIF($G$2:G125,G125)</f>
        <v/>
      </c>
      <c r="U125" s="4">
        <f>IF(F125&lt;5,"YES","NO")</f>
        <v/>
      </c>
      <c r="V125" s="4">
        <f>IF(AND(N125&lt;&gt;"",O125&lt;&gt;""),"YES","NO")</f>
        <v/>
      </c>
      <c r="W125" s="4">
        <f>IF(HOUR(D125)&lt;12,"Morning",IF(HOUR(D125)&lt;17,"Afternoon","Evening"))</f>
        <v/>
      </c>
      <c r="X125" s="4" t="n">
        <v>7</v>
      </c>
      <c r="Y125" s="4">
        <f>IF(F125&lt;5,"&lt;5 min",IF(F125&lt;15,"5-15 min",IF(F125&lt;30,"15-30 min","30+ min")))</f>
        <v/>
      </c>
    </row>
    <row r="126">
      <c r="A126" s="3" t="n">
        <v>46044</v>
      </c>
      <c r="B126" s="4" t="inlineStr">
        <is>
          <t>Thursday</t>
        </is>
      </c>
      <c r="C126" s="4" t="inlineStr">
        <is>
          <t>Jan 26</t>
        </is>
      </c>
      <c r="D126" s="4" t="inlineStr">
        <is>
          <t>22/01/2026, 12:15 pm</t>
        </is>
      </c>
      <c r="E126" s="4" t="inlineStr">
        <is>
          <t>22/01/2026, 12:18 pm</t>
        </is>
      </c>
      <c r="F126" s="4">
        <f>(E126-D126)*24*60</f>
        <v/>
      </c>
      <c r="G126" s="4" t="inlineStr">
        <is>
          <t>M/S GARG STEEL TRADERS</t>
        </is>
      </c>
      <c r="H126" s="4" t="inlineStr">
        <is>
          <t>001fw000006fxvAAAQ</t>
        </is>
      </c>
      <c r="I126" s="4" t="n">
        <v>831002</v>
      </c>
      <c r="J126" s="4" t="inlineStr">
        <is>
          <t>EAST SINGHBUM</t>
        </is>
      </c>
      <c r="K126" s="4" t="inlineStr"/>
      <c r="L126" s="4" t="inlineStr">
        <is>
          <t>Retailer PB</t>
        </is>
      </c>
      <c r="M126" s="4" t="inlineStr">
        <is>
          <t>Got future date</t>
        </is>
      </c>
      <c r="N126" s="4" t="inlineStr">
        <is>
          <t>Dealer of kamdhenu TMT rungta and govinda. Rates given 63000 landed. Last purchase govinda tmt @ 52000 landed.</t>
        </is>
      </c>
      <c r="O126" s="4" t="inlineStr">
        <is>
          <t>Need time for sharing inquiry to us. Will connect us.</t>
        </is>
      </c>
      <c r="P126" s="4" t="inlineStr">
        <is>
          <t>Dealer of kamdhenu TMT rungta and govinda. Rates given 63000 landed. Last purchase govinda tmt @ 52000 landed. | Need time for sharing inquiry to us. Will connect us.</t>
        </is>
      </c>
      <c r="Q126" s="4">
        <f>LEN(TRIM(P126))-LEN(SUBSTITUTE(P126," ",""))+1</f>
        <v/>
      </c>
      <c r="R126" s="4" t="n">
        <v>22.7700789</v>
      </c>
      <c r="S126" s="4" t="n">
        <v>86.2074736</v>
      </c>
      <c r="T126" s="4">
        <f>COUNTIF($G$2:G126,G126)</f>
        <v/>
      </c>
      <c r="U126" s="4">
        <f>IF(F126&lt;5,"YES","NO")</f>
        <v/>
      </c>
      <c r="V126" s="4">
        <f>IF(AND(N126&lt;&gt;"",O126&lt;&gt;""),"YES","NO")</f>
        <v/>
      </c>
      <c r="W126" s="4">
        <f>IF(HOUR(D126)&lt;12,"Morning",IF(HOUR(D126)&lt;17,"Afternoon","Evening"))</f>
        <v/>
      </c>
      <c r="X126" s="4" t="n">
        <v>6</v>
      </c>
      <c r="Y126" s="4">
        <f>IF(F126&lt;5,"&lt;5 min",IF(F126&lt;15,"5-15 min",IF(F126&lt;30,"15-30 min","30+ min")))</f>
        <v/>
      </c>
    </row>
    <row r="127">
      <c r="A127" s="3" t="n">
        <v>45965</v>
      </c>
      <c r="B127" s="4" t="inlineStr">
        <is>
          <t>Tuesday</t>
        </is>
      </c>
      <c r="C127" s="4" t="inlineStr">
        <is>
          <t>Nov 25</t>
        </is>
      </c>
      <c r="D127" s="4" t="inlineStr">
        <is>
          <t>04/11/2025, 5:06 pm</t>
        </is>
      </c>
      <c r="E127" s="4" t="inlineStr">
        <is>
          <t>04/11/2025, 5:08 pm</t>
        </is>
      </c>
      <c r="F127" s="4">
        <f>(E127-D127)*24*60</f>
        <v/>
      </c>
      <c r="G127" s="4" t="inlineStr">
        <is>
          <t>M/S GOYAL STEEL</t>
        </is>
      </c>
      <c r="H127" s="4" t="inlineStr">
        <is>
          <t>001J100000VnnVxIAJ</t>
        </is>
      </c>
      <c r="I127" s="4" t="n">
        <v>831003</v>
      </c>
      <c r="J127" s="4" t="inlineStr">
        <is>
          <t>EAST SINGHBUM</t>
        </is>
      </c>
      <c r="K127" s="4" t="inlineStr"/>
      <c r="L127" s="4" t="inlineStr">
        <is>
          <t>Retailer PB</t>
        </is>
      </c>
      <c r="M127" s="4" t="inlineStr">
        <is>
          <t>Got future date</t>
        </is>
      </c>
      <c r="N127" s="4" t="inlineStr">
        <is>
          <t>Dealer of Tata tiscon and rungta tmt . Rates given @46 basic to dealer . Will connect us later</t>
        </is>
      </c>
      <c r="O127" s="4" t="inlineStr">
        <is>
          <t>Owner not available now . Will connect us in next week .</t>
        </is>
      </c>
      <c r="P127" s="4" t="inlineStr">
        <is>
          <t>Dealer of Tata tiscon and rungta tmt . Rates given @46 basic to dealer . Will connect us later | Owner not available now . Will connect us in next week .</t>
        </is>
      </c>
      <c r="Q127" s="4">
        <f>LEN(TRIM(P127))-LEN(SUBSTITUTE(P127," ",""))+1</f>
        <v/>
      </c>
      <c r="R127" s="4" t="n">
        <v>22.7945355</v>
      </c>
      <c r="S127" s="4" t="n">
        <v>86.2231316</v>
      </c>
      <c r="T127" s="4">
        <f>COUNTIF($G$2:G127,G127)</f>
        <v/>
      </c>
      <c r="U127" s="4">
        <f>IF(F127&lt;5,"YES","NO")</f>
        <v/>
      </c>
      <c r="V127" s="4">
        <f>IF(AND(N127&lt;&gt;"",O127&lt;&gt;""),"YES","NO")</f>
        <v/>
      </c>
      <c r="W127" s="4">
        <f>IF(HOUR(D127)&lt;12,"Morning",IF(HOUR(D127)&lt;17,"Afternoon","Evening"))</f>
        <v/>
      </c>
      <c r="X127" s="4" t="n">
        <v>7</v>
      </c>
      <c r="Y127" s="4">
        <f>IF(F127&lt;5,"&lt;5 min",IF(F127&lt;15,"5-15 min",IF(F127&lt;30,"15-30 min","30+ min")))</f>
        <v/>
      </c>
    </row>
    <row r="128">
      <c r="A128" s="3" t="n">
        <v>45974</v>
      </c>
      <c r="B128" s="4" t="inlineStr">
        <is>
          <t>Thursday</t>
        </is>
      </c>
      <c r="C128" s="4" t="inlineStr">
        <is>
          <t>Nov 25</t>
        </is>
      </c>
      <c r="D128" s="4" t="inlineStr">
        <is>
          <t>13/11/2025, 5:49 pm</t>
        </is>
      </c>
      <c r="E128" s="4" t="inlineStr">
        <is>
          <t>13/11/2025, 5:50 pm</t>
        </is>
      </c>
      <c r="F128" s="4">
        <f>(E128-D128)*24*60</f>
        <v/>
      </c>
      <c r="G128" s="4" t="inlineStr">
        <is>
          <t>M/S GOYAL STEEL</t>
        </is>
      </c>
      <c r="H128" s="4" t="inlineStr">
        <is>
          <t>001J100000VnnVxIAJ</t>
        </is>
      </c>
      <c r="I128" s="4" t="n">
        <v>831003</v>
      </c>
      <c r="J128" s="4" t="inlineStr">
        <is>
          <t>EAST SINGHBUM</t>
        </is>
      </c>
      <c r="K128" s="4" t="inlineStr"/>
      <c r="L128" s="4" t="inlineStr">
        <is>
          <t>Retailer PB</t>
        </is>
      </c>
      <c r="M128" s="4" t="inlineStr">
        <is>
          <t>Got future date</t>
        </is>
      </c>
      <c r="N128" s="4" t="inlineStr">
        <is>
          <t>Dealer of Tata tiscon and rungta tmt. Rates given 58000 landed to him . No inquiry.</t>
        </is>
      </c>
      <c r="O128" s="4" t="inlineStr">
        <is>
          <t>Will connect us later if inquiry of steel come by him .</t>
        </is>
      </c>
      <c r="P128" s="4" t="inlineStr">
        <is>
          <t>Dealer of Tata tiscon and rungta tmt. Rates given 58000 landed to him . No inquiry. | Will connect us later if inquiry of steel come by him .</t>
        </is>
      </c>
      <c r="Q128" s="4">
        <f>LEN(TRIM(P128))-LEN(SUBSTITUTE(P128," ",""))+1</f>
        <v/>
      </c>
      <c r="R128" s="4" t="n">
        <v>22.7945907</v>
      </c>
      <c r="S128" s="4" t="n">
        <v>86.223624</v>
      </c>
      <c r="T128" s="4">
        <f>COUNTIF($G$2:G128,G128)</f>
        <v/>
      </c>
      <c r="U128" s="4">
        <f>IF(F128&lt;5,"YES","NO")</f>
        <v/>
      </c>
      <c r="V128" s="4">
        <f>IF(AND(N128&lt;&gt;"",O128&lt;&gt;""),"YES","NO")</f>
        <v/>
      </c>
      <c r="W128" s="4">
        <f>IF(HOUR(D128)&lt;12,"Morning",IF(HOUR(D128)&lt;17,"Afternoon","Evening"))</f>
        <v/>
      </c>
      <c r="X128" s="4" t="n">
        <v>7</v>
      </c>
      <c r="Y128" s="4">
        <f>IF(F128&lt;5,"&lt;5 min",IF(F128&lt;15,"5-15 min",IF(F128&lt;30,"15-30 min","30+ min")))</f>
        <v/>
      </c>
    </row>
    <row r="129">
      <c r="A129" s="3" t="n">
        <v>45985</v>
      </c>
      <c r="B129" s="4" t="inlineStr">
        <is>
          <t>Monday</t>
        </is>
      </c>
      <c r="C129" s="4" t="inlineStr">
        <is>
          <t>Nov 25</t>
        </is>
      </c>
      <c r="D129" s="4" t="inlineStr">
        <is>
          <t>24/11/2025, 5:09 pm</t>
        </is>
      </c>
      <c r="E129" s="4" t="inlineStr">
        <is>
          <t>24/11/2025, 5:10 pm</t>
        </is>
      </c>
      <c r="F129" s="4">
        <f>(E129-D129)*24*60</f>
        <v/>
      </c>
      <c r="G129" s="4" t="inlineStr">
        <is>
          <t>M/S GOYAL STEEL</t>
        </is>
      </c>
      <c r="H129" s="4" t="inlineStr">
        <is>
          <t>001J100000VnnVxIAJ</t>
        </is>
      </c>
      <c r="I129" s="4" t="n">
        <v>831003</v>
      </c>
      <c r="J129" s="4" t="inlineStr">
        <is>
          <t>EAST SINGHBUM</t>
        </is>
      </c>
      <c r="K129" s="4" t="inlineStr"/>
      <c r="L129" s="4" t="inlineStr">
        <is>
          <t>Retailer PB</t>
        </is>
      </c>
      <c r="M129" s="4" t="inlineStr">
        <is>
          <t>Got future date</t>
        </is>
      </c>
      <c r="N129" s="4" t="inlineStr">
        <is>
          <t>Dealer of tiscon and rungta tmt . Rates given 54000 landed to dealer. Will connect when inquiry comes .</t>
        </is>
      </c>
      <c r="O129" s="4" t="inlineStr">
        <is>
          <t>Will connect with an inquiry from customer end . Asking to wait.</t>
        </is>
      </c>
      <c r="P129" s="4" t="inlineStr">
        <is>
          <t>Dealer of tiscon and rungta tmt . Rates given 54000 landed to dealer. Will connect when inquiry comes . | Will connect with an inquiry from customer end . Asking to wait.</t>
        </is>
      </c>
      <c r="Q129" s="4">
        <f>LEN(TRIM(P129))-LEN(SUBSTITUTE(P129," ",""))+1</f>
        <v/>
      </c>
      <c r="R129" s="4" t="n">
        <v>22.7942861</v>
      </c>
      <c r="S129" s="4" t="n">
        <v>86.2237172</v>
      </c>
      <c r="T129" s="4">
        <f>COUNTIF($G$2:G129,G129)</f>
        <v/>
      </c>
      <c r="U129" s="4">
        <f>IF(F129&lt;5,"YES","NO")</f>
        <v/>
      </c>
      <c r="V129" s="4">
        <f>IF(AND(N129&lt;&gt;"",O129&lt;&gt;""),"YES","NO")</f>
        <v/>
      </c>
      <c r="W129" s="4">
        <f>IF(HOUR(D129)&lt;12,"Morning",IF(HOUR(D129)&lt;17,"Afternoon","Evening"))</f>
        <v/>
      </c>
      <c r="X129" s="4" t="n">
        <v>7</v>
      </c>
      <c r="Y129" s="4">
        <f>IF(F129&lt;5,"&lt;5 min",IF(F129&lt;15,"5-15 min",IF(F129&lt;30,"15-30 min","30+ min")))</f>
        <v/>
      </c>
    </row>
    <row r="130">
      <c r="A130" s="3" t="n">
        <v>45996</v>
      </c>
      <c r="B130" s="4" t="inlineStr">
        <is>
          <t>Friday</t>
        </is>
      </c>
      <c r="C130" s="4" t="inlineStr">
        <is>
          <t>Dec 25</t>
        </is>
      </c>
      <c r="D130" s="4" t="inlineStr">
        <is>
          <t>05/12/2025, 1:38 pm</t>
        </is>
      </c>
      <c r="E130" s="4" t="inlineStr">
        <is>
          <t>05/12/2025, 1:41 pm</t>
        </is>
      </c>
      <c r="F130" s="4">
        <f>(E130-D130)*24*60</f>
        <v/>
      </c>
      <c r="G130" s="4" t="inlineStr">
        <is>
          <t>M/S GOYAL STEEL</t>
        </is>
      </c>
      <c r="H130" s="4" t="inlineStr">
        <is>
          <t>001J100000VnnVxIAJ</t>
        </is>
      </c>
      <c r="I130" s="4" t="n">
        <v>831003</v>
      </c>
      <c r="J130" s="4" t="inlineStr">
        <is>
          <t>EAST SINGHBUM</t>
        </is>
      </c>
      <c r="K130" s="4" t="inlineStr"/>
      <c r="L130" s="4" t="inlineStr">
        <is>
          <t>Retailer PB</t>
        </is>
      </c>
      <c r="M130" s="4" t="inlineStr">
        <is>
          <t>Got future date</t>
        </is>
      </c>
      <c r="N130" s="4" t="inlineStr">
        <is>
          <t>Dealer of Tata tiscon and rungta tmt. Rates given 55500 landed to the dealer . Will connect us</t>
        </is>
      </c>
      <c r="O130" s="4" t="inlineStr">
        <is>
          <t>Selling rungta @51000 landed to the custumer. Will share us inquiry. When it comes .</t>
        </is>
      </c>
      <c r="P130" s="4" t="inlineStr">
        <is>
          <t>Dealer of Tata tiscon and rungta tmt. Rates given 55500 landed to the dealer . Will connect us | Selling rungta @51000 landed to the custumer. Will share us inquiry. When it comes .</t>
        </is>
      </c>
      <c r="Q130" s="4">
        <f>LEN(TRIM(P130))-LEN(SUBSTITUTE(P130," ",""))+1</f>
        <v/>
      </c>
      <c r="R130" s="4" t="n">
        <v>22.7943709</v>
      </c>
      <c r="S130" s="4" t="n">
        <v>86.2234455</v>
      </c>
      <c r="T130" s="4">
        <f>COUNTIF($G$2:G130,G130)</f>
        <v/>
      </c>
      <c r="U130" s="4">
        <f>IF(F130&lt;5,"YES","NO")</f>
        <v/>
      </c>
      <c r="V130" s="4">
        <f>IF(AND(N130&lt;&gt;"",O130&lt;&gt;""),"YES","NO")</f>
        <v/>
      </c>
      <c r="W130" s="4">
        <f>IF(HOUR(D130)&lt;12,"Morning",IF(HOUR(D130)&lt;17,"Afternoon","Evening"))</f>
        <v/>
      </c>
      <c r="X130" s="4" t="n">
        <v>6</v>
      </c>
      <c r="Y130" s="4">
        <f>IF(F130&lt;5,"&lt;5 min",IF(F130&lt;15,"5-15 min",IF(F130&lt;30,"15-30 min","30+ min")))</f>
        <v/>
      </c>
    </row>
    <row r="131">
      <c r="A131" s="3" t="n">
        <v>46006</v>
      </c>
      <c r="B131" s="4" t="inlineStr">
        <is>
          <t>Monday</t>
        </is>
      </c>
      <c r="C131" s="4" t="inlineStr">
        <is>
          <t>Dec 25</t>
        </is>
      </c>
      <c r="D131" s="4" t="inlineStr">
        <is>
          <t>15/12/2025, 6:48 pm</t>
        </is>
      </c>
      <c r="E131" s="4" t="inlineStr">
        <is>
          <t>15/12/2025, 6:50 pm</t>
        </is>
      </c>
      <c r="F131" s="4">
        <f>(E131-D131)*24*60</f>
        <v/>
      </c>
      <c r="G131" s="4" t="inlineStr">
        <is>
          <t>M/S GOYAL STEEL</t>
        </is>
      </c>
      <c r="H131" s="4" t="inlineStr">
        <is>
          <t>001J100000VnnVxIAJ</t>
        </is>
      </c>
      <c r="I131" s="4" t="n">
        <v>831003</v>
      </c>
      <c r="J131" s="4" t="inlineStr">
        <is>
          <t>EAST SINGHBUM</t>
        </is>
      </c>
      <c r="K131" s="4" t="inlineStr"/>
      <c r="L131" s="4" t="inlineStr">
        <is>
          <t>Retailer PB</t>
        </is>
      </c>
      <c r="M131" s="4" t="inlineStr">
        <is>
          <t>Got future date</t>
        </is>
      </c>
      <c r="N131" s="4" t="inlineStr">
        <is>
          <t>Dealer of tiscon and rungta tmt. Rates given 56500 to the retailer landed. Will connect us.</t>
        </is>
      </c>
      <c r="O131" s="4" t="inlineStr">
        <is>
          <t>Will give us inquiry once received from direct custumer. Will connect us.</t>
        </is>
      </c>
      <c r="P131" s="4" t="inlineStr">
        <is>
          <t>Dealer of tiscon and rungta tmt. Rates given 56500 to the retailer landed. Will connect us. | Will give us inquiry once received from direct custumer. Will connect us.</t>
        </is>
      </c>
      <c r="Q131" s="4">
        <f>LEN(TRIM(P131))-LEN(SUBSTITUTE(P131," ",""))+1</f>
        <v/>
      </c>
      <c r="R131" s="4" t="n">
        <v>22.79458</v>
      </c>
      <c r="S131" s="4" t="n">
        <v>86.22365000000001</v>
      </c>
      <c r="T131" s="4">
        <f>COUNTIF($G$2:G131,G131)</f>
        <v/>
      </c>
      <c r="U131" s="4">
        <f>IF(F131&lt;5,"YES","NO")</f>
        <v/>
      </c>
      <c r="V131" s="4">
        <f>IF(AND(N131&lt;&gt;"",O131&lt;&gt;""),"YES","NO")</f>
        <v/>
      </c>
      <c r="W131" s="4">
        <f>IF(HOUR(D131)&lt;12,"Morning",IF(HOUR(D131)&lt;17,"Afternoon","Evening"))</f>
        <v/>
      </c>
      <c r="X131" s="4" t="n">
        <v>7</v>
      </c>
      <c r="Y131" s="4">
        <f>IF(F131&lt;5,"&lt;5 min",IF(F131&lt;15,"5-15 min",IF(F131&lt;30,"15-30 min","30+ min")))</f>
        <v/>
      </c>
    </row>
    <row r="132">
      <c r="A132" s="3" t="n">
        <v>46017</v>
      </c>
      <c r="B132" s="4" t="inlineStr">
        <is>
          <t>Friday</t>
        </is>
      </c>
      <c r="C132" s="4" t="inlineStr">
        <is>
          <t>Dec 25</t>
        </is>
      </c>
      <c r="D132" s="4" t="inlineStr">
        <is>
          <t>26/12/2025, 4:18 pm</t>
        </is>
      </c>
      <c r="E132" s="4" t="inlineStr">
        <is>
          <t>26/12/2025, 4:19 pm</t>
        </is>
      </c>
      <c r="F132" s="4">
        <f>(E132-D132)*24*60</f>
        <v/>
      </c>
      <c r="G132" s="4" t="inlineStr">
        <is>
          <t>M/S GOYAL STEEL</t>
        </is>
      </c>
      <c r="H132" s="4" t="inlineStr">
        <is>
          <t>001J100000VnnVxIAJ</t>
        </is>
      </c>
      <c r="I132" s="4" t="n">
        <v>831003</v>
      </c>
      <c r="J132" s="4" t="inlineStr">
        <is>
          <t>EAST SINGHBUM</t>
        </is>
      </c>
      <c r="K132" s="4" t="inlineStr"/>
      <c r="L132" s="4" t="inlineStr">
        <is>
          <t>Retailer PB</t>
        </is>
      </c>
      <c r="M132" s="4" t="inlineStr">
        <is>
          <t>Got future date</t>
        </is>
      </c>
      <c r="N132" s="4" t="inlineStr">
        <is>
          <t>Tata tison and rungta dealer. Rates given 57000 landed to the dealer. Will share us inquiry.</t>
        </is>
      </c>
      <c r="O132" s="4" t="inlineStr">
        <is>
          <t>Will connect us when inquiry received from end user. Will connect us.</t>
        </is>
      </c>
      <c r="P132" s="4" t="inlineStr">
        <is>
          <t>Tata tison and rungta dealer. Rates given 57000 landed to the dealer. Will share us inquiry. | Will connect us when inquiry received from end user. Will connect us.</t>
        </is>
      </c>
      <c r="Q132" s="4">
        <f>LEN(TRIM(P132))-LEN(SUBSTITUTE(P132," ",""))+1</f>
        <v/>
      </c>
      <c r="R132" s="4" t="n">
        <v>22.7945187</v>
      </c>
      <c r="S132" s="4" t="n">
        <v>86.2235778</v>
      </c>
      <c r="T132" s="4">
        <f>COUNTIF($G$2:G132,G132)</f>
        <v/>
      </c>
      <c r="U132" s="4">
        <f>IF(F132&lt;5,"YES","NO")</f>
        <v/>
      </c>
      <c r="V132" s="4">
        <f>IF(AND(N132&lt;&gt;"",O132&lt;&gt;""),"YES","NO")</f>
        <v/>
      </c>
      <c r="W132" s="4">
        <f>IF(HOUR(D132)&lt;12,"Morning",IF(HOUR(D132)&lt;17,"Afternoon","Evening"))</f>
        <v/>
      </c>
      <c r="X132" s="4" t="n">
        <v>6</v>
      </c>
      <c r="Y132" s="4">
        <f>IF(F132&lt;5,"&lt;5 min",IF(F132&lt;15,"5-15 min",IF(F132&lt;30,"15-30 min","30+ min")))</f>
        <v/>
      </c>
    </row>
    <row r="133">
      <c r="A133" s="3" t="n">
        <v>46029</v>
      </c>
      <c r="B133" s="4" t="inlineStr">
        <is>
          <t>Wednesday</t>
        </is>
      </c>
      <c r="C133" s="4" t="inlineStr">
        <is>
          <t>Jan 26</t>
        </is>
      </c>
      <c r="D133" s="4" t="inlineStr">
        <is>
          <t>07/01/2026, 4:09 pm</t>
        </is>
      </c>
      <c r="E133" s="4" t="inlineStr">
        <is>
          <t>07/01/2026, 4:10 pm</t>
        </is>
      </c>
      <c r="F133" s="4">
        <f>(E133-D133)*24*60</f>
        <v/>
      </c>
      <c r="G133" s="4" t="inlineStr">
        <is>
          <t>M/S GOYAL STEEL</t>
        </is>
      </c>
      <c r="H133" s="4" t="inlineStr">
        <is>
          <t>001J100000VnnVxIAJ</t>
        </is>
      </c>
      <c r="I133" s="4" t="n">
        <v>831003</v>
      </c>
      <c r="J133" s="4" t="inlineStr">
        <is>
          <t>EAST SINGHBUM</t>
        </is>
      </c>
      <c r="K133" s="4" t="inlineStr"/>
      <c r="L133" s="4" t="inlineStr">
        <is>
          <t>Retailer PB</t>
        </is>
      </c>
      <c r="M133" s="4" t="inlineStr">
        <is>
          <t>Got future date</t>
        </is>
      </c>
      <c r="N133" s="4" t="inlineStr">
        <is>
          <t>Dealer of Tata tiscon and RUNGTA TMT. Rates given 60000 laneded to the customer.</t>
        </is>
      </c>
      <c r="O133" s="4" t="inlineStr">
        <is>
          <t>Will let us know when inquiry will be floated through end CUSTUMER.</t>
        </is>
      </c>
      <c r="P133" s="4" t="inlineStr">
        <is>
          <t>Dealer of Tata tiscon and RUNGTA TMT. Rates given 60000 laneded to the customer. | Will let us know when inquiry will be floated through end CUSTUMER.</t>
        </is>
      </c>
      <c r="Q133" s="4">
        <f>LEN(TRIM(P133))-LEN(SUBSTITUTE(P133," ",""))+1</f>
        <v/>
      </c>
      <c r="R133" s="4" t="n">
        <v>22.7947983</v>
      </c>
      <c r="S133" s="4" t="n">
        <v>86.2235596</v>
      </c>
      <c r="T133" s="4">
        <f>COUNTIF($G$2:G133,G133)</f>
        <v/>
      </c>
      <c r="U133" s="4">
        <f>IF(F133&lt;5,"YES","NO")</f>
        <v/>
      </c>
      <c r="V133" s="4">
        <f>IF(AND(N133&lt;&gt;"",O133&lt;&gt;""),"YES","NO")</f>
        <v/>
      </c>
      <c r="W133" s="4">
        <f>IF(HOUR(D133)&lt;12,"Morning",IF(HOUR(D133)&lt;17,"Afternoon","Evening"))</f>
        <v/>
      </c>
      <c r="X133" s="4" t="n">
        <v>6</v>
      </c>
      <c r="Y133" s="4">
        <f>IF(F133&lt;5,"&lt;5 min",IF(F133&lt;15,"5-15 min",IF(F133&lt;30,"15-30 min","30+ min")))</f>
        <v/>
      </c>
    </row>
    <row r="134">
      <c r="A134" s="3" t="n">
        <v>45965</v>
      </c>
      <c r="B134" s="4" t="inlineStr">
        <is>
          <t>Tuesday</t>
        </is>
      </c>
      <c r="C134" s="4" t="inlineStr">
        <is>
          <t>Nov 25</t>
        </is>
      </c>
      <c r="D134" s="4" t="inlineStr">
        <is>
          <t>04/11/2025, 5:10 pm</t>
        </is>
      </c>
      <c r="E134" s="4" t="inlineStr">
        <is>
          <t>04/11/2025, 5:12 pm</t>
        </is>
      </c>
      <c r="F134" s="4">
        <f>(E134-D134)*24*60</f>
        <v/>
      </c>
      <c r="G134" s="4" t="inlineStr">
        <is>
          <t>M/S K. D. STEEL</t>
        </is>
      </c>
      <c r="H134" s="4" t="inlineStr">
        <is>
          <t>001J100000VnnUzIAJ</t>
        </is>
      </c>
      <c r="I134" s="4" t="n">
        <v>831003</v>
      </c>
      <c r="J134" s="4" t="inlineStr">
        <is>
          <t>EAST SINGHBUM</t>
        </is>
      </c>
      <c r="K134" s="4" t="inlineStr"/>
      <c r="L134" s="4" t="inlineStr">
        <is>
          <t>Retailer PB</t>
        </is>
      </c>
      <c r="M134" s="4" t="inlineStr">
        <is>
          <t>Got future date</t>
        </is>
      </c>
      <c r="N134" s="4" t="inlineStr">
        <is>
          <t>Dealer of kamdhenu tmt and panther tmt . Currently purchase kamdhenu @ 41000 basic . Rates given 46000 basic to the dealer.</t>
        </is>
      </c>
      <c r="O134" s="4" t="inlineStr">
        <is>
          <t>No inquiry now. Will give us inquiry soon . Soon start as a dealer.</t>
        </is>
      </c>
      <c r="P134" s="4" t="inlineStr">
        <is>
          <t>Dealer of kamdhenu tmt and panther tmt . Currently purchase kamdhenu @ 41000 basic . Rates given 46000 basic to the dealer. | No inquiry now. Will give us inquiry soon . Soon start as a dealer.</t>
        </is>
      </c>
      <c r="Q134" s="4">
        <f>LEN(TRIM(P134))-LEN(SUBSTITUTE(P134," ",""))+1</f>
        <v/>
      </c>
      <c r="R134" s="4" t="n">
        <v>22.7944664</v>
      </c>
      <c r="S134" s="4" t="n">
        <v>86.22271019999999</v>
      </c>
      <c r="T134" s="4">
        <f>COUNTIF($G$2:G134,G134)</f>
        <v/>
      </c>
      <c r="U134" s="4">
        <f>IF(F134&lt;5,"YES","NO")</f>
        <v/>
      </c>
      <c r="V134" s="4">
        <f>IF(AND(N134&lt;&gt;"",O134&lt;&gt;""),"YES","NO")</f>
        <v/>
      </c>
      <c r="W134" s="4">
        <f>IF(HOUR(D134)&lt;12,"Morning",IF(HOUR(D134)&lt;17,"Afternoon","Evening"))</f>
        <v/>
      </c>
      <c r="X134" s="4" t="n">
        <v>7</v>
      </c>
      <c r="Y134" s="4">
        <f>IF(F134&lt;5,"&lt;5 min",IF(F134&lt;15,"5-15 min",IF(F134&lt;30,"15-30 min","30+ min")))</f>
        <v/>
      </c>
    </row>
    <row r="135">
      <c r="A135" s="3" t="n">
        <v>45974</v>
      </c>
      <c r="B135" s="4" t="inlineStr">
        <is>
          <t>Thursday</t>
        </is>
      </c>
      <c r="C135" s="4" t="inlineStr">
        <is>
          <t>Nov 25</t>
        </is>
      </c>
      <c r="D135" s="4" t="inlineStr">
        <is>
          <t>13/11/2025, 5:54 pm</t>
        </is>
      </c>
      <c r="E135" s="4" t="inlineStr">
        <is>
          <t>13/11/2025, 6:00 pm</t>
        </is>
      </c>
      <c r="F135" s="4">
        <f>(E135-D135)*24*60</f>
        <v/>
      </c>
      <c r="G135" s="4" t="inlineStr">
        <is>
          <t>M/S K. D. STEEL</t>
        </is>
      </c>
      <c r="H135" s="4" t="inlineStr">
        <is>
          <t>001J100000VnnUzIAJ</t>
        </is>
      </c>
      <c r="I135" s="4" t="n">
        <v>831003</v>
      </c>
      <c r="J135" s="4" t="inlineStr">
        <is>
          <t>EAST SINGHBUM</t>
        </is>
      </c>
      <c r="K135" s="4" t="inlineStr"/>
      <c r="L135" s="4" t="inlineStr">
        <is>
          <t>Retailer PB</t>
        </is>
      </c>
      <c r="M135" s="4" t="inlineStr">
        <is>
          <t>Got future date</t>
        </is>
      </c>
      <c r="N135" s="4" t="inlineStr">
        <is>
          <t>Dealer of kamdhenu tmt and Jindal panther. Rates given 57500 landed to the dealer . No inquiry currently.</t>
        </is>
      </c>
      <c r="O135" s="4" t="inlineStr">
        <is>
          <t>No inquiry now . Will connect us later. Asking to call back.</t>
        </is>
      </c>
      <c r="P135" s="4" t="inlineStr">
        <is>
          <t>Dealer of kamdhenu tmt and Jindal panther. Rates given 57500 landed to the dealer . No inquiry currently. | No inquiry now . Will connect us later. Asking to call back.</t>
        </is>
      </c>
      <c r="Q135" s="4">
        <f>LEN(TRIM(P135))-LEN(SUBSTITUTE(P135," ",""))+1</f>
        <v/>
      </c>
      <c r="R135" s="4" t="n">
        <v>22.7947436</v>
      </c>
      <c r="S135" s="4" t="n">
        <v>86.2235137</v>
      </c>
      <c r="T135" s="4">
        <f>COUNTIF($G$2:G135,G135)</f>
        <v/>
      </c>
      <c r="U135" s="4">
        <f>IF(F135&lt;5,"YES","NO")</f>
        <v/>
      </c>
      <c r="V135" s="4">
        <f>IF(AND(N135&lt;&gt;"",O135&lt;&gt;""),"YES","NO")</f>
        <v/>
      </c>
      <c r="W135" s="4">
        <f>IF(HOUR(D135)&lt;12,"Morning",IF(HOUR(D135)&lt;17,"Afternoon","Evening"))</f>
        <v/>
      </c>
      <c r="X135" s="4" t="n">
        <v>7</v>
      </c>
      <c r="Y135" s="4">
        <f>IF(F135&lt;5,"&lt;5 min",IF(F135&lt;15,"5-15 min",IF(F135&lt;30,"15-30 min","30+ min")))</f>
        <v/>
      </c>
    </row>
    <row r="136">
      <c r="A136" s="3" t="n">
        <v>45985</v>
      </c>
      <c r="B136" s="4" t="inlineStr">
        <is>
          <t>Monday</t>
        </is>
      </c>
      <c r="C136" s="4" t="inlineStr">
        <is>
          <t>Nov 25</t>
        </is>
      </c>
      <c r="D136" s="4" t="inlineStr">
        <is>
          <t>24/11/2025, 5:06 pm</t>
        </is>
      </c>
      <c r="E136" s="4" t="inlineStr">
        <is>
          <t>24/11/2025, 5:07 pm</t>
        </is>
      </c>
      <c r="F136" s="4">
        <f>(E136-D136)*24*60</f>
        <v/>
      </c>
      <c r="G136" s="4" t="inlineStr">
        <is>
          <t>M/S K. D. STEEL</t>
        </is>
      </c>
      <c r="H136" s="4" t="inlineStr">
        <is>
          <t>001J100000VnnUzIAJ</t>
        </is>
      </c>
      <c r="I136" s="4" t="n">
        <v>831003</v>
      </c>
      <c r="J136" s="4" t="inlineStr">
        <is>
          <t>EAST SINGHBUM</t>
        </is>
      </c>
      <c r="K136" s="4" t="inlineStr"/>
      <c r="L136" s="4" t="inlineStr">
        <is>
          <t>Retailer PB</t>
        </is>
      </c>
      <c r="M136" s="4" t="inlineStr">
        <is>
          <t>Got future date</t>
        </is>
      </c>
      <c r="N136" s="4" t="inlineStr">
        <is>
          <t>Dealer of kamdhenu and shyam steel and local rc rungta. Rates given 54000 landed to dealer.</t>
        </is>
      </c>
      <c r="O136" s="4" t="inlineStr">
        <is>
          <t>Owner not available. Will connect as soon inquiry comes from customer.</t>
        </is>
      </c>
      <c r="P136" s="4" t="inlineStr">
        <is>
          <t>Dealer of kamdhenu and shyam steel and local rc rungta. Rates given 54000 landed to dealer. | Owner not available. Will connect as soon inquiry comes from customer.</t>
        </is>
      </c>
      <c r="Q136" s="4">
        <f>LEN(TRIM(P136))-LEN(SUBSTITUTE(P136," ",""))+1</f>
        <v/>
      </c>
      <c r="R136" s="4" t="n">
        <v>22.7943224</v>
      </c>
      <c r="S136" s="4" t="n">
        <v>86.223636</v>
      </c>
      <c r="T136" s="4">
        <f>COUNTIF($G$2:G136,G136)</f>
        <v/>
      </c>
      <c r="U136" s="4">
        <f>IF(F136&lt;5,"YES","NO")</f>
        <v/>
      </c>
      <c r="V136" s="4">
        <f>IF(AND(N136&lt;&gt;"",O136&lt;&gt;""),"YES","NO")</f>
        <v/>
      </c>
      <c r="W136" s="4">
        <f>IF(HOUR(D136)&lt;12,"Morning",IF(HOUR(D136)&lt;17,"Afternoon","Evening"))</f>
        <v/>
      </c>
      <c r="X136" s="4" t="n">
        <v>7</v>
      </c>
      <c r="Y136" s="4">
        <f>IF(F136&lt;5,"&lt;5 min",IF(F136&lt;15,"5-15 min",IF(F136&lt;30,"15-30 min","30+ min")))</f>
        <v/>
      </c>
    </row>
    <row r="137">
      <c r="A137" s="3" t="n">
        <v>46006</v>
      </c>
      <c r="B137" s="4" t="inlineStr">
        <is>
          <t>Monday</t>
        </is>
      </c>
      <c r="C137" s="4" t="inlineStr">
        <is>
          <t>Dec 25</t>
        </is>
      </c>
      <c r="D137" s="4" t="inlineStr">
        <is>
          <t>15/12/2025, 6:57 pm</t>
        </is>
      </c>
      <c r="E137" s="4" t="inlineStr">
        <is>
          <t>15/12/2025, 6:58 pm</t>
        </is>
      </c>
      <c r="F137" s="4">
        <f>(E137-D137)*24*60</f>
        <v/>
      </c>
      <c r="G137" s="4" t="inlineStr">
        <is>
          <t>M/S K. D. STEEL</t>
        </is>
      </c>
      <c r="H137" s="4" t="inlineStr">
        <is>
          <t>001J100000VnnUzIAJ</t>
        </is>
      </c>
      <c r="I137" s="4" t="n">
        <v>831003</v>
      </c>
      <c r="J137" s="4" t="inlineStr">
        <is>
          <t>EAST SINGHBUM</t>
        </is>
      </c>
      <c r="K137" s="4" t="inlineStr"/>
      <c r="L137" s="4" t="inlineStr">
        <is>
          <t>Retailer PB</t>
        </is>
      </c>
      <c r="M137" s="4" t="inlineStr">
        <is>
          <t>Got future date</t>
        </is>
      </c>
      <c r="N137" s="4" t="inlineStr">
        <is>
          <t>Dealer of kamdhenu and shyam steel. Rates given 57000 landed to the dealer. Will connect us.</t>
        </is>
      </c>
      <c r="O137" s="4" t="inlineStr">
        <is>
          <t>Need time to share inquiry from direct custume selling kamdheu tmt at 53000 landed to custumer.</t>
        </is>
      </c>
      <c r="P137" s="4" t="inlineStr">
        <is>
          <t>Dealer of kamdhenu and shyam steel. Rates given 57000 landed to the dealer. Will connect us. | Need time to share inquiry from direct custume selling kamdheu tmt at 53000 landed to custumer.</t>
        </is>
      </c>
      <c r="Q137" s="4">
        <f>LEN(TRIM(P137))-LEN(SUBSTITUTE(P137," ",""))+1</f>
        <v/>
      </c>
      <c r="R137" s="4" t="n">
        <v>22.7942998</v>
      </c>
      <c r="S137" s="4" t="n">
        <v>86.2235744</v>
      </c>
      <c r="T137" s="4">
        <f>COUNTIF($G$2:G137,G137)</f>
        <v/>
      </c>
      <c r="U137" s="4">
        <f>IF(F137&lt;5,"YES","NO")</f>
        <v/>
      </c>
      <c r="V137" s="4">
        <f>IF(AND(N137&lt;&gt;"",O137&lt;&gt;""),"YES","NO")</f>
        <v/>
      </c>
      <c r="W137" s="4">
        <f>IF(HOUR(D137)&lt;12,"Morning",IF(HOUR(D137)&lt;17,"Afternoon","Evening"))</f>
        <v/>
      </c>
      <c r="X137" s="4" t="n">
        <v>7</v>
      </c>
      <c r="Y137" s="4">
        <f>IF(F137&lt;5,"&lt;5 min",IF(F137&lt;15,"5-15 min",IF(F137&lt;30,"15-30 min","30+ min")))</f>
        <v/>
      </c>
    </row>
    <row r="138">
      <c r="A138" s="3" t="n">
        <v>46017</v>
      </c>
      <c r="B138" s="4" t="inlineStr">
        <is>
          <t>Friday</t>
        </is>
      </c>
      <c r="C138" s="4" t="inlineStr">
        <is>
          <t>Dec 25</t>
        </is>
      </c>
      <c r="D138" s="4" t="inlineStr">
        <is>
          <t>26/12/2025, 4:13 pm</t>
        </is>
      </c>
      <c r="E138" s="4" t="inlineStr">
        <is>
          <t>26/12/2025, 4:14 pm</t>
        </is>
      </c>
      <c r="F138" s="4">
        <f>(E138-D138)*24*60</f>
        <v/>
      </c>
      <c r="G138" s="4" t="inlineStr">
        <is>
          <t>M/S K. D. STEEL</t>
        </is>
      </c>
      <c r="H138" s="4" t="inlineStr">
        <is>
          <t>001J100000VnnUzIAJ</t>
        </is>
      </c>
      <c r="I138" s="4" t="n">
        <v>831003</v>
      </c>
      <c r="J138" s="4" t="inlineStr">
        <is>
          <t>EAST SINGHBUM</t>
        </is>
      </c>
      <c r="K138" s="4" t="inlineStr"/>
      <c r="L138" s="4" t="inlineStr">
        <is>
          <t>Retailer PB</t>
        </is>
      </c>
      <c r="M138" s="4" t="inlineStr">
        <is>
          <t>Got future date</t>
        </is>
      </c>
      <c r="N138" s="4" t="inlineStr">
        <is>
          <t>Dealer of kamdhenu steel and panther tmt . Rates given 57000 per mt.</t>
        </is>
      </c>
      <c r="O138" s="4" t="inlineStr">
        <is>
          <t>Will share us tmt inquiry. Need time for week for sharing us demand.</t>
        </is>
      </c>
      <c r="P138" s="4" t="inlineStr">
        <is>
          <t>Dealer of kamdhenu steel and panther tmt . Rates given 57000 per mt. | Will share us tmt inquiry. Need time for week for sharing us demand.</t>
        </is>
      </c>
      <c r="Q138" s="4">
        <f>LEN(TRIM(P138))-LEN(SUBSTITUTE(P138," ",""))+1</f>
        <v/>
      </c>
      <c r="R138" s="4" t="n">
        <v>22.7943666</v>
      </c>
      <c r="S138" s="4" t="n">
        <v>86.2235987</v>
      </c>
      <c r="T138" s="4">
        <f>COUNTIF($G$2:G138,G138)</f>
        <v/>
      </c>
      <c r="U138" s="4">
        <f>IF(F138&lt;5,"YES","NO")</f>
        <v/>
      </c>
      <c r="V138" s="4">
        <f>IF(AND(N138&lt;&gt;"",O138&lt;&gt;""),"YES","NO")</f>
        <v/>
      </c>
      <c r="W138" s="4">
        <f>IF(HOUR(D138)&lt;12,"Morning",IF(HOUR(D138)&lt;17,"Afternoon","Evening"))</f>
        <v/>
      </c>
      <c r="X138" s="4" t="n">
        <v>6</v>
      </c>
      <c r="Y138" s="4">
        <f>IF(F138&lt;5,"&lt;5 min",IF(F138&lt;15,"5-15 min",IF(F138&lt;30,"15-30 min","30+ min")))</f>
        <v/>
      </c>
    </row>
    <row r="139">
      <c r="A139" s="3" t="n">
        <v>46029</v>
      </c>
      <c r="B139" s="4" t="inlineStr">
        <is>
          <t>Wednesday</t>
        </is>
      </c>
      <c r="C139" s="4" t="inlineStr">
        <is>
          <t>Jan 26</t>
        </is>
      </c>
      <c r="D139" s="4" t="inlineStr">
        <is>
          <t>07/01/2026, 4:12 pm</t>
        </is>
      </c>
      <c r="E139" s="4" t="inlineStr">
        <is>
          <t>07/01/2026, 4:15 pm</t>
        </is>
      </c>
      <c r="F139" s="4">
        <f>(E139-D139)*24*60</f>
        <v/>
      </c>
      <c r="G139" s="4" t="inlineStr">
        <is>
          <t>M/S K. D. STEEL</t>
        </is>
      </c>
      <c r="H139" s="4" t="inlineStr">
        <is>
          <t>001J100000VnnUzIAJ</t>
        </is>
      </c>
      <c r="I139" s="4" t="n">
        <v>831003</v>
      </c>
      <c r="J139" s="4" t="inlineStr">
        <is>
          <t>EAST SINGHBUM</t>
        </is>
      </c>
      <c r="K139" s="4" t="inlineStr"/>
      <c r="L139" s="4" t="inlineStr">
        <is>
          <t>Retailer PB</t>
        </is>
      </c>
      <c r="M139" s="4" t="inlineStr">
        <is>
          <t>Got future date</t>
        </is>
      </c>
      <c r="N139" s="4" t="inlineStr">
        <is>
          <t>Dealer of RUNGTA TMT kamdhenu and shyam steel. Rare given 60000 landed to the CUSTUMER.</t>
        </is>
      </c>
      <c r="O139" s="4" t="inlineStr">
        <is>
          <t>Will connect us on inquiry. Will let us know when inquiry comes to him.</t>
        </is>
      </c>
      <c r="P139" s="4" t="inlineStr">
        <is>
          <t>Dealer of RUNGTA TMT kamdhenu and shyam steel. Rare given 60000 landed to the CUSTUMER. | Will connect us on inquiry. Will let us know when inquiry comes to him.</t>
        </is>
      </c>
      <c r="Q139" s="4">
        <f>LEN(TRIM(P139))-LEN(SUBSTITUTE(P139," ",""))+1</f>
        <v/>
      </c>
      <c r="R139" s="4" t="n">
        <v>22.7948882</v>
      </c>
      <c r="S139" s="4" t="n">
        <v>86.2241018</v>
      </c>
      <c r="T139" s="4">
        <f>COUNTIF($G$2:G139,G139)</f>
        <v/>
      </c>
      <c r="U139" s="4">
        <f>IF(F139&lt;5,"YES","NO")</f>
        <v/>
      </c>
      <c r="V139" s="4">
        <f>IF(AND(N139&lt;&gt;"",O139&lt;&gt;""),"YES","NO")</f>
        <v/>
      </c>
      <c r="W139" s="4">
        <f>IF(HOUR(D139)&lt;12,"Morning",IF(HOUR(D139)&lt;17,"Afternoon","Evening"))</f>
        <v/>
      </c>
      <c r="X139" s="4" t="n">
        <v>6</v>
      </c>
      <c r="Y139" s="4">
        <f>IF(F139&lt;5,"&lt;5 min",IF(F139&lt;15,"5-15 min",IF(F139&lt;30,"15-30 min","30+ min")))</f>
        <v/>
      </c>
    </row>
    <row r="140">
      <c r="A140" s="3" t="n">
        <v>46042</v>
      </c>
      <c r="B140" s="4" t="inlineStr">
        <is>
          <t>Tuesday</t>
        </is>
      </c>
      <c r="C140" s="4" t="inlineStr">
        <is>
          <t>Jan 26</t>
        </is>
      </c>
      <c r="D140" s="4" t="inlineStr">
        <is>
          <t>20/01/2026, 5:03 pm</t>
        </is>
      </c>
      <c r="E140" s="4" t="inlineStr">
        <is>
          <t>20/01/2026, 5:06 pm</t>
        </is>
      </c>
      <c r="F140" s="4">
        <f>(E140-D140)*24*60</f>
        <v/>
      </c>
      <c r="G140" s="4" t="inlineStr">
        <is>
          <t>M/S K. D. STEEL</t>
        </is>
      </c>
      <c r="H140" s="4" t="inlineStr">
        <is>
          <t>001J100000VnnUzIAJ</t>
        </is>
      </c>
      <c r="I140" s="4" t="n">
        <v>831003</v>
      </c>
      <c r="J140" s="4" t="inlineStr">
        <is>
          <t>EAST SINGHBUM</t>
        </is>
      </c>
      <c r="K140" s="4" t="inlineStr"/>
      <c r="L140" s="4" t="inlineStr">
        <is>
          <t>Retailer PB</t>
        </is>
      </c>
      <c r="M140" s="4" t="inlineStr">
        <is>
          <t>Got future date</t>
        </is>
      </c>
      <c r="N140" s="4" t="inlineStr">
        <is>
          <t>Dealer of shyam steel kamdhenu and RUNGTA TMT. Rates given 62500 landed to the dealer.</t>
        </is>
      </c>
      <c r="O140" s="4" t="inlineStr">
        <is>
          <t>Will connect us on inquiry received from end CUSTUMER. Need time for a week.</t>
        </is>
      </c>
      <c r="P140" s="4" t="inlineStr">
        <is>
          <t>Dealer of shyam steel kamdhenu and RUNGTA TMT. Rates given 62500 landed to the dealer. | Will connect us on inquiry received from end CUSTUMER. Need time for a week.</t>
        </is>
      </c>
      <c r="Q140" s="4">
        <f>LEN(TRIM(P140))-LEN(SUBSTITUTE(P140," ",""))+1</f>
        <v/>
      </c>
      <c r="R140" s="4" t="n">
        <v>22.7942835</v>
      </c>
      <c r="S140" s="4" t="n">
        <v>86.2236745</v>
      </c>
      <c r="T140" s="4">
        <f>COUNTIF($G$2:G140,G140)</f>
        <v/>
      </c>
      <c r="U140" s="4">
        <f>IF(F140&lt;5,"YES","NO")</f>
        <v/>
      </c>
      <c r="V140" s="4">
        <f>IF(AND(N140&lt;&gt;"",O140&lt;&gt;""),"YES","NO")</f>
        <v/>
      </c>
      <c r="W140" s="4">
        <f>IF(HOUR(D140)&lt;12,"Morning",IF(HOUR(D140)&lt;17,"Afternoon","Evening"))</f>
        <v/>
      </c>
      <c r="X140" s="4" t="n">
        <v>6</v>
      </c>
      <c r="Y140" s="4">
        <f>IF(F140&lt;5,"&lt;5 min",IF(F140&lt;15,"5-15 min",IF(F140&lt;30,"15-30 min","30+ min")))</f>
        <v/>
      </c>
    </row>
    <row r="141">
      <c r="A141" s="3" t="n">
        <v>45986</v>
      </c>
      <c r="B141" s="4" t="inlineStr">
        <is>
          <t>Tuesday</t>
        </is>
      </c>
      <c r="C141" s="4" t="inlineStr">
        <is>
          <t>Nov 25</t>
        </is>
      </c>
      <c r="D141" s="4" t="inlineStr">
        <is>
          <t>25/11/2025, 5:21 pm</t>
        </is>
      </c>
      <c r="E141" s="4" t="inlineStr">
        <is>
          <t>25/11/2025, 5:22 pm</t>
        </is>
      </c>
      <c r="F141" s="4">
        <f>(E141-D141)*24*60</f>
        <v/>
      </c>
      <c r="G141" s="4" t="inlineStr">
        <is>
          <t>M/S KHANDELWAL SALES AGENCIES</t>
        </is>
      </c>
      <c r="H141" s="4" t="inlineStr">
        <is>
          <t>001J100000VnoofIAB</t>
        </is>
      </c>
      <c r="I141" s="4" t="n">
        <v>831001</v>
      </c>
      <c r="J141" s="4" t="inlineStr">
        <is>
          <t>EAST SINGHBUM</t>
        </is>
      </c>
      <c r="K141" s="4" t="inlineStr"/>
      <c r="L141" s="4" t="inlineStr">
        <is>
          <t>Retailer PB</t>
        </is>
      </c>
      <c r="M141" s="4" t="inlineStr">
        <is>
          <t>Got future date</t>
        </is>
      </c>
      <c r="N141" s="4" t="inlineStr">
        <is>
          <t>Dealer of kamdhenu and rungta tmt . Rates given 53500 landed at site. Will confirm within 2 days .</t>
        </is>
      </c>
      <c r="O141" s="4" t="inlineStr">
        <is>
          <t>Need time. Contact within 2 days for sales generation.</t>
        </is>
      </c>
      <c r="P141" s="4" t="inlineStr">
        <is>
          <t>Dealer of kamdhenu and rungta tmt . Rates given 53500 landed at site. Will confirm within 2 days . | Need time. Contact within 2 days for sales generation.</t>
        </is>
      </c>
      <c r="Q141" s="4">
        <f>LEN(TRIM(P141))-LEN(SUBSTITUTE(P141," ",""))+1</f>
        <v/>
      </c>
      <c r="R141" s="4" t="n">
        <v>22.8023428</v>
      </c>
      <c r="S141" s="4" t="n">
        <v>86.2179881</v>
      </c>
      <c r="T141" s="4">
        <f>COUNTIF($G$2:G141,G141)</f>
        <v/>
      </c>
      <c r="U141" s="4">
        <f>IF(F141&lt;5,"YES","NO")</f>
        <v/>
      </c>
      <c r="V141" s="4">
        <f>IF(AND(N141&lt;&gt;"",O141&lt;&gt;""),"YES","NO")</f>
        <v/>
      </c>
      <c r="W141" s="4">
        <f>IF(HOUR(D141)&lt;12,"Morning",IF(HOUR(D141)&lt;17,"Afternoon","Evening"))</f>
        <v/>
      </c>
      <c r="X141" s="4" t="n">
        <v>7</v>
      </c>
      <c r="Y141" s="4">
        <f>IF(F141&lt;5,"&lt;5 min",IF(F141&lt;15,"5-15 min",IF(F141&lt;30,"15-30 min","30+ min")))</f>
        <v/>
      </c>
    </row>
    <row r="142">
      <c r="A142" s="3" t="n">
        <v>46015</v>
      </c>
      <c r="B142" s="4" t="inlineStr">
        <is>
          <t>Wednesday</t>
        </is>
      </c>
      <c r="C142" s="4" t="inlineStr">
        <is>
          <t>Dec 25</t>
        </is>
      </c>
      <c r="D142" s="4" t="inlineStr">
        <is>
          <t>24/12/2025, 4:28 pm</t>
        </is>
      </c>
      <c r="E142" s="4" t="inlineStr">
        <is>
          <t>24/12/2025, 4:29 pm</t>
        </is>
      </c>
      <c r="F142" s="4">
        <f>(E142-D142)*24*60</f>
        <v/>
      </c>
      <c r="G142" s="4" t="inlineStr">
        <is>
          <t>M/S KHANDELWAL SALES AGENCIES</t>
        </is>
      </c>
      <c r="H142" s="4" t="inlineStr">
        <is>
          <t>001J100000VnoofIAB</t>
        </is>
      </c>
      <c r="I142" s="4" t="n">
        <v>831001</v>
      </c>
      <c r="J142" s="4" t="inlineStr">
        <is>
          <t>EAST SINGHBUM</t>
        </is>
      </c>
      <c r="K142" s="4" t="inlineStr"/>
      <c r="L142" s="4" t="inlineStr">
        <is>
          <t>Retailer PB</t>
        </is>
      </c>
      <c r="M142" s="4" t="inlineStr">
        <is>
          <t>Got future date</t>
        </is>
      </c>
      <c r="N142" s="4" t="inlineStr">
        <is>
          <t>Dealer of kamdhenu and rungta tmt. Rates given 57000 landed to the dealer.</t>
        </is>
      </c>
      <c r="O142" s="4" t="inlineStr">
        <is>
          <t>Asking to connect us or distributor when demand comes by him.</t>
        </is>
      </c>
      <c r="P142" s="4" t="inlineStr">
        <is>
          <t>Dealer of kamdhenu and rungta tmt. Rates given 57000 landed to the dealer. | Asking to connect us or distributor when demand comes by him.</t>
        </is>
      </c>
      <c r="Q142" s="4">
        <f>LEN(TRIM(P142))-LEN(SUBSTITUTE(P142," ",""))+1</f>
        <v/>
      </c>
      <c r="R142" s="4" t="n">
        <v>22.8022989</v>
      </c>
      <c r="S142" s="4" t="n">
        <v>86.21798149999999</v>
      </c>
      <c r="T142" s="4">
        <f>COUNTIF($G$2:G142,G142)</f>
        <v/>
      </c>
      <c r="U142" s="4">
        <f>IF(F142&lt;5,"YES","NO")</f>
        <v/>
      </c>
      <c r="V142" s="4">
        <f>IF(AND(N142&lt;&gt;"",O142&lt;&gt;""),"YES","NO")</f>
        <v/>
      </c>
      <c r="W142" s="4">
        <f>IF(HOUR(D142)&lt;12,"Morning",IF(HOUR(D142)&lt;17,"Afternoon","Evening"))</f>
        <v/>
      </c>
      <c r="X142" s="4" t="n">
        <v>8</v>
      </c>
      <c r="Y142" s="4">
        <f>IF(F142&lt;5,"&lt;5 min",IF(F142&lt;15,"5-15 min",IF(F142&lt;30,"15-30 min","30+ min")))</f>
        <v/>
      </c>
    </row>
    <row r="143">
      <c r="A143" s="3" t="n">
        <v>46049</v>
      </c>
      <c r="B143" s="4" t="inlineStr">
        <is>
          <t>Tuesday</t>
        </is>
      </c>
      <c r="C143" s="4" t="inlineStr">
        <is>
          <t>Jan 26</t>
        </is>
      </c>
      <c r="D143" s="4" t="inlineStr">
        <is>
          <t>27/01/2026, 4:59 pm</t>
        </is>
      </c>
      <c r="E143" s="4" t="inlineStr">
        <is>
          <t>27/01/2026, 5:00 pm</t>
        </is>
      </c>
      <c r="F143" s="4">
        <f>(E143-D143)*24*60</f>
        <v/>
      </c>
      <c r="G143" s="4" t="inlineStr">
        <is>
          <t>M/S KHANDELWAL SALES AGENCIES</t>
        </is>
      </c>
      <c r="H143" s="4" t="inlineStr">
        <is>
          <t>001J100000VnoofIAB</t>
        </is>
      </c>
      <c r="I143" s="4" t="n">
        <v>831001</v>
      </c>
      <c r="J143" s="4" t="inlineStr">
        <is>
          <t>EAST SINGHBUM</t>
        </is>
      </c>
      <c r="K143" s="4" t="inlineStr"/>
      <c r="L143" s="4" t="inlineStr">
        <is>
          <t>Retailer PB</t>
        </is>
      </c>
      <c r="M143" s="4" t="inlineStr">
        <is>
          <t>Got future date</t>
        </is>
      </c>
      <c r="N143" s="4" t="inlineStr">
        <is>
          <t>Dealer of RUNGTA TMT and panther TMT. Rates given 63000 landed. Last purchase panther @ 62 landed.</t>
        </is>
      </c>
      <c r="O143" s="4" t="inlineStr">
        <is>
          <t>Will connect us on inquiry. Need time. Need special rates to work on initial basis.</t>
        </is>
      </c>
      <c r="P143" s="4" t="inlineStr">
        <is>
          <t>Dealer of RUNGTA TMT and panther TMT. Rates given 63000 landed. Last purchase panther @ 62 landed. | Will connect us on inquiry. Need time. Need special rates to work on initial basis.</t>
        </is>
      </c>
      <c r="Q143" s="4">
        <f>LEN(TRIM(P143))-LEN(SUBSTITUTE(P143," ",""))+1</f>
        <v/>
      </c>
      <c r="R143" s="4" t="n">
        <v>22.8023741</v>
      </c>
      <c r="S143" s="4" t="n">
        <v>86.21801979999999</v>
      </c>
      <c r="T143" s="4">
        <f>COUNTIF($G$2:G143,G143)</f>
        <v/>
      </c>
      <c r="U143" s="4">
        <f>IF(F143&lt;5,"YES","NO")</f>
        <v/>
      </c>
      <c r="V143" s="4">
        <f>IF(AND(N143&lt;&gt;"",O143&lt;&gt;""),"YES","NO")</f>
        <v/>
      </c>
      <c r="W143" s="4">
        <f>IF(HOUR(D143)&lt;12,"Morning",IF(HOUR(D143)&lt;17,"Afternoon","Evening"))</f>
        <v/>
      </c>
      <c r="X143" s="4" t="n">
        <v>6</v>
      </c>
      <c r="Y143" s="4">
        <f>IF(F143&lt;5,"&lt;5 min",IF(F143&lt;15,"5-15 min",IF(F143&lt;30,"15-30 min","30+ min")))</f>
        <v/>
      </c>
    </row>
    <row r="144">
      <c r="A144" s="3" t="n">
        <v>45987</v>
      </c>
      <c r="B144" s="4" t="inlineStr">
        <is>
          <t>Wednesday</t>
        </is>
      </c>
      <c r="C144" s="4" t="inlineStr">
        <is>
          <t>Nov 25</t>
        </is>
      </c>
      <c r="D144" s="4" t="inlineStr">
        <is>
          <t>26/11/2025, 2:03 pm</t>
        </is>
      </c>
      <c r="E144" s="4" t="inlineStr">
        <is>
          <t>26/11/2025, 2:05 pm</t>
        </is>
      </c>
      <c r="F144" s="4">
        <f>(E144-D144)*24*60</f>
        <v/>
      </c>
      <c r="G144" s="4" t="inlineStr">
        <is>
          <t>M/S KRIS ENTERPRISE</t>
        </is>
      </c>
      <c r="H144" s="4" t="inlineStr">
        <is>
          <t>001fw00000DYHADAA5</t>
        </is>
      </c>
      <c r="I144" s="4" t="n">
        <v>832401</v>
      </c>
      <c r="J144" s="4" t="inlineStr">
        <is>
          <t>SARAIKELA KHARSAWAN</t>
        </is>
      </c>
      <c r="K144" s="4" t="inlineStr"/>
      <c r="L144" s="4" t="inlineStr">
        <is>
          <t>Retailer PB</t>
        </is>
      </c>
      <c r="M144" s="4" t="inlineStr">
        <is>
          <t>Account created</t>
        </is>
      </c>
      <c r="N144" s="4" t="inlineStr">
        <is>
          <t>Dealer of rungta and govinda tmt. Product knowledge and description given to custumer</t>
        </is>
      </c>
      <c r="O144" s="4" t="inlineStr">
        <is>
          <t>Will connect need time to discuss .</t>
        </is>
      </c>
      <c r="P144" s="4" t="inlineStr">
        <is>
          <t>Dealer of rungta and govinda tmt. Product knowledge and description given to custumer | Will connect need time to discuss .</t>
        </is>
      </c>
      <c r="Q144" s="4">
        <f>LEN(TRIM(P144))-LEN(SUBSTITUTE(P144," ",""))+1</f>
        <v/>
      </c>
      <c r="R144" s="4" t="n">
        <v>22.9671225</v>
      </c>
      <c r="S144" s="4" t="n">
        <v>85.984246</v>
      </c>
      <c r="T144" s="4">
        <f>COUNTIF($G$2:G144,G144)</f>
        <v/>
      </c>
      <c r="U144" s="4">
        <f>IF(F144&lt;5,"YES","NO")</f>
        <v/>
      </c>
      <c r="V144" s="4">
        <f>IF(AND(N144&lt;&gt;"",O144&lt;&gt;""),"YES","NO")</f>
        <v/>
      </c>
      <c r="W144" s="4">
        <f>IF(HOUR(D144)&lt;12,"Morning",IF(HOUR(D144)&lt;17,"Afternoon","Evening"))</f>
        <v/>
      </c>
      <c r="X144" s="4" t="n">
        <v>4</v>
      </c>
      <c r="Y144" s="4">
        <f>IF(F144&lt;5,"&lt;5 min",IF(F144&lt;15,"5-15 min",IF(F144&lt;30,"15-30 min","30+ min")))</f>
        <v/>
      </c>
    </row>
    <row r="145">
      <c r="A145" s="3" t="n">
        <v>45966</v>
      </c>
      <c r="B145" s="4" t="inlineStr">
        <is>
          <t>Wednesday</t>
        </is>
      </c>
      <c r="C145" s="4" t="inlineStr">
        <is>
          <t>Nov 25</t>
        </is>
      </c>
      <c r="D145" s="4" t="inlineStr">
        <is>
          <t>05/11/2025, 12:49 pm</t>
        </is>
      </c>
      <c r="E145" s="4" t="inlineStr">
        <is>
          <t>05/11/2025, 12:50 pm</t>
        </is>
      </c>
      <c r="F145" s="4">
        <f>(E145-D145)*24*60</f>
        <v/>
      </c>
      <c r="G145" s="4" t="inlineStr">
        <is>
          <t>M/S LAWRENCE KUNJ &amp; ASSOCIATES</t>
        </is>
      </c>
      <c r="H145" s="4" t="inlineStr">
        <is>
          <t>001J100000Vo0fLIAR</t>
        </is>
      </c>
      <c r="I145" s="4" t="n">
        <v>831011</v>
      </c>
      <c r="J145" s="4" t="inlineStr">
        <is>
          <t>EAST SINGHBUM</t>
        </is>
      </c>
      <c r="K145" s="4" t="inlineStr"/>
      <c r="L145" s="4" t="inlineStr">
        <is>
          <t>Retailer PB</t>
        </is>
      </c>
      <c r="M145" s="4" t="inlineStr">
        <is>
          <t>Got future date</t>
        </is>
      </c>
      <c r="N145" s="4" t="inlineStr">
        <is>
          <t>Archietect and contractor of commercial and residential projects . Using panther and rungta tmt . Rates given 46000 basic to the customer. Will share us customer reference and inquiry.</t>
        </is>
      </c>
      <c r="O145" s="4" t="inlineStr">
        <is>
          <t>Will connect us later . Need time for inquiry to come .</t>
        </is>
      </c>
      <c r="P145" s="4" t="inlineStr">
        <is>
          <t>Archietect and contractor of commercial and residential projects . Using panther and rungta tmt . Rates given 46000 basic to the customer. Will share us customer reference and inquiry. | Will connect us later . Need time for inquiry to come .</t>
        </is>
      </c>
      <c r="Q145" s="4">
        <f>LEN(TRIM(P145))-LEN(SUBSTITUTE(P145," ",""))+1</f>
        <v/>
      </c>
      <c r="R145" s="4" t="n">
        <v>22.8119845</v>
      </c>
      <c r="S145" s="4" t="n">
        <v>86.2151733</v>
      </c>
      <c r="T145" s="4">
        <f>COUNTIF($G$2:G145,G145)</f>
        <v/>
      </c>
      <c r="U145" s="4">
        <f>IF(F145&lt;5,"YES","NO")</f>
        <v/>
      </c>
      <c r="V145" s="4">
        <f>IF(AND(N145&lt;&gt;"",O145&lt;&gt;""),"YES","NO")</f>
        <v/>
      </c>
      <c r="W145" s="4">
        <f>IF(HOUR(D145)&lt;12,"Morning",IF(HOUR(D145)&lt;17,"Afternoon","Evening"))</f>
        <v/>
      </c>
      <c r="X145" s="4" t="n">
        <v>6</v>
      </c>
      <c r="Y145" s="4">
        <f>IF(F145&lt;5,"&lt;5 min",IF(F145&lt;15,"5-15 min",IF(F145&lt;30,"15-30 min","30+ min")))</f>
        <v/>
      </c>
    </row>
    <row r="146">
      <c r="A146" s="3" t="n">
        <v>45987</v>
      </c>
      <c r="B146" s="4" t="inlineStr">
        <is>
          <t>Wednesday</t>
        </is>
      </c>
      <c r="C146" s="4" t="inlineStr">
        <is>
          <t>Nov 25</t>
        </is>
      </c>
      <c r="D146" s="4" t="inlineStr">
        <is>
          <t>26/11/2025, 10:44 am</t>
        </is>
      </c>
      <c r="E146" s="4" t="inlineStr">
        <is>
          <t>26/11/2025, 10:48 am</t>
        </is>
      </c>
      <c r="F146" s="4">
        <f>(E146-D146)*24*60</f>
        <v/>
      </c>
      <c r="G146" s="4" t="inlineStr">
        <is>
          <t>M/S LAWRENCE KUNJ &amp; ASSOCIATES</t>
        </is>
      </c>
      <c r="H146" s="4" t="inlineStr">
        <is>
          <t>001J100000Vo0fLIAR</t>
        </is>
      </c>
      <c r="I146" s="4" t="n">
        <v>831011</v>
      </c>
      <c r="J146" s="4" t="inlineStr">
        <is>
          <t>EAST SINGHBUM</t>
        </is>
      </c>
      <c r="K146" s="4" t="inlineStr"/>
      <c r="L146" s="4" t="inlineStr">
        <is>
          <t>Retailer PB</t>
        </is>
      </c>
      <c r="M146" s="4" t="inlineStr">
        <is>
          <t>Got future date</t>
        </is>
      </c>
      <c r="N146" s="4" t="inlineStr">
        <is>
          <t>Archietect and contractor of commercial ihb and real estate projects. Rates given 54000 landed to the customer asking to wait Will share inquiries .</t>
        </is>
      </c>
      <c r="O146" s="4" t="inlineStr">
        <is>
          <t>Last purchase panther @ 55000 landed till site. Customer preferred panther will guide direct customers .</t>
        </is>
      </c>
      <c r="P146" s="4" t="inlineStr">
        <is>
          <t>Archietect and contractor of commercial ihb and real estate projects. Rates given 54000 landed to the customer asking to wait Will share inquiries . | Last purchase panther @ 55000 landed till site. Customer preferred panther will guide direct customers .</t>
        </is>
      </c>
      <c r="Q146" s="4">
        <f>LEN(TRIM(P146))-LEN(SUBSTITUTE(P146," ",""))+1</f>
        <v/>
      </c>
      <c r="R146" s="4" t="n">
        <v>22.812116</v>
      </c>
      <c r="S146" s="4" t="n">
        <v>86.2151432</v>
      </c>
      <c r="T146" s="4">
        <f>COUNTIF($G$2:G146,G146)</f>
        <v/>
      </c>
      <c r="U146" s="4">
        <f>IF(F146&lt;5,"YES","NO")</f>
        <v/>
      </c>
      <c r="V146" s="4">
        <f>IF(AND(N146&lt;&gt;"",O146&lt;&gt;""),"YES","NO")</f>
        <v/>
      </c>
      <c r="W146" s="4">
        <f>IF(HOUR(D146)&lt;12,"Morning",IF(HOUR(D146)&lt;17,"Afternoon","Evening"))</f>
        <v/>
      </c>
      <c r="X146" s="4" t="n">
        <v>4</v>
      </c>
      <c r="Y146" s="4">
        <f>IF(F146&lt;5,"&lt;5 min",IF(F146&lt;15,"5-15 min",IF(F146&lt;30,"15-30 min","30+ min")))</f>
        <v/>
      </c>
    </row>
    <row r="147">
      <c r="A147" s="3" t="n">
        <v>46003</v>
      </c>
      <c r="B147" s="4" t="inlineStr">
        <is>
          <t>Friday</t>
        </is>
      </c>
      <c r="C147" s="4" t="inlineStr">
        <is>
          <t>Dec 25</t>
        </is>
      </c>
      <c r="D147" s="4" t="inlineStr">
        <is>
          <t>12/12/2025, 3:37 pm</t>
        </is>
      </c>
      <c r="E147" s="4" t="inlineStr">
        <is>
          <t>12/12/2025, 3:39 pm</t>
        </is>
      </c>
      <c r="F147" s="4">
        <f>(E147-D147)*24*60</f>
        <v/>
      </c>
      <c r="G147" s="4" t="inlineStr">
        <is>
          <t>M/S LAWRENCE KUNJ &amp; ASSOCIATES</t>
        </is>
      </c>
      <c r="H147" s="4" t="inlineStr">
        <is>
          <t>001J100000Vo0fLIAR</t>
        </is>
      </c>
      <c r="I147" s="4" t="n">
        <v>831011</v>
      </c>
      <c r="J147" s="4" t="inlineStr">
        <is>
          <t>EAST SINGHBUM</t>
        </is>
      </c>
      <c r="K147" s="4" t="inlineStr"/>
      <c r="L147" s="4" t="inlineStr">
        <is>
          <t>Retailer PB</t>
        </is>
      </c>
      <c r="M147" s="4" t="inlineStr">
        <is>
          <t>Got future date</t>
        </is>
      </c>
      <c r="N147" s="4" t="inlineStr">
        <is>
          <t>Archietect and contractor of ihb commercial and real estate projects. Rates given 56000 landed to the custumer .</t>
        </is>
      </c>
      <c r="O147" s="4" t="inlineStr">
        <is>
          <t>Will share inquiry currently new 3 projects started Will share with us .</t>
        </is>
      </c>
      <c r="P147" s="4" t="inlineStr">
        <is>
          <t>Archietect and contractor of ihb commercial and real estate projects. Rates given 56000 landed to the custumer . | Will share inquiry currently new 3 projects started Will share with us .</t>
        </is>
      </c>
      <c r="Q147" s="4">
        <f>LEN(TRIM(P147))-LEN(SUBSTITUTE(P147," ",""))+1</f>
        <v/>
      </c>
      <c r="R147" s="4" t="n">
        <v>22.8118834</v>
      </c>
      <c r="S147" s="4" t="n">
        <v>86.21519739999999</v>
      </c>
      <c r="T147" s="4">
        <f>COUNTIF($G$2:G147,G147)</f>
        <v/>
      </c>
      <c r="U147" s="4">
        <f>IF(F147&lt;5,"YES","NO")</f>
        <v/>
      </c>
      <c r="V147" s="4">
        <f>IF(AND(N147&lt;&gt;"",O147&lt;&gt;""),"YES","NO")</f>
        <v/>
      </c>
      <c r="W147" s="4">
        <f>IF(HOUR(D147)&lt;12,"Morning",IF(HOUR(D147)&lt;17,"Afternoon","Evening"))</f>
        <v/>
      </c>
      <c r="X147" s="4" t="n">
        <v>7</v>
      </c>
      <c r="Y147" s="4">
        <f>IF(F147&lt;5,"&lt;5 min",IF(F147&lt;15,"5-15 min",IF(F147&lt;30,"15-30 min","30+ min")))</f>
        <v/>
      </c>
    </row>
    <row r="148">
      <c r="A148" s="3" t="n">
        <v>46030</v>
      </c>
      <c r="B148" s="4" t="inlineStr">
        <is>
          <t>Thursday</t>
        </is>
      </c>
      <c r="C148" s="4" t="inlineStr">
        <is>
          <t>Jan 26</t>
        </is>
      </c>
      <c r="D148" s="4" t="inlineStr">
        <is>
          <t>08/01/2026, 11:36 am</t>
        </is>
      </c>
      <c r="E148" s="4" t="inlineStr">
        <is>
          <t>08/01/2026, 11:37 am</t>
        </is>
      </c>
      <c r="F148" s="4">
        <f>(E148-D148)*24*60</f>
        <v/>
      </c>
      <c r="G148" s="4" t="inlineStr">
        <is>
          <t>M/S LAWRENCE KUNJ &amp; ASSOCIATES</t>
        </is>
      </c>
      <c r="H148" s="4" t="inlineStr">
        <is>
          <t>001J100000Vo0fLIAR</t>
        </is>
      </c>
      <c r="I148" s="4" t="n">
        <v>831011</v>
      </c>
      <c r="J148" s="4" t="inlineStr">
        <is>
          <t>EAST SINGHBUM</t>
        </is>
      </c>
      <c r="K148" s="4" t="inlineStr"/>
      <c r="L148" s="4" t="inlineStr">
        <is>
          <t>Retailer PB</t>
        </is>
      </c>
      <c r="M148" s="4" t="inlineStr">
        <is>
          <t>Got future date</t>
        </is>
      </c>
      <c r="N148" s="4" t="inlineStr">
        <is>
          <t>IHB, real estate and commercial project contractor. Using rungta rashmi panther and jsw one. Rates given 59500 landed.</t>
        </is>
      </c>
      <c r="O148" s="4" t="inlineStr">
        <is>
          <t>Will connect us on inquiry received from site. Need time to share.</t>
        </is>
      </c>
      <c r="P148" s="4" t="inlineStr">
        <is>
          <t>IHB, real estate and commercial project contractor. Using rungta rashmi panther and jsw one. Rates given 59500 landed. | Will connect us on inquiry received from site. Need time to share.</t>
        </is>
      </c>
      <c r="Q148" s="4">
        <f>LEN(TRIM(P148))-LEN(SUBSTITUTE(P148," ",""))+1</f>
        <v/>
      </c>
      <c r="R148" s="4" t="n">
        <v>22.8120117</v>
      </c>
      <c r="S148" s="4" t="n">
        <v>86.2152052</v>
      </c>
      <c r="T148" s="4">
        <f>COUNTIF($G$2:G148,G148)</f>
        <v/>
      </c>
      <c r="U148" s="4">
        <f>IF(F148&lt;5,"YES","NO")</f>
        <v/>
      </c>
      <c r="V148" s="4">
        <f>IF(AND(N148&lt;&gt;"",O148&lt;&gt;""),"YES","NO")</f>
        <v/>
      </c>
      <c r="W148" s="4">
        <f>IF(HOUR(D148)&lt;12,"Morning",IF(HOUR(D148)&lt;17,"Afternoon","Evening"))</f>
        <v/>
      </c>
      <c r="X148" s="4" t="n">
        <v>7</v>
      </c>
      <c r="Y148" s="4">
        <f>IF(F148&lt;5,"&lt;5 min",IF(F148&lt;15,"5-15 min",IF(F148&lt;30,"15-30 min","30+ min")))</f>
        <v/>
      </c>
    </row>
    <row r="149">
      <c r="A149" s="3" t="n">
        <v>46000</v>
      </c>
      <c r="B149" s="4" t="inlineStr">
        <is>
          <t>Tuesday</t>
        </is>
      </c>
      <c r="C149" s="4" t="inlineStr">
        <is>
          <t>Dec 25</t>
        </is>
      </c>
      <c r="D149" s="4" t="inlineStr">
        <is>
          <t>09/12/2025, 4:03 pm</t>
        </is>
      </c>
      <c r="E149" s="4" t="inlineStr">
        <is>
          <t>09/12/2025, 4:04 pm</t>
        </is>
      </c>
      <c r="F149" s="4">
        <f>(E149-D149)*24*60</f>
        <v/>
      </c>
      <c r="G149" s="4" t="inlineStr">
        <is>
          <t>M/S MAA RANKINI ENTERPRISES</t>
        </is>
      </c>
      <c r="H149" s="4" t="inlineStr">
        <is>
          <t>001fw0000058ySLAAY</t>
        </is>
      </c>
      <c r="I149" s="4" t="n">
        <v>832104</v>
      </c>
      <c r="J149" s="4" t="inlineStr">
        <is>
          <t>EAST SINGHBUM</t>
        </is>
      </c>
      <c r="K149" s="4" t="inlineStr"/>
      <c r="L149" s="4" t="inlineStr">
        <is>
          <t>Retailer PB</t>
        </is>
      </c>
      <c r="M149" s="4" t="inlineStr">
        <is>
          <t>Got future date</t>
        </is>
      </c>
      <c r="N149" s="4" t="inlineStr">
        <is>
          <t>Dealer of panther and rungta tmt. Rates given 55500 landed to the dealer. Will be sharing requirements</t>
        </is>
      </c>
      <c r="O149" s="4" t="inlineStr">
        <is>
          <t>Will connect us with an inquiry of steel asking us to wait. Selling panther @ 59000 landed from outlet.</t>
        </is>
      </c>
      <c r="P149" s="4" t="inlineStr">
        <is>
          <t>Dealer of panther and rungta tmt. Rates given 55500 landed to the dealer. Will be sharing requirements | Will connect us with an inquiry of steel asking us to wait. Selling panther @ 59000 landed from outlet.</t>
        </is>
      </c>
      <c r="Q149" s="4">
        <f>LEN(TRIM(P149))-LEN(SUBSTITUTE(P149," ",""))+1</f>
        <v/>
      </c>
      <c r="R149" s="4" t="n">
        <v>22.8108265</v>
      </c>
      <c r="S149" s="4" t="n">
        <v>86.10828650000001</v>
      </c>
      <c r="T149" s="4">
        <f>COUNTIF($G$2:G149,G149)</f>
        <v/>
      </c>
      <c r="U149" s="4">
        <f>IF(F149&lt;5,"YES","NO")</f>
        <v/>
      </c>
      <c r="V149" s="4">
        <f>IF(AND(N149&lt;&gt;"",O149&lt;&gt;""),"YES","NO")</f>
        <v/>
      </c>
      <c r="W149" s="4">
        <f>IF(HOUR(D149)&lt;12,"Morning",IF(HOUR(D149)&lt;17,"Afternoon","Evening"))</f>
        <v/>
      </c>
      <c r="X149" s="4" t="n">
        <v>6</v>
      </c>
      <c r="Y149" s="4">
        <f>IF(F149&lt;5,"&lt;5 min",IF(F149&lt;15,"5-15 min",IF(F149&lt;30,"15-30 min","30+ min")))</f>
        <v/>
      </c>
    </row>
    <row r="150">
      <c r="A150" s="3" t="n">
        <v>46021</v>
      </c>
      <c r="B150" s="4" t="inlineStr">
        <is>
          <t>Tuesday</t>
        </is>
      </c>
      <c r="C150" s="4" t="inlineStr">
        <is>
          <t>Dec 25</t>
        </is>
      </c>
      <c r="D150" s="4" t="inlineStr">
        <is>
          <t>30/12/2025, 6:23 pm</t>
        </is>
      </c>
      <c r="E150" s="4" t="inlineStr">
        <is>
          <t>30/12/2025, 6:25 pm</t>
        </is>
      </c>
      <c r="F150" s="4">
        <f>(E150-D150)*24*60</f>
        <v/>
      </c>
      <c r="G150" s="4" t="inlineStr">
        <is>
          <t>M/S MAA RANKINI ENTERPRISES</t>
        </is>
      </c>
      <c r="H150" s="4" t="inlineStr">
        <is>
          <t>001fw0000058ySLAAY</t>
        </is>
      </c>
      <c r="I150" s="4" t="n">
        <v>832104</v>
      </c>
      <c r="J150" s="4" t="inlineStr">
        <is>
          <t>EAST SINGHBUM</t>
        </is>
      </c>
      <c r="K150" s="4" t="inlineStr"/>
      <c r="L150" s="4" t="inlineStr">
        <is>
          <t>Retailer PB</t>
        </is>
      </c>
      <c r="M150" s="4" t="inlineStr">
        <is>
          <t>Got future date</t>
        </is>
      </c>
      <c r="N150" s="4" t="inlineStr">
        <is>
          <t>Dealer of Jindal panther and rungta tmt . Rates given 58000 landed to the custumer.</t>
        </is>
      </c>
      <c r="O150" s="4" t="inlineStr">
        <is>
          <t>Will connect us on inquiry . Asking to visit in next week for inquiry.</t>
        </is>
      </c>
      <c r="P150" s="4" t="inlineStr">
        <is>
          <t>Dealer of Jindal panther and rungta tmt . Rates given 58000 landed to the custumer. | Will connect us on inquiry . Asking to visit in next week for inquiry.</t>
        </is>
      </c>
      <c r="Q150" s="4">
        <f>LEN(TRIM(P150))-LEN(SUBSTITUTE(P150," ",""))+1</f>
        <v/>
      </c>
      <c r="R150" s="4" t="n">
        <v>22.8108356</v>
      </c>
      <c r="S150" s="4" t="n">
        <v>86.1099801</v>
      </c>
      <c r="T150" s="4">
        <f>COUNTIF($G$2:G150,G150)</f>
        <v/>
      </c>
      <c r="U150" s="4">
        <f>IF(F150&lt;5,"YES","NO")</f>
        <v/>
      </c>
      <c r="V150" s="4">
        <f>IF(AND(N150&lt;&gt;"",O150&lt;&gt;""),"YES","NO")</f>
        <v/>
      </c>
      <c r="W150" s="4">
        <f>IF(HOUR(D150)&lt;12,"Morning",IF(HOUR(D150)&lt;17,"Afternoon","Evening"))</f>
        <v/>
      </c>
      <c r="X150" s="4" t="n">
        <v>7</v>
      </c>
      <c r="Y150" s="4">
        <f>IF(F150&lt;5,"&lt;5 min",IF(F150&lt;15,"5-15 min",IF(F150&lt;30,"15-30 min","30+ min")))</f>
        <v/>
      </c>
    </row>
    <row r="151">
      <c r="A151" s="3" t="n">
        <v>46037</v>
      </c>
      <c r="B151" s="4" t="inlineStr">
        <is>
          <t>Thursday</t>
        </is>
      </c>
      <c r="C151" s="4" t="inlineStr">
        <is>
          <t>Jan 26</t>
        </is>
      </c>
      <c r="D151" s="4" t="inlineStr">
        <is>
          <t>15/01/2026, 6:31 pm</t>
        </is>
      </c>
      <c r="E151" s="4" t="inlineStr">
        <is>
          <t>15/01/2026, 6:32 pm</t>
        </is>
      </c>
      <c r="F151" s="4">
        <f>(E151-D151)*24*60</f>
        <v/>
      </c>
      <c r="G151" s="4" t="inlineStr">
        <is>
          <t>M/S MAA RANKINI ENTERPRISES</t>
        </is>
      </c>
      <c r="H151" s="4" t="inlineStr">
        <is>
          <t>001fw0000058ySLAAY</t>
        </is>
      </c>
      <c r="I151" s="4" t="n">
        <v>832104</v>
      </c>
      <c r="J151" s="4" t="inlineStr">
        <is>
          <t>EAST SINGHBUM</t>
        </is>
      </c>
      <c r="K151" s="4" t="inlineStr"/>
      <c r="L151" s="4" t="inlineStr">
        <is>
          <t>Retailer PB</t>
        </is>
      </c>
      <c r="M151" s="4" t="inlineStr">
        <is>
          <t>Got future date</t>
        </is>
      </c>
      <c r="N151" s="4" t="inlineStr">
        <is>
          <t>Dealer of panther and RUNGTA TMT. Rates given 61500 landed to the CUSTUMER. No inquiry now. Has stock will connect us.</t>
        </is>
      </c>
      <c r="O151" s="4" t="inlineStr">
        <is>
          <t>Need time. Will give us inquiry in next week. Asking to wait.</t>
        </is>
      </c>
      <c r="P151" s="4" t="inlineStr">
        <is>
          <t>Dealer of panther and RUNGTA TMT. Rates given 61500 landed to the CUSTUMER. No inquiry now. Has stock will connect us. | Need time. Will give us inquiry in next week. Asking to wait.</t>
        </is>
      </c>
      <c r="Q151" s="4">
        <f>LEN(TRIM(P151))-LEN(SUBSTITUTE(P151," ",""))+1</f>
        <v/>
      </c>
      <c r="R151" s="4" t="n">
        <v>22.8104659</v>
      </c>
      <c r="S151" s="4" t="n">
        <v>86.11071870000001</v>
      </c>
      <c r="T151" s="4">
        <f>COUNTIF($G$2:G151,G151)</f>
        <v/>
      </c>
      <c r="U151" s="4">
        <f>IF(F151&lt;5,"YES","NO")</f>
        <v/>
      </c>
      <c r="V151" s="4">
        <f>IF(AND(N151&lt;&gt;"",O151&lt;&gt;""),"YES","NO")</f>
        <v/>
      </c>
      <c r="W151" s="4">
        <f>IF(HOUR(D151)&lt;12,"Morning",IF(HOUR(D151)&lt;17,"Afternoon","Evening"))</f>
        <v/>
      </c>
      <c r="X151" s="4" t="n">
        <v>6</v>
      </c>
      <c r="Y151" s="4">
        <f>IF(F151&lt;5,"&lt;5 min",IF(F151&lt;15,"5-15 min",IF(F151&lt;30,"15-30 min","30+ min")))</f>
        <v/>
      </c>
    </row>
    <row r="152">
      <c r="A152" s="3" t="n">
        <v>46051</v>
      </c>
      <c r="B152" s="4" t="inlineStr">
        <is>
          <t>Thursday</t>
        </is>
      </c>
      <c r="C152" s="4" t="inlineStr">
        <is>
          <t>Jan 26</t>
        </is>
      </c>
      <c r="D152" s="4" t="inlineStr">
        <is>
          <t>29/01/2026, 12:57 pm</t>
        </is>
      </c>
      <c r="E152" s="4" t="inlineStr">
        <is>
          <t>29/01/2026, 12:59 pm</t>
        </is>
      </c>
      <c r="F152" s="4">
        <f>(E152-D152)*24*60</f>
        <v/>
      </c>
      <c r="G152" s="4" t="inlineStr">
        <is>
          <t>M/S MAA RANKINI ENTERPRISES</t>
        </is>
      </c>
      <c r="H152" s="4" t="inlineStr">
        <is>
          <t>001fw0000058ySLAAY</t>
        </is>
      </c>
      <c r="I152" s="4" t="n">
        <v>832104</v>
      </c>
      <c r="J152" s="4" t="inlineStr">
        <is>
          <t>EAST SINGHBUM</t>
        </is>
      </c>
      <c r="K152" s="4" t="inlineStr"/>
      <c r="L152" s="4" t="inlineStr">
        <is>
          <t>Retailer PB</t>
        </is>
      </c>
      <c r="M152" s="4" t="inlineStr">
        <is>
          <t>Got future date</t>
        </is>
      </c>
      <c r="N152" s="4" t="inlineStr">
        <is>
          <t>Dealer of panther TMT and RUNGTA TMT. Rates given 64000 landed to the dealer. Selling Tata @ 76 landed to the CUSTUMER.</t>
        </is>
      </c>
      <c r="O152" s="4" t="inlineStr">
        <is>
          <t>Will connect us on inquiry. Need time to coordinate with IHB CUSTUMER to share inquiry.</t>
        </is>
      </c>
      <c r="P152" s="4" t="inlineStr">
        <is>
          <t>Dealer of panther TMT and RUNGTA TMT. Rates given 64000 landed to the dealer. Selling Tata @ 76 landed to the CUSTUMER. | Will connect us on inquiry. Need time to coordinate with IHB CUSTUMER to share inquiry.</t>
        </is>
      </c>
      <c r="Q152" s="4">
        <f>LEN(TRIM(P152))-LEN(SUBSTITUTE(P152," ",""))+1</f>
        <v/>
      </c>
      <c r="R152" s="4" t="n">
        <v>22.8104715</v>
      </c>
      <c r="S152" s="4" t="n">
        <v>86.1107164</v>
      </c>
      <c r="T152" s="4">
        <f>COUNTIF($G$2:G152,G152)</f>
        <v/>
      </c>
      <c r="U152" s="4">
        <f>IF(F152&lt;5,"YES","NO")</f>
        <v/>
      </c>
      <c r="V152" s="4">
        <f>IF(AND(N152&lt;&gt;"",O152&lt;&gt;""),"YES","NO")</f>
        <v/>
      </c>
      <c r="W152" s="4">
        <f>IF(HOUR(D152)&lt;12,"Morning",IF(HOUR(D152)&lt;17,"Afternoon","Evening"))</f>
        <v/>
      </c>
      <c r="X152" s="4" t="n">
        <v>6</v>
      </c>
      <c r="Y152" s="4">
        <f>IF(F152&lt;5,"&lt;5 min",IF(F152&lt;15,"5-15 min",IF(F152&lt;30,"15-30 min","30+ min")))</f>
        <v/>
      </c>
    </row>
    <row r="153">
      <c r="A153" s="3" t="n">
        <v>45993</v>
      </c>
      <c r="B153" s="4" t="inlineStr">
        <is>
          <t>Tuesday</t>
        </is>
      </c>
      <c r="C153" s="4" t="inlineStr">
        <is>
          <t>Dec 25</t>
        </is>
      </c>
      <c r="D153" s="4" t="inlineStr">
        <is>
          <t>02/12/2025, 6:36 pm</t>
        </is>
      </c>
      <c r="E153" s="4" t="inlineStr">
        <is>
          <t>02/12/2025, 6:37 pm</t>
        </is>
      </c>
      <c r="F153" s="4">
        <f>(E153-D153)*24*60</f>
        <v/>
      </c>
      <c r="G153" s="4" t="inlineStr">
        <is>
          <t>M/S MARUTI ENTERPRISES</t>
        </is>
      </c>
      <c r="H153" s="4" t="inlineStr">
        <is>
          <t>001J100000Vo8tZIAR</t>
        </is>
      </c>
      <c r="I153" s="4" t="n">
        <v>832108</v>
      </c>
      <c r="J153" s="4" t="inlineStr">
        <is>
          <t>SARAIKELA KHARSAWAN</t>
        </is>
      </c>
      <c r="K153" s="4" t="inlineStr"/>
      <c r="L153" s="4" t="inlineStr">
        <is>
          <t>Retailer PB</t>
        </is>
      </c>
      <c r="M153" s="4" t="inlineStr">
        <is>
          <t>Got future date</t>
        </is>
      </c>
      <c r="N153" s="4" t="inlineStr">
        <is>
          <t>Dealer of Tata tiscon and rungta tmt. Rates given 55000 landed to the outlet. Asking to connect within this week.</t>
        </is>
      </c>
      <c r="O153" s="4" t="inlineStr">
        <is>
          <t>Will connect us when inquiry comes to him. Need time to think.</t>
        </is>
      </c>
      <c r="P153" s="4" t="inlineStr">
        <is>
          <t>Dealer of Tata tiscon and rungta tmt. Rates given 55000 landed to the outlet. Asking to connect within this week. | Will connect us when inquiry comes to him. Need time to think.</t>
        </is>
      </c>
      <c r="Q153" s="4">
        <f>LEN(TRIM(P153))-LEN(SUBSTITUTE(P153," ",""))+1</f>
        <v/>
      </c>
      <c r="R153" s="4" t="n">
        <v>22.8171478</v>
      </c>
      <c r="S153" s="4" t="n">
        <v>86.1002202</v>
      </c>
      <c r="T153" s="4">
        <f>COUNTIF($G$2:G153,G153)</f>
        <v/>
      </c>
      <c r="U153" s="4">
        <f>IF(F153&lt;5,"YES","NO")</f>
        <v/>
      </c>
      <c r="V153" s="4">
        <f>IF(AND(N153&lt;&gt;"",O153&lt;&gt;""),"YES","NO")</f>
        <v/>
      </c>
      <c r="W153" s="4">
        <f>IF(HOUR(D153)&lt;12,"Morning",IF(HOUR(D153)&lt;17,"Afternoon","Evening"))</f>
        <v/>
      </c>
      <c r="X153" s="4" t="n">
        <v>7</v>
      </c>
      <c r="Y153" s="4">
        <f>IF(F153&lt;5,"&lt;5 min",IF(F153&lt;15,"5-15 min",IF(F153&lt;30,"15-30 min","30+ min")))</f>
        <v/>
      </c>
    </row>
    <row r="154">
      <c r="A154" s="3" t="n">
        <v>46021</v>
      </c>
      <c r="B154" s="4" t="inlineStr">
        <is>
          <t>Tuesday</t>
        </is>
      </c>
      <c r="C154" s="4" t="inlineStr">
        <is>
          <t>Dec 25</t>
        </is>
      </c>
      <c r="D154" s="4" t="inlineStr">
        <is>
          <t>30/12/2025, 5:26 pm</t>
        </is>
      </c>
      <c r="E154" s="4" t="inlineStr">
        <is>
          <t>30/12/2025, 5:27 pm</t>
        </is>
      </c>
      <c r="F154" s="4">
        <f>(E154-D154)*24*60</f>
        <v/>
      </c>
      <c r="G154" s="4" t="inlineStr">
        <is>
          <t>M/S MARUTI ENTERPRISES</t>
        </is>
      </c>
      <c r="H154" s="4" t="inlineStr">
        <is>
          <t>001J100000Vo8tZIAR</t>
        </is>
      </c>
      <c r="I154" s="4" t="n">
        <v>832108</v>
      </c>
      <c r="J154" s="4" t="inlineStr">
        <is>
          <t>SARAIKELA KHARSAWAN</t>
        </is>
      </c>
      <c r="K154" s="4" t="inlineStr"/>
      <c r="L154" s="4" t="inlineStr">
        <is>
          <t>Retailer PB</t>
        </is>
      </c>
      <c r="M154" s="4" t="inlineStr">
        <is>
          <t>Got future date</t>
        </is>
      </c>
      <c r="N154" s="4" t="inlineStr">
        <is>
          <t>Dealer of Tata tiscon and rungta tmt . Rates 58000 landed given to the dealer.</t>
        </is>
      </c>
      <c r="O154" s="4" t="inlineStr">
        <is>
          <t>No inquiry now. Will connect us when demand comes by . Asking to connect later.</t>
        </is>
      </c>
      <c r="P154" s="4" t="inlineStr">
        <is>
          <t>Dealer of Tata tiscon and rungta tmt . Rates 58000 landed given to the dealer. | No inquiry now. Will connect us when demand comes by . Asking to connect later.</t>
        </is>
      </c>
      <c r="Q154" s="4">
        <f>LEN(TRIM(P154))-LEN(SUBSTITUTE(P154," ",""))+1</f>
        <v/>
      </c>
      <c r="R154" s="4" t="n">
        <v>22.8171732</v>
      </c>
      <c r="S154" s="4" t="n">
        <v>86.0998159</v>
      </c>
      <c r="T154" s="4">
        <f>COUNTIF($G$2:G154,G154)</f>
        <v/>
      </c>
      <c r="U154" s="4">
        <f>IF(F154&lt;5,"YES","NO")</f>
        <v/>
      </c>
      <c r="V154" s="4">
        <f>IF(AND(N154&lt;&gt;"",O154&lt;&gt;""),"YES","NO")</f>
        <v/>
      </c>
      <c r="W154" s="4">
        <f>IF(HOUR(D154)&lt;12,"Morning",IF(HOUR(D154)&lt;17,"Afternoon","Evening"))</f>
        <v/>
      </c>
      <c r="X154" s="4" t="n">
        <v>7</v>
      </c>
      <c r="Y154" s="4">
        <f>IF(F154&lt;5,"&lt;5 min",IF(F154&lt;15,"5-15 min",IF(F154&lt;30,"15-30 min","30+ min")))</f>
        <v/>
      </c>
    </row>
    <row r="155">
      <c r="A155" s="3" t="n">
        <v>46037</v>
      </c>
      <c r="B155" s="4" t="inlineStr">
        <is>
          <t>Thursday</t>
        </is>
      </c>
      <c r="C155" s="4" t="inlineStr">
        <is>
          <t>Jan 26</t>
        </is>
      </c>
      <c r="D155" s="4" t="inlineStr">
        <is>
          <t>15/01/2026, 6:53 pm</t>
        </is>
      </c>
      <c r="E155" s="4" t="inlineStr">
        <is>
          <t>15/01/2026, 6:55 pm</t>
        </is>
      </c>
      <c r="F155" s="4">
        <f>(E155-D155)*24*60</f>
        <v/>
      </c>
      <c r="G155" s="4" t="inlineStr">
        <is>
          <t>M/S MARUTI ENTERPRISES</t>
        </is>
      </c>
      <c r="H155" s="4" t="inlineStr">
        <is>
          <t>001J100000Vo8tZIAR</t>
        </is>
      </c>
      <c r="I155" s="4" t="n">
        <v>832108</v>
      </c>
      <c r="J155" s="4" t="inlineStr">
        <is>
          <t>SARAIKELA KHARSAWAN</t>
        </is>
      </c>
      <c r="K155" s="4" t="inlineStr"/>
      <c r="L155" s="4" t="inlineStr">
        <is>
          <t>Retailer PB</t>
        </is>
      </c>
      <c r="M155" s="4" t="inlineStr">
        <is>
          <t>Got future date</t>
        </is>
      </c>
      <c r="N155" s="4" t="inlineStr">
        <is>
          <t>Dealer of Tata tiscon and RUNGTA TMT. Rates given 61500 landed. Will connect us on inquiry.</t>
        </is>
      </c>
      <c r="O155" s="4" t="inlineStr">
        <is>
          <t>No inquiry now. Will connect us on demand received from the CUSTUMER.</t>
        </is>
      </c>
      <c r="P155" s="4" t="inlineStr">
        <is>
          <t>Dealer of Tata tiscon and RUNGTA TMT. Rates given 61500 landed. Will connect us on inquiry. | No inquiry now. Will connect us on demand received from the CUSTUMER.</t>
        </is>
      </c>
      <c r="Q155" s="4">
        <f>LEN(TRIM(P155))-LEN(SUBSTITUTE(P155," ",""))+1</f>
        <v/>
      </c>
      <c r="R155" s="4" t="n">
        <v>22.8170665</v>
      </c>
      <c r="S155" s="4" t="n">
        <v>86.0998877</v>
      </c>
      <c r="T155" s="4">
        <f>COUNTIF($G$2:G155,G155)</f>
        <v/>
      </c>
      <c r="U155" s="4">
        <f>IF(F155&lt;5,"YES","NO")</f>
        <v/>
      </c>
      <c r="V155" s="4">
        <f>IF(AND(N155&lt;&gt;"",O155&lt;&gt;""),"YES","NO")</f>
        <v/>
      </c>
      <c r="W155" s="4">
        <f>IF(HOUR(D155)&lt;12,"Morning",IF(HOUR(D155)&lt;17,"Afternoon","Evening"))</f>
        <v/>
      </c>
      <c r="X155" s="4" t="n">
        <v>6</v>
      </c>
      <c r="Y155" s="4">
        <f>IF(F155&lt;5,"&lt;5 min",IF(F155&lt;15,"5-15 min",IF(F155&lt;30,"15-30 min","30+ min")))</f>
        <v/>
      </c>
    </row>
    <row r="156">
      <c r="A156" s="3" t="n">
        <v>46045</v>
      </c>
      <c r="B156" s="4" t="inlineStr">
        <is>
          <t>Friday</t>
        </is>
      </c>
      <c r="C156" s="4" t="inlineStr">
        <is>
          <t>Jan 26</t>
        </is>
      </c>
      <c r="D156" s="4" t="inlineStr">
        <is>
          <t>23/01/2026, 2:00 pm</t>
        </is>
      </c>
      <c r="E156" s="4" t="inlineStr">
        <is>
          <t>23/01/2026, 2:01 pm</t>
        </is>
      </c>
      <c r="F156" s="4">
        <f>(E156-D156)*24*60</f>
        <v/>
      </c>
      <c r="G156" s="4" t="inlineStr">
        <is>
          <t>M/S MARUTI ENTERPRISES</t>
        </is>
      </c>
      <c r="H156" s="4" t="inlineStr">
        <is>
          <t>001J100000Vo8tZIAR</t>
        </is>
      </c>
      <c r="I156" s="4" t="n">
        <v>832108</v>
      </c>
      <c r="J156" s="4" t="inlineStr">
        <is>
          <t>SARAIKELA KHARSAWAN</t>
        </is>
      </c>
      <c r="K156" s="4" t="inlineStr"/>
      <c r="L156" s="4" t="inlineStr">
        <is>
          <t>Retailer PB</t>
        </is>
      </c>
      <c r="M156" s="4" t="inlineStr">
        <is>
          <t>Got future date</t>
        </is>
      </c>
      <c r="N156" s="4" t="inlineStr">
        <is>
          <t>Tata tiscon and RUNGTA TMT dealer. Rates given 63000 landed. Will connect us on inquiry.</t>
        </is>
      </c>
      <c r="O156" s="4" t="inlineStr">
        <is>
          <t>Will connect us on inquiry received. Will be Co ordinating with CUSTUMER for jsw one.</t>
        </is>
      </c>
      <c r="P156" s="4" t="inlineStr">
        <is>
          <t>Tata tiscon and RUNGTA TMT dealer. Rates given 63000 landed. Will connect us on inquiry. | Will connect us on inquiry received. Will be Co ordinating with CUSTUMER for jsw one.</t>
        </is>
      </c>
      <c r="Q156" s="4">
        <f>LEN(TRIM(P156))-LEN(SUBSTITUTE(P156," ",""))+1</f>
        <v/>
      </c>
      <c r="R156" s="4" t="n">
        <v>22.8172755</v>
      </c>
      <c r="S156" s="4" t="n">
        <v>86.0995841</v>
      </c>
      <c r="T156" s="4">
        <f>COUNTIF($G$2:G156,G156)</f>
        <v/>
      </c>
      <c r="U156" s="4">
        <f>IF(F156&lt;5,"YES","NO")</f>
        <v/>
      </c>
      <c r="V156" s="4">
        <f>IF(AND(N156&lt;&gt;"",O156&lt;&gt;""),"YES","NO")</f>
        <v/>
      </c>
      <c r="W156" s="4">
        <f>IF(HOUR(D156)&lt;12,"Morning",IF(HOUR(D156)&lt;17,"Afternoon","Evening"))</f>
        <v/>
      </c>
      <c r="X156" s="4" t="n">
        <v>5</v>
      </c>
      <c r="Y156" s="4">
        <f>IF(F156&lt;5,"&lt;5 min",IF(F156&lt;15,"5-15 min",IF(F156&lt;30,"15-30 min","30+ min")))</f>
        <v/>
      </c>
    </row>
    <row r="157">
      <c r="A157" s="3" t="n">
        <v>45993</v>
      </c>
      <c r="B157" s="4" t="inlineStr">
        <is>
          <t>Tuesday</t>
        </is>
      </c>
      <c r="C157" s="4" t="inlineStr">
        <is>
          <t>Dec 25</t>
        </is>
      </c>
      <c r="D157" s="4" t="inlineStr">
        <is>
          <t>02/12/2025, 3:30 pm</t>
        </is>
      </c>
      <c r="E157" s="4" t="inlineStr">
        <is>
          <t>02/12/2025, 3:30 pm</t>
        </is>
      </c>
      <c r="F157" s="4">
        <f>(E157-D157)*24*60</f>
        <v/>
      </c>
      <c r="G157" s="4" t="inlineStr">
        <is>
          <t>M/S MITTAL SALES &amp; MARKETING</t>
        </is>
      </c>
      <c r="H157" s="4" t="inlineStr">
        <is>
          <t>001fw00000Ak6StAAJ</t>
        </is>
      </c>
      <c r="I157" s="4" t="n">
        <v>831005</v>
      </c>
      <c r="J157" s="4" t="inlineStr">
        <is>
          <t>EAST SINGHBUM</t>
        </is>
      </c>
      <c r="K157" s="4" t="inlineStr"/>
      <c r="L157" s="4" t="inlineStr">
        <is>
          <t>Retailer PB</t>
        </is>
      </c>
      <c r="M157" s="4" t="inlineStr">
        <is>
          <t>Got future date</t>
        </is>
      </c>
      <c r="N157" s="4" t="inlineStr">
        <is>
          <t>Dealer of rungta tmt and local isi . Rates given 54000 landed to the dealer. Will connect with an inquiry</t>
        </is>
      </c>
      <c r="O157" s="4" t="inlineStr">
        <is>
          <t>Will be connecting if inquiry comes by or steel needed .</t>
        </is>
      </c>
      <c r="P157" s="4" t="inlineStr">
        <is>
          <t>Dealer of rungta tmt and local isi . Rates given 54000 landed to the dealer. Will connect with an inquiry | Will be connecting if inquiry comes by or steel needed .</t>
        </is>
      </c>
      <c r="Q157" s="4">
        <f>LEN(TRIM(P157))-LEN(SUBSTITUTE(P157," ",""))+1</f>
        <v/>
      </c>
      <c r="R157" s="4" t="n">
        <v>22.8024267</v>
      </c>
      <c r="S157" s="4" t="n">
        <v>86.1633417</v>
      </c>
      <c r="T157" s="4">
        <f>COUNTIF($G$2:G157,G157)</f>
        <v/>
      </c>
      <c r="U157" s="4">
        <f>IF(F157&lt;5,"YES","NO")</f>
        <v/>
      </c>
      <c r="V157" s="4">
        <f>IF(AND(N157&lt;&gt;"",O157&lt;&gt;""),"YES","NO")</f>
        <v/>
      </c>
      <c r="W157" s="4">
        <f>IF(HOUR(D157)&lt;12,"Morning",IF(HOUR(D157)&lt;17,"Afternoon","Evening"))</f>
        <v/>
      </c>
      <c r="X157" s="4" t="n">
        <v>7</v>
      </c>
      <c r="Y157" s="4">
        <f>IF(F157&lt;5,"&lt;5 min",IF(F157&lt;15,"5-15 min",IF(F157&lt;30,"15-30 min","30+ min")))</f>
        <v/>
      </c>
    </row>
    <row r="158">
      <c r="A158" s="3" t="n">
        <v>46051</v>
      </c>
      <c r="B158" s="4" t="inlineStr">
        <is>
          <t>Thursday</t>
        </is>
      </c>
      <c r="C158" s="4" t="inlineStr">
        <is>
          <t>Jan 26</t>
        </is>
      </c>
      <c r="D158" s="4" t="inlineStr">
        <is>
          <t>29/01/2026, 11:26 am</t>
        </is>
      </c>
      <c r="E158" s="4" t="inlineStr">
        <is>
          <t>29/01/2026, 11:29 am</t>
        </is>
      </c>
      <c r="F158" s="4">
        <f>(E158-D158)*24*60</f>
        <v/>
      </c>
      <c r="G158" s="4" t="inlineStr">
        <is>
          <t>M/S MITTAL SALES &amp; MARKETING</t>
        </is>
      </c>
      <c r="H158" s="4" t="inlineStr">
        <is>
          <t>001fw00000Ak6StAAJ</t>
        </is>
      </c>
      <c r="I158" s="4" t="n">
        <v>831005</v>
      </c>
      <c r="J158" s="4" t="inlineStr">
        <is>
          <t>EAST SINGHBUM</t>
        </is>
      </c>
      <c r="K158" s="4" t="inlineStr"/>
      <c r="L158" s="4" t="inlineStr">
        <is>
          <t>Retailer PB</t>
        </is>
      </c>
      <c r="M158" s="4" t="inlineStr">
        <is>
          <t>Got future date</t>
        </is>
      </c>
      <c r="N158" s="4" t="inlineStr">
        <is>
          <t>Dealer of Tata tiscon and RUNGTA TMT. Rates given 64000 landed to the CUSTUMER. Will connect us on inquiry. Selling Tata @ 78 landed to the CUSTUMER.</t>
        </is>
      </c>
      <c r="O158" s="4" t="inlineStr">
        <is>
          <t>Need time to start. Will think and decide. Need competitive rates to start.</t>
        </is>
      </c>
      <c r="P158" s="4" t="inlineStr">
        <is>
          <t>Dealer of Tata tiscon and RUNGTA TMT. Rates given 64000 landed to the CUSTUMER. Will connect us on inquiry. Selling Tata @ 78 landed to the CUSTUMER. | Need time to start. Will think and decide. Need competitive rates to start.</t>
        </is>
      </c>
      <c r="Q158" s="4">
        <f>LEN(TRIM(P158))-LEN(SUBSTITUTE(P158," ",""))+1</f>
        <v/>
      </c>
      <c r="R158" s="4" t="n">
        <v>22.8022353</v>
      </c>
      <c r="S158" s="4" t="n">
        <v>86.1635146</v>
      </c>
      <c r="T158" s="4">
        <f>COUNTIF($G$2:G158,G158)</f>
        <v/>
      </c>
      <c r="U158" s="4">
        <f>IF(F158&lt;5,"YES","NO")</f>
        <v/>
      </c>
      <c r="V158" s="4">
        <f>IF(AND(N158&lt;&gt;"",O158&lt;&gt;""),"YES","NO")</f>
        <v/>
      </c>
      <c r="W158" s="4">
        <f>IF(HOUR(D158)&lt;12,"Morning",IF(HOUR(D158)&lt;17,"Afternoon","Evening"))</f>
        <v/>
      </c>
      <c r="X158" s="4" t="n">
        <v>6</v>
      </c>
      <c r="Y158" s="4">
        <f>IF(F158&lt;5,"&lt;5 min",IF(F158&lt;15,"5-15 min",IF(F158&lt;30,"15-30 min","30+ min")))</f>
        <v/>
      </c>
    </row>
    <row r="159">
      <c r="A159" s="3" t="n">
        <v>45968</v>
      </c>
      <c r="B159" s="4" t="inlineStr">
        <is>
          <t>Friday</t>
        </is>
      </c>
      <c r="C159" s="4" t="inlineStr">
        <is>
          <t>Nov 25</t>
        </is>
      </c>
      <c r="D159" s="4" t="inlineStr">
        <is>
          <t>07/11/2025, 1:58 pm</t>
        </is>
      </c>
      <c r="E159" s="4" t="inlineStr">
        <is>
          <t>07/11/2025, 2:00 pm</t>
        </is>
      </c>
      <c r="F159" s="4">
        <f>(E159-D159)*24*60</f>
        <v/>
      </c>
      <c r="G159" s="4" t="inlineStr">
        <is>
          <t>M/S MUDALI STEEL CENTRE</t>
        </is>
      </c>
      <c r="H159" s="4" t="inlineStr">
        <is>
          <t>001J100000Vnsa2IAB</t>
        </is>
      </c>
      <c r="I159" s="4" t="n">
        <v>831012</v>
      </c>
      <c r="J159" s="4" t="inlineStr">
        <is>
          <t>EAST SINGHBUM</t>
        </is>
      </c>
      <c r="K159" s="4" t="inlineStr"/>
      <c r="L159" s="4" t="inlineStr">
        <is>
          <t>Retailer PB</t>
        </is>
      </c>
      <c r="M159" s="4" t="inlineStr">
        <is>
          <t>Got future date</t>
        </is>
      </c>
      <c r="N159" s="4" t="inlineStr">
        <is>
          <t>Dealer of panther tmt and Tata tiscon. Rates given 56000 to the customer. No inquiry now</t>
        </is>
      </c>
      <c r="O159" s="4" t="inlineStr">
        <is>
          <t>Will give us lead of sales as soon customer shares demand . Selling Tata at 73 to the customer.</t>
        </is>
      </c>
      <c r="P159" s="4" t="inlineStr">
        <is>
          <t>Dealer of panther tmt and Tata tiscon. Rates given 56000 to the customer. No inquiry now | Will give us lead of sales as soon customer shares demand . Selling Tata at 73 to the customer.</t>
        </is>
      </c>
      <c r="Q159" s="4">
        <f>LEN(TRIM(P159))-LEN(SUBSTITUTE(P159," ",""))+1</f>
        <v/>
      </c>
      <c r="R159" s="4" t="n">
        <v>22.8405969</v>
      </c>
      <c r="S159" s="4" t="n">
        <v>86.22328469999999</v>
      </c>
      <c r="T159" s="4">
        <f>COUNTIF($G$2:G159,G159)</f>
        <v/>
      </c>
      <c r="U159" s="4">
        <f>IF(F159&lt;5,"YES","NO")</f>
        <v/>
      </c>
      <c r="V159" s="4">
        <f>IF(AND(N159&lt;&gt;"",O159&lt;&gt;""),"YES","NO")</f>
        <v/>
      </c>
      <c r="W159" s="4">
        <f>IF(HOUR(D159)&lt;12,"Morning",IF(HOUR(D159)&lt;17,"Afternoon","Evening"))</f>
        <v/>
      </c>
      <c r="X159" s="4" t="n">
        <v>6</v>
      </c>
      <c r="Y159" s="4">
        <f>IF(F159&lt;5,"&lt;5 min",IF(F159&lt;15,"5-15 min",IF(F159&lt;30,"15-30 min","30+ min")))</f>
        <v/>
      </c>
    </row>
    <row r="160">
      <c r="A160" s="3" t="n">
        <v>45986</v>
      </c>
      <c r="B160" s="4" t="inlineStr">
        <is>
          <t>Tuesday</t>
        </is>
      </c>
      <c r="C160" s="4" t="inlineStr">
        <is>
          <t>Nov 25</t>
        </is>
      </c>
      <c r="D160" s="4" t="inlineStr">
        <is>
          <t>25/11/2025, 11:30 am</t>
        </is>
      </c>
      <c r="E160" s="4" t="inlineStr">
        <is>
          <t>25/11/2025, 11:32 am</t>
        </is>
      </c>
      <c r="F160" s="4">
        <f>(E160-D160)*24*60</f>
        <v/>
      </c>
      <c r="G160" s="4" t="inlineStr">
        <is>
          <t>M/S MUDALI STEEL CENTRE</t>
        </is>
      </c>
      <c r="H160" s="4" t="inlineStr">
        <is>
          <t>001J100000Vnsa2IAB</t>
        </is>
      </c>
      <c r="I160" s="4" t="n">
        <v>831012</v>
      </c>
      <c r="J160" s="4" t="inlineStr">
        <is>
          <t>EAST SINGHBUM</t>
        </is>
      </c>
      <c r="K160" s="4" t="inlineStr"/>
      <c r="L160" s="4" t="inlineStr">
        <is>
          <t>Retailer PB</t>
        </is>
      </c>
      <c r="M160" s="4" t="inlineStr">
        <is>
          <t>Got future date</t>
        </is>
      </c>
      <c r="N160" s="4" t="inlineStr">
        <is>
          <t>Dealer of panther Tata rungta , rates given 54000 landed to the dealer . Will share inquiry</t>
        </is>
      </c>
      <c r="O160" s="4" t="inlineStr">
        <is>
          <t>Asking to give call in a week will share inquiry.</t>
        </is>
      </c>
      <c r="P160" s="4" t="inlineStr">
        <is>
          <t>Dealer of panther Tata rungta , rates given 54000 landed to the dealer . Will share inquiry | Asking to give call in a week will share inquiry.</t>
        </is>
      </c>
      <c r="Q160" s="4">
        <f>LEN(TRIM(P160))-LEN(SUBSTITUTE(P160," ",""))+1</f>
        <v/>
      </c>
      <c r="R160" s="4" t="n">
        <v>22.8406256</v>
      </c>
      <c r="S160" s="4" t="n">
        <v>86.22313699999999</v>
      </c>
      <c r="T160" s="4">
        <f>COUNTIF($G$2:G160,G160)</f>
        <v/>
      </c>
      <c r="U160" s="4">
        <f>IF(F160&lt;5,"YES","NO")</f>
        <v/>
      </c>
      <c r="V160" s="4">
        <f>IF(AND(N160&lt;&gt;"",O160&lt;&gt;""),"YES","NO")</f>
        <v/>
      </c>
      <c r="W160" s="4">
        <f>IF(HOUR(D160)&lt;12,"Morning",IF(HOUR(D160)&lt;17,"Afternoon","Evening"))</f>
        <v/>
      </c>
      <c r="X160" s="4" t="n">
        <v>7</v>
      </c>
      <c r="Y160" s="4">
        <f>IF(F160&lt;5,"&lt;5 min",IF(F160&lt;15,"5-15 min",IF(F160&lt;30,"15-30 min","30+ min")))</f>
        <v/>
      </c>
    </row>
    <row r="161">
      <c r="A161" s="3" t="n">
        <v>45992</v>
      </c>
      <c r="B161" s="4" t="inlineStr">
        <is>
          <t>Monday</t>
        </is>
      </c>
      <c r="C161" s="4" t="inlineStr">
        <is>
          <t>Dec 25</t>
        </is>
      </c>
      <c r="D161" s="4" t="inlineStr">
        <is>
          <t>01/12/2025, 7:45 pm</t>
        </is>
      </c>
      <c r="E161" s="4" t="inlineStr">
        <is>
          <t>01/12/2025, 7:46 pm</t>
        </is>
      </c>
      <c r="F161" s="4">
        <f>(E161-D161)*24*60</f>
        <v/>
      </c>
      <c r="G161" s="4" t="inlineStr">
        <is>
          <t>M/S MUDALI STEEL CENTRE</t>
        </is>
      </c>
      <c r="H161" s="4" t="inlineStr">
        <is>
          <t>001J100000Vnsa2IAB</t>
        </is>
      </c>
      <c r="I161" s="4" t="n">
        <v>831012</v>
      </c>
      <c r="J161" s="4" t="inlineStr">
        <is>
          <t>EAST SINGHBUM</t>
        </is>
      </c>
      <c r="K161" s="4" t="inlineStr"/>
      <c r="L161" s="4" t="inlineStr">
        <is>
          <t>Retailer PB</t>
        </is>
      </c>
      <c r="M161" s="4" t="inlineStr">
        <is>
          <t>Got future date</t>
        </is>
      </c>
      <c r="N161" s="4" t="inlineStr">
        <is>
          <t>Dealer of Tata tiscon and panther tmt. Rates given 55000 landed to dealer . Need one week time.</t>
        </is>
      </c>
      <c r="O161" s="4" t="inlineStr">
        <is>
          <t>Will definitely give inquiry in this week . Waiting for consumers demand.</t>
        </is>
      </c>
      <c r="P161" s="4" t="inlineStr">
        <is>
          <t>Dealer of Tata tiscon and panther tmt. Rates given 55000 landed to dealer . Need one week time. | Will definitely give inquiry in this week . Waiting for consumers demand.</t>
        </is>
      </c>
      <c r="Q161" s="4">
        <f>LEN(TRIM(P161))-LEN(SUBSTITUTE(P161," ",""))+1</f>
        <v/>
      </c>
      <c r="R161" s="4" t="n">
        <v>22.8433323</v>
      </c>
      <c r="S161" s="4" t="n">
        <v>86.2170168</v>
      </c>
      <c r="T161" s="4">
        <f>COUNTIF($G$2:G161,G161)</f>
        <v/>
      </c>
      <c r="U161" s="4">
        <f>IF(F161&lt;5,"YES","NO")</f>
        <v/>
      </c>
      <c r="V161" s="4">
        <f>IF(AND(N161&lt;&gt;"",O161&lt;&gt;""),"YES","NO")</f>
        <v/>
      </c>
      <c r="W161" s="4">
        <f>IF(HOUR(D161)&lt;12,"Morning",IF(HOUR(D161)&lt;17,"Afternoon","Evening"))</f>
        <v/>
      </c>
      <c r="X161" s="4" t="n">
        <v>6</v>
      </c>
      <c r="Y161" s="4">
        <f>IF(F161&lt;5,"&lt;5 min",IF(F161&lt;15,"5-15 min",IF(F161&lt;30,"15-30 min","30+ min")))</f>
        <v/>
      </c>
    </row>
    <row r="162">
      <c r="A162" s="3" t="n">
        <v>46002</v>
      </c>
      <c r="B162" s="4" t="inlineStr">
        <is>
          <t>Thursday</t>
        </is>
      </c>
      <c r="C162" s="4" t="inlineStr">
        <is>
          <t>Dec 25</t>
        </is>
      </c>
      <c r="D162" s="4" t="inlineStr">
        <is>
          <t>11/12/2025, 6:17 pm</t>
        </is>
      </c>
      <c r="E162" s="4" t="inlineStr">
        <is>
          <t>11/12/2025, 6:18 pm</t>
        </is>
      </c>
      <c r="F162" s="4">
        <f>(E162-D162)*24*60</f>
        <v/>
      </c>
      <c r="G162" s="4" t="inlineStr">
        <is>
          <t>M/S MUDALI STEEL CENTRE</t>
        </is>
      </c>
      <c r="H162" s="4" t="inlineStr">
        <is>
          <t>001J100000Vnsa2IAB</t>
        </is>
      </c>
      <c r="I162" s="4" t="n">
        <v>831012</v>
      </c>
      <c r="J162" s="4" t="inlineStr">
        <is>
          <t>EAST SINGHBUM</t>
        </is>
      </c>
      <c r="K162" s="4" t="inlineStr"/>
      <c r="L162" s="4" t="inlineStr">
        <is>
          <t>Retailer PB</t>
        </is>
      </c>
      <c r="M162" s="4" t="inlineStr">
        <is>
          <t>Got future date</t>
        </is>
      </c>
      <c r="N162" s="4" t="inlineStr">
        <is>
          <t>Dealer of panther tiscon and local isi . Rates given 56000 landed to the dealer.</t>
        </is>
      </c>
      <c r="O162" s="4" t="inlineStr">
        <is>
          <t>Will connect us as inquiry comes to him. Need time.</t>
        </is>
      </c>
      <c r="P162" s="4" t="inlineStr">
        <is>
          <t>Dealer of panther tiscon and local isi . Rates given 56000 landed to the dealer. | Will connect us as inquiry comes to him. Need time.</t>
        </is>
      </c>
      <c r="Q162" s="4">
        <f>LEN(TRIM(P162))-LEN(SUBSTITUTE(P162," ",""))+1</f>
        <v/>
      </c>
      <c r="R162" s="4" t="n">
        <v>22.8405582</v>
      </c>
      <c r="S162" s="4" t="n">
        <v>86.22319779999999</v>
      </c>
      <c r="T162" s="4">
        <f>COUNTIF($G$2:G162,G162)</f>
        <v/>
      </c>
      <c r="U162" s="4">
        <f>IF(F162&lt;5,"YES","NO")</f>
        <v/>
      </c>
      <c r="V162" s="4">
        <f>IF(AND(N162&lt;&gt;"",O162&lt;&gt;""),"YES","NO")</f>
        <v/>
      </c>
      <c r="W162" s="4">
        <f>IF(HOUR(D162)&lt;12,"Morning",IF(HOUR(D162)&lt;17,"Afternoon","Evening"))</f>
        <v/>
      </c>
      <c r="X162" s="4" t="n">
        <v>6</v>
      </c>
      <c r="Y162" s="4">
        <f>IF(F162&lt;5,"&lt;5 min",IF(F162&lt;15,"5-15 min",IF(F162&lt;30,"15-30 min","30+ min")))</f>
        <v/>
      </c>
    </row>
    <row r="163">
      <c r="A163" s="3" t="n">
        <v>45980</v>
      </c>
      <c r="B163" s="4" t="inlineStr">
        <is>
          <t>Wednesday</t>
        </is>
      </c>
      <c r="C163" s="4" t="inlineStr">
        <is>
          <t>Nov 25</t>
        </is>
      </c>
      <c r="D163" s="4" t="inlineStr">
        <is>
          <t>19/11/2025, 7:01 pm</t>
        </is>
      </c>
      <c r="E163" s="4" t="inlineStr">
        <is>
          <t>19/11/2025, 7:03 pm</t>
        </is>
      </c>
      <c r="F163" s="4">
        <f>(E163-D163)*24*60</f>
        <v/>
      </c>
      <c r="G163" s="4" t="inlineStr">
        <is>
          <t>M/S NEW SONA AGENCY</t>
        </is>
      </c>
      <c r="H163" s="4" t="inlineStr">
        <is>
          <t>001fw000002ksM5AAI</t>
        </is>
      </c>
      <c r="I163" s="4" t="n">
        <v>831012</v>
      </c>
      <c r="J163" s="4" t="inlineStr">
        <is>
          <t>EAST SINGHBUM</t>
        </is>
      </c>
      <c r="K163" s="4" t="inlineStr"/>
      <c r="L163" s="4" t="inlineStr">
        <is>
          <t>Retailer PB</t>
        </is>
      </c>
      <c r="M163" s="4" t="inlineStr">
        <is>
          <t>Got future date</t>
        </is>
      </c>
      <c r="N163" s="4" t="inlineStr">
        <is>
          <t>Dealer of Tata tiscon and rungta tmt. Rates given 54000 landed to the dealer. Will be sharing inquiry soon.</t>
        </is>
      </c>
      <c r="O163" s="4" t="inlineStr">
        <is>
          <t>Selling tiscon @ 70000 to the end customer. Will share us inquiry.</t>
        </is>
      </c>
      <c r="P163" s="4" t="inlineStr">
        <is>
          <t>Dealer of Tata tiscon and rungta tmt. Rates given 54000 landed to the dealer. Will be sharing inquiry soon. | Selling tiscon @ 70000 to the end customer. Will share us inquiry.</t>
        </is>
      </c>
      <c r="Q163" s="4">
        <f>LEN(TRIM(P163))-LEN(SUBSTITUTE(P163," ",""))+1</f>
        <v/>
      </c>
      <c r="R163" s="4" t="n">
        <v>22.8329997</v>
      </c>
      <c r="S163" s="4" t="n">
        <v>86.2277433</v>
      </c>
      <c r="T163" s="4">
        <f>COUNTIF($G$2:G163,G163)</f>
        <v/>
      </c>
      <c r="U163" s="4">
        <f>IF(F163&lt;5,"YES","NO")</f>
        <v/>
      </c>
      <c r="V163" s="4">
        <f>IF(AND(N163&lt;&gt;"",O163&lt;&gt;""),"YES","NO")</f>
        <v/>
      </c>
      <c r="W163" s="4">
        <f>IF(HOUR(D163)&lt;12,"Morning",IF(HOUR(D163)&lt;17,"Afternoon","Evening"))</f>
        <v/>
      </c>
      <c r="X163" s="4" t="n">
        <v>6</v>
      </c>
      <c r="Y163" s="4">
        <f>IF(F163&lt;5,"&lt;5 min",IF(F163&lt;15,"5-15 min",IF(F163&lt;30,"15-30 min","30+ min")))</f>
        <v/>
      </c>
    </row>
    <row r="164">
      <c r="A164" s="3" t="n">
        <v>46002</v>
      </c>
      <c r="B164" s="4" t="inlineStr">
        <is>
          <t>Thursday</t>
        </is>
      </c>
      <c r="C164" s="4" t="inlineStr">
        <is>
          <t>Dec 25</t>
        </is>
      </c>
      <c r="D164" s="4" t="inlineStr">
        <is>
          <t>11/12/2025, 6:54 pm</t>
        </is>
      </c>
      <c r="E164" s="4" t="inlineStr">
        <is>
          <t>11/12/2025, 7:01 pm</t>
        </is>
      </c>
      <c r="F164" s="4">
        <f>(E164-D164)*24*60</f>
        <v/>
      </c>
      <c r="G164" s="4" t="inlineStr">
        <is>
          <t>M/S NEW SONA AGENCY</t>
        </is>
      </c>
      <c r="H164" s="4" t="inlineStr">
        <is>
          <t>001fw000002ksM5AAI</t>
        </is>
      </c>
      <c r="I164" s="4" t="n">
        <v>831012</v>
      </c>
      <c r="J164" s="4" t="inlineStr">
        <is>
          <t>EAST SINGHBUM</t>
        </is>
      </c>
      <c r="K164" s="4" t="inlineStr"/>
      <c r="L164" s="4" t="inlineStr">
        <is>
          <t>Retailer PB</t>
        </is>
      </c>
      <c r="M164" s="4" t="inlineStr">
        <is>
          <t>Got future date</t>
        </is>
      </c>
      <c r="N164" s="4" t="inlineStr">
        <is>
          <t>Dealer of Tata tiscon and rungta tmt. Rates given 56500 to the retailer.</t>
        </is>
      </c>
      <c r="O164" s="4" t="inlineStr">
        <is>
          <t>Will connect us when inquiry received from ihb projects premium custumer.</t>
        </is>
      </c>
      <c r="P164" s="4" t="inlineStr">
        <is>
          <t>Dealer of Tata tiscon and rungta tmt. Rates given 56500 to the retailer. | Will connect us when inquiry received from ihb projects premium custumer.</t>
        </is>
      </c>
      <c r="Q164" s="4">
        <f>LEN(TRIM(P164))-LEN(SUBSTITUTE(P164," ",""))+1</f>
        <v/>
      </c>
      <c r="R164" s="4" t="n">
        <v>22.8326348</v>
      </c>
      <c r="S164" s="4" t="n">
        <v>86.22760220000001</v>
      </c>
      <c r="T164" s="4">
        <f>COUNTIF($G$2:G164,G164)</f>
        <v/>
      </c>
      <c r="U164" s="4">
        <f>IF(F164&lt;5,"YES","NO")</f>
        <v/>
      </c>
      <c r="V164" s="4">
        <f>IF(AND(N164&lt;&gt;"",O164&lt;&gt;""),"YES","NO")</f>
        <v/>
      </c>
      <c r="W164" s="4">
        <f>IF(HOUR(D164)&lt;12,"Morning",IF(HOUR(D164)&lt;17,"Afternoon","Evening"))</f>
        <v/>
      </c>
      <c r="X164" s="4" t="n">
        <v>6</v>
      </c>
      <c r="Y164" s="4">
        <f>IF(F164&lt;5,"&lt;5 min",IF(F164&lt;15,"5-15 min",IF(F164&lt;30,"15-30 min","30+ min")))</f>
        <v/>
      </c>
    </row>
    <row r="165">
      <c r="A165" s="3" t="n">
        <v>46015</v>
      </c>
      <c r="B165" s="4" t="inlineStr">
        <is>
          <t>Wednesday</t>
        </is>
      </c>
      <c r="C165" s="4" t="inlineStr">
        <is>
          <t>Dec 25</t>
        </is>
      </c>
      <c r="D165" s="4" t="inlineStr">
        <is>
          <t>24/12/2025, 7:04 pm</t>
        </is>
      </c>
      <c r="E165" s="4" t="inlineStr">
        <is>
          <t>24/12/2025, 7:07 pm</t>
        </is>
      </c>
      <c r="F165" s="4">
        <f>(E165-D165)*24*60</f>
        <v/>
      </c>
      <c r="G165" s="4" t="inlineStr">
        <is>
          <t>M/S NEW SONA AGENCY</t>
        </is>
      </c>
      <c r="H165" s="4" t="inlineStr">
        <is>
          <t>001fw000002ksM5AAI</t>
        </is>
      </c>
      <c r="I165" s="4" t="n">
        <v>831012</v>
      </c>
      <c r="J165" s="4" t="inlineStr">
        <is>
          <t>EAST SINGHBUM</t>
        </is>
      </c>
      <c r="K165" s="4" t="inlineStr"/>
      <c r="L165" s="4" t="inlineStr">
        <is>
          <t>Retailer PB</t>
        </is>
      </c>
      <c r="M165" s="4" t="inlineStr">
        <is>
          <t>Got future date</t>
        </is>
      </c>
      <c r="N165" s="4" t="inlineStr">
        <is>
          <t>Dealer of Tata steel and rungta tmt . Rates given 57000 landed. Selling Tata 73000 landed to end user.</t>
        </is>
      </c>
      <c r="O165" s="4" t="inlineStr">
        <is>
          <t>Will share inquiry. Will let us know. Need time .</t>
        </is>
      </c>
      <c r="P165" s="4" t="inlineStr">
        <is>
          <t>Dealer of Tata steel and rungta tmt . Rates given 57000 landed. Selling Tata 73000 landed to end user. | Will share inquiry. Will let us know. Need time .</t>
        </is>
      </c>
      <c r="Q165" s="4">
        <f>LEN(TRIM(P165))-LEN(SUBSTITUTE(P165," ",""))+1</f>
        <v/>
      </c>
      <c r="R165" s="4" t="n">
        <v>22.832661</v>
      </c>
      <c r="S165" s="4" t="n">
        <v>86.2275504</v>
      </c>
      <c r="T165" s="4">
        <f>COUNTIF($G$2:G165,G165)</f>
        <v/>
      </c>
      <c r="U165" s="4">
        <f>IF(F165&lt;5,"YES","NO")</f>
        <v/>
      </c>
      <c r="V165" s="4">
        <f>IF(AND(N165&lt;&gt;"",O165&lt;&gt;""),"YES","NO")</f>
        <v/>
      </c>
      <c r="W165" s="4">
        <f>IF(HOUR(D165)&lt;12,"Morning",IF(HOUR(D165)&lt;17,"Afternoon","Evening"))</f>
        <v/>
      </c>
      <c r="X165" s="4" t="n">
        <v>8</v>
      </c>
      <c r="Y165" s="4">
        <f>IF(F165&lt;5,"&lt;5 min",IF(F165&lt;15,"5-15 min",IF(F165&lt;30,"15-30 min","30+ min")))</f>
        <v/>
      </c>
    </row>
    <row r="166">
      <c r="A166" s="3" t="n">
        <v>46020</v>
      </c>
      <c r="B166" s="4" t="inlineStr">
        <is>
          <t>Monday</t>
        </is>
      </c>
      <c r="C166" s="4" t="inlineStr">
        <is>
          <t>Dec 25</t>
        </is>
      </c>
      <c r="D166" s="4" t="inlineStr">
        <is>
          <t>29/12/2025, 7:47 pm</t>
        </is>
      </c>
      <c r="E166" s="4" t="inlineStr">
        <is>
          <t>29/12/2025, 7:48 pm</t>
        </is>
      </c>
      <c r="F166" s="4">
        <f>(E166-D166)*24*60</f>
        <v/>
      </c>
      <c r="G166" s="4" t="inlineStr">
        <is>
          <t>M/S NEW SONA AGENCY</t>
        </is>
      </c>
      <c r="H166" s="4" t="inlineStr">
        <is>
          <t>001fw000002ksM5AAI</t>
        </is>
      </c>
      <c r="I166" s="4" t="n">
        <v>831012</v>
      </c>
      <c r="J166" s="4" t="inlineStr">
        <is>
          <t>EAST SINGHBUM</t>
        </is>
      </c>
      <c r="K166" s="4" t="inlineStr"/>
      <c r="L166" s="4" t="inlineStr">
        <is>
          <t>Retailer PB</t>
        </is>
      </c>
      <c r="M166" s="4" t="inlineStr">
        <is>
          <t>Got future date</t>
        </is>
      </c>
      <c r="N166" s="4" t="inlineStr">
        <is>
          <t>Dealer of Tata steel and rungta tmt . Rates given 57000 landed to the dealer. Will connect us .</t>
        </is>
      </c>
      <c r="O166" s="4" t="inlineStr">
        <is>
          <t>No inquiry now asking to connect later. Will share if inquiry comes. Need time.</t>
        </is>
      </c>
      <c r="P166" s="4" t="inlineStr">
        <is>
          <t>Dealer of Tata steel and rungta tmt . Rates given 57000 landed to the dealer. Will connect us . | No inquiry now asking to connect later. Will share if inquiry comes. Need time.</t>
        </is>
      </c>
      <c r="Q166" s="4">
        <f>LEN(TRIM(P166))-LEN(SUBSTITUTE(P166," ",""))+1</f>
        <v/>
      </c>
      <c r="R166" s="4" t="n">
        <v>22.8326271</v>
      </c>
      <c r="S166" s="4" t="n">
        <v>86.2276165</v>
      </c>
      <c r="T166" s="4">
        <f>COUNTIF($G$2:G166,G166)</f>
        <v/>
      </c>
      <c r="U166" s="4">
        <f>IF(F166&lt;5,"YES","NO")</f>
        <v/>
      </c>
      <c r="V166" s="4">
        <f>IF(AND(N166&lt;&gt;"",O166&lt;&gt;""),"YES","NO")</f>
        <v/>
      </c>
      <c r="W166" s="4">
        <f>IF(HOUR(D166)&lt;12,"Morning",IF(HOUR(D166)&lt;17,"Afternoon","Evening"))</f>
        <v/>
      </c>
      <c r="X166" s="4" t="n">
        <v>6</v>
      </c>
      <c r="Y166" s="4">
        <f>IF(F166&lt;5,"&lt;5 min",IF(F166&lt;15,"5-15 min",IF(F166&lt;30,"15-30 min","30+ min")))</f>
        <v/>
      </c>
    </row>
    <row r="167">
      <c r="A167" s="3" t="n">
        <v>46027</v>
      </c>
      <c r="B167" s="4" t="inlineStr">
        <is>
          <t>Monday</t>
        </is>
      </c>
      <c r="C167" s="4" t="inlineStr">
        <is>
          <t>Jan 26</t>
        </is>
      </c>
      <c r="D167" s="4" t="inlineStr">
        <is>
          <t>05/01/2026, 5:15 pm</t>
        </is>
      </c>
      <c r="E167" s="4" t="inlineStr">
        <is>
          <t>05/01/2026, 5:17 pm</t>
        </is>
      </c>
      <c r="F167" s="4">
        <f>(E167-D167)*24*60</f>
        <v/>
      </c>
      <c r="G167" s="4" t="inlineStr">
        <is>
          <t>M/S NEW SONA AGENCY</t>
        </is>
      </c>
      <c r="H167" s="4" t="inlineStr">
        <is>
          <t>001fw000002ksM5AAI</t>
        </is>
      </c>
      <c r="I167" s="4" t="n">
        <v>831012</v>
      </c>
      <c r="J167" s="4" t="inlineStr">
        <is>
          <t>EAST SINGHBUM</t>
        </is>
      </c>
      <c r="K167" s="4" t="inlineStr"/>
      <c r="L167" s="4" t="inlineStr">
        <is>
          <t>Retailer PB</t>
        </is>
      </c>
      <c r="M167" s="4" t="inlineStr">
        <is>
          <t>Got future date</t>
        </is>
      </c>
      <c r="N167" s="4" t="inlineStr">
        <is>
          <t>Dealer of Tata tiscon and RUNGTA TMT. Rates given 59500 landed to the dealer.</t>
        </is>
      </c>
      <c r="O167" s="4" t="inlineStr">
        <is>
          <t>Will connect us once inquiry received from end user. Need time.</t>
        </is>
      </c>
      <c r="P167" s="4" t="inlineStr">
        <is>
          <t>Dealer of Tata tiscon and RUNGTA TMT. Rates given 59500 landed to the dealer. | Will connect us once inquiry received from end user. Need time.</t>
        </is>
      </c>
      <c r="Q167" s="4">
        <f>LEN(TRIM(P167))-LEN(SUBSTITUTE(P167," ",""))+1</f>
        <v/>
      </c>
      <c r="R167" s="4" t="n">
        <v>22.8321514</v>
      </c>
      <c r="S167" s="4" t="n">
        <v>86.2268069</v>
      </c>
      <c r="T167" s="4">
        <f>COUNTIF($G$2:G167,G167)</f>
        <v/>
      </c>
      <c r="U167" s="4">
        <f>IF(F167&lt;5,"YES","NO")</f>
        <v/>
      </c>
      <c r="V167" s="4">
        <f>IF(AND(N167&lt;&gt;"",O167&lt;&gt;""),"YES","NO")</f>
        <v/>
      </c>
      <c r="W167" s="4">
        <f>IF(HOUR(D167)&lt;12,"Morning",IF(HOUR(D167)&lt;17,"Afternoon","Evening"))</f>
        <v/>
      </c>
      <c r="X167" s="4" t="n">
        <v>7</v>
      </c>
      <c r="Y167" s="4">
        <f>IF(F167&lt;5,"&lt;5 min",IF(F167&lt;15,"5-15 min",IF(F167&lt;30,"15-30 min","30+ min")))</f>
        <v/>
      </c>
    </row>
    <row r="168">
      <c r="A168" s="3" t="n">
        <v>45974</v>
      </c>
      <c r="B168" s="4" t="inlineStr">
        <is>
          <t>Thursday</t>
        </is>
      </c>
      <c r="C168" s="4" t="inlineStr">
        <is>
          <t>Nov 25</t>
        </is>
      </c>
      <c r="D168" s="4" t="inlineStr">
        <is>
          <t>13/11/2025, 6:36 pm</t>
        </is>
      </c>
      <c r="E168" s="4" t="inlineStr">
        <is>
          <t>13/11/2025, 6:37 pm</t>
        </is>
      </c>
      <c r="F168" s="4">
        <f>(E168-D168)*24*60</f>
        <v/>
      </c>
      <c r="G168" s="4" t="inlineStr">
        <is>
          <t>M/S NNB ENGINEERS PRIVATE LIMITED</t>
        </is>
      </c>
      <c r="H168" s="4" t="inlineStr">
        <is>
          <t>001fw000007oHo4AAE</t>
        </is>
      </c>
      <c r="I168" s="4" t="n">
        <v>831013</v>
      </c>
      <c r="J168" s="4" t="inlineStr">
        <is>
          <t>SARAIKELA KHARSAWAN</t>
        </is>
      </c>
      <c r="K168" s="4" t="inlineStr"/>
      <c r="L168" s="4" t="inlineStr">
        <is>
          <t>Retailer PB</t>
        </is>
      </c>
      <c r="M168" s="4" t="inlineStr">
        <is>
          <t>Got future date</t>
        </is>
      </c>
      <c r="N168" s="4" t="inlineStr">
        <is>
          <t>Contractor and architect of projects. Using panther and rungta tmt. Rates given 57500 landed to the customer.</t>
        </is>
      </c>
      <c r="O168" s="4" t="inlineStr">
        <is>
          <t>Will connect us with an inquiry need time for same.</t>
        </is>
      </c>
      <c r="P168" s="4" t="inlineStr">
        <is>
          <t>Contractor and architect of projects. Using panther and rungta tmt. Rates given 57500 landed to the customer. | Will connect us with an inquiry need time for same.</t>
        </is>
      </c>
      <c r="Q168" s="4">
        <f>LEN(TRIM(P168))-LEN(SUBSTITUTE(P168," ",""))+1</f>
        <v/>
      </c>
      <c r="R168" s="4" t="n">
        <v>22.8121112</v>
      </c>
      <c r="S168" s="4" t="n">
        <v>86.2150905</v>
      </c>
      <c r="T168" s="4">
        <f>COUNTIF($G$2:G168,G168)</f>
        <v/>
      </c>
      <c r="U168" s="4">
        <f>IF(F168&lt;5,"YES","NO")</f>
        <v/>
      </c>
      <c r="V168" s="4">
        <f>IF(AND(N168&lt;&gt;"",O168&lt;&gt;""),"YES","NO")</f>
        <v/>
      </c>
      <c r="W168" s="4">
        <f>IF(HOUR(D168)&lt;12,"Morning",IF(HOUR(D168)&lt;17,"Afternoon","Evening"))</f>
        <v/>
      </c>
      <c r="X168" s="4" t="n">
        <v>7</v>
      </c>
      <c r="Y168" s="4">
        <f>IF(F168&lt;5,"&lt;5 min",IF(F168&lt;15,"5-15 min",IF(F168&lt;30,"15-30 min","30+ min")))</f>
        <v/>
      </c>
    </row>
    <row r="169">
      <c r="A169" s="3" t="n">
        <v>46003</v>
      </c>
      <c r="B169" s="4" t="inlineStr">
        <is>
          <t>Friday</t>
        </is>
      </c>
      <c r="C169" s="4" t="inlineStr">
        <is>
          <t>Dec 25</t>
        </is>
      </c>
      <c r="D169" s="4" t="inlineStr">
        <is>
          <t>12/12/2025, 2:06 pm</t>
        </is>
      </c>
      <c r="E169" s="4" t="inlineStr">
        <is>
          <t>12/12/2025, 2:09 pm</t>
        </is>
      </c>
      <c r="F169" s="4">
        <f>(E169-D169)*24*60</f>
        <v/>
      </c>
      <c r="G169" s="4" t="inlineStr">
        <is>
          <t>M/S NNB ENGINEERS PRIVATE LIMITED</t>
        </is>
      </c>
      <c r="H169" s="4" t="inlineStr">
        <is>
          <t>001fw000007oHo4AAE</t>
        </is>
      </c>
      <c r="I169" s="4" t="n">
        <v>831013</v>
      </c>
      <c r="J169" s="4" t="inlineStr">
        <is>
          <t>SARAIKELA KHARSAWAN</t>
        </is>
      </c>
      <c r="K169" s="4" t="inlineStr"/>
      <c r="L169" s="4" t="inlineStr">
        <is>
          <t>Retailer PB</t>
        </is>
      </c>
      <c r="M169" s="4" t="inlineStr">
        <is>
          <t>Got future date</t>
        </is>
      </c>
      <c r="N169" s="4" t="inlineStr">
        <is>
          <t>Contractor of ihb and commercial projects. Rungta and local isi being used. Rates given 57000 to custumer delivered at site.</t>
        </is>
      </c>
      <c r="O169" s="4" t="inlineStr">
        <is>
          <t>Tmt inquiry will shared to us as he received from custumer. Need time for sharing the inquiry.</t>
        </is>
      </c>
      <c r="P169" s="4" t="inlineStr">
        <is>
          <t>Contractor of ihb and commercial projects. Rungta and local isi being used. Rates given 57000 to custumer delivered at site. | Tmt inquiry will shared to us as he received from custumer. Need time for sharing the inquiry.</t>
        </is>
      </c>
      <c r="Q169" s="4">
        <f>LEN(TRIM(P169))-LEN(SUBSTITUTE(P169," ",""))+1</f>
        <v/>
      </c>
      <c r="R169" s="4" t="n">
        <v>22.8122057</v>
      </c>
      <c r="S169" s="4" t="n">
        <v>86.2152136</v>
      </c>
      <c r="T169" s="4">
        <f>COUNTIF($G$2:G169,G169)</f>
        <v/>
      </c>
      <c r="U169" s="4">
        <f>IF(F169&lt;5,"YES","NO")</f>
        <v/>
      </c>
      <c r="V169" s="4">
        <f>IF(AND(N169&lt;&gt;"",O169&lt;&gt;""),"YES","NO")</f>
        <v/>
      </c>
      <c r="W169" s="4">
        <f>IF(HOUR(D169)&lt;12,"Morning",IF(HOUR(D169)&lt;17,"Afternoon","Evening"))</f>
        <v/>
      </c>
      <c r="X169" s="4" t="n">
        <v>7</v>
      </c>
      <c r="Y169" s="4">
        <f>IF(F169&lt;5,"&lt;5 min",IF(F169&lt;15,"5-15 min",IF(F169&lt;30,"15-30 min","30+ min")))</f>
        <v/>
      </c>
    </row>
    <row r="170">
      <c r="A170" s="3" t="n">
        <v>46031</v>
      </c>
      <c r="B170" s="4" t="inlineStr">
        <is>
          <t>Friday</t>
        </is>
      </c>
      <c r="C170" s="4" t="inlineStr">
        <is>
          <t>Jan 26</t>
        </is>
      </c>
      <c r="D170" s="4" t="inlineStr">
        <is>
          <t>09/01/2026, 2:56 pm</t>
        </is>
      </c>
      <c r="E170" s="4" t="inlineStr">
        <is>
          <t>09/01/2026, 2:57 pm</t>
        </is>
      </c>
      <c r="F170" s="4">
        <f>(E170-D170)*24*60</f>
        <v/>
      </c>
      <c r="G170" s="4" t="inlineStr">
        <is>
          <t>M/S NNB ENGINEERS PRIVATE LIMITED</t>
        </is>
      </c>
      <c r="H170" s="4" t="inlineStr">
        <is>
          <t>001fw000007oHo4AAE</t>
        </is>
      </c>
      <c r="I170" s="4" t="n">
        <v>831013</v>
      </c>
      <c r="J170" s="4" t="inlineStr">
        <is>
          <t>SARAIKELA KHARSAWAN</t>
        </is>
      </c>
      <c r="K170" s="4" t="inlineStr"/>
      <c r="L170" s="4" t="inlineStr">
        <is>
          <t>Retailer PB</t>
        </is>
      </c>
      <c r="M170" s="4" t="inlineStr">
        <is>
          <t>Got future date</t>
        </is>
      </c>
      <c r="N170" s="4" t="inlineStr">
        <is>
          <t>IHB and commercial project contractor using tiscon and RUNGTA TMT. Rates given 59500 landed to the CUSTUMER.</t>
        </is>
      </c>
      <c r="O170" s="4" t="inlineStr">
        <is>
          <t>Will connect us on inquiry received from end CUSTUMER. Will share tmt description and detail with IHB customer for there awareness for inquiry.</t>
        </is>
      </c>
      <c r="P170" s="4" t="inlineStr">
        <is>
          <t>IHB and commercial project contractor using tiscon and RUNGTA TMT. Rates given 59500 landed to the CUSTUMER. | Will connect us on inquiry received from end CUSTUMER. Will share tmt description and detail with IHB customer for there awareness for inquiry.</t>
        </is>
      </c>
      <c r="Q170" s="4">
        <f>LEN(TRIM(P170))-LEN(SUBSTITUTE(P170," ",""))+1</f>
        <v/>
      </c>
      <c r="R170" s="4" t="n">
        <v>22.8121335</v>
      </c>
      <c r="S170" s="4" t="n">
        <v>86.2151349</v>
      </c>
      <c r="T170" s="4">
        <f>COUNTIF($G$2:G170,G170)</f>
        <v/>
      </c>
      <c r="U170" s="4">
        <f>IF(F170&lt;5,"YES","NO")</f>
        <v/>
      </c>
      <c r="V170" s="4">
        <f>IF(AND(N170&lt;&gt;"",O170&lt;&gt;""),"YES","NO")</f>
        <v/>
      </c>
      <c r="W170" s="4">
        <f>IF(HOUR(D170)&lt;12,"Morning",IF(HOUR(D170)&lt;17,"Afternoon","Evening"))</f>
        <v/>
      </c>
      <c r="X170" s="4" t="n">
        <v>6</v>
      </c>
      <c r="Y170" s="4">
        <f>IF(F170&lt;5,"&lt;5 min",IF(F170&lt;15,"5-15 min",IF(F170&lt;30,"15-30 min","30+ min")))</f>
        <v/>
      </c>
    </row>
    <row r="171">
      <c r="A171" s="3" t="n">
        <v>45993</v>
      </c>
      <c r="B171" s="4" t="inlineStr">
        <is>
          <t>Tuesday</t>
        </is>
      </c>
      <c r="C171" s="4" t="inlineStr">
        <is>
          <t>Dec 25</t>
        </is>
      </c>
      <c r="D171" s="4" t="inlineStr">
        <is>
          <t>02/12/2025, 3:45 pm</t>
        </is>
      </c>
      <c r="E171" s="4" t="inlineStr">
        <is>
          <t>02/12/2025, 3:46 pm</t>
        </is>
      </c>
      <c r="F171" s="4">
        <f>(E171-D171)*24*60</f>
        <v/>
      </c>
      <c r="G171" s="4" t="inlineStr">
        <is>
          <t>M/S PREM TRADERS</t>
        </is>
      </c>
      <c r="H171" s="4" t="inlineStr">
        <is>
          <t>001J100000VnwblIAB</t>
        </is>
      </c>
      <c r="I171" s="4" t="n">
        <v>832109</v>
      </c>
      <c r="J171" s="4" t="inlineStr">
        <is>
          <t>SARAIKELA KHARSAWAN</t>
        </is>
      </c>
      <c r="K171" s="4" t="inlineStr"/>
      <c r="L171" s="4" t="inlineStr">
        <is>
          <t>Retailer PB</t>
        </is>
      </c>
      <c r="M171" s="4" t="inlineStr">
        <is>
          <t>Got future date</t>
        </is>
      </c>
      <c r="N171" s="4" t="inlineStr">
        <is>
          <t>Dealer of Tata tiscon and and rungta tmt .rates given 55000to the custumer will connect us when demand comes from custumer.</t>
        </is>
      </c>
      <c r="O171" s="4" t="inlineStr">
        <is>
          <t>Need time to share inquiry will connect us .</t>
        </is>
      </c>
      <c r="P171" s="4" t="inlineStr">
        <is>
          <t>Dealer of Tata tiscon and and rungta tmt .rates given 55000to the custumer will connect us when demand comes from custumer. | Need time to share inquiry will connect us .</t>
        </is>
      </c>
      <c r="Q171" s="4">
        <f>LEN(TRIM(P171))-LEN(SUBSTITUTE(P171," ",""))+1</f>
        <v/>
      </c>
      <c r="R171" s="4" t="n">
        <v>22.79306</v>
      </c>
      <c r="S171" s="4" t="n">
        <v>86.140565</v>
      </c>
      <c r="T171" s="4">
        <f>COUNTIF($G$2:G171,G171)</f>
        <v/>
      </c>
      <c r="U171" s="4">
        <f>IF(F171&lt;5,"YES","NO")</f>
        <v/>
      </c>
      <c r="V171" s="4">
        <f>IF(AND(N171&lt;&gt;"",O171&lt;&gt;""),"YES","NO")</f>
        <v/>
      </c>
      <c r="W171" s="4">
        <f>IF(HOUR(D171)&lt;12,"Morning",IF(HOUR(D171)&lt;17,"Afternoon","Evening"))</f>
        <v/>
      </c>
      <c r="X171" s="4" t="n">
        <v>7</v>
      </c>
      <c r="Y171" s="4">
        <f>IF(F171&lt;5,"&lt;5 min",IF(F171&lt;15,"5-15 min",IF(F171&lt;30,"15-30 min","30+ min")))</f>
        <v/>
      </c>
    </row>
    <row r="172">
      <c r="A172" s="3" t="n">
        <v>46000</v>
      </c>
      <c r="B172" s="4" t="inlineStr">
        <is>
          <t>Tuesday</t>
        </is>
      </c>
      <c r="C172" s="4" t="inlineStr">
        <is>
          <t>Dec 25</t>
        </is>
      </c>
      <c r="D172" s="4" t="inlineStr">
        <is>
          <t>09/12/2025, 6:40 pm</t>
        </is>
      </c>
      <c r="E172" s="4" t="inlineStr">
        <is>
          <t>09/12/2025, 6:42 pm</t>
        </is>
      </c>
      <c r="F172" s="4">
        <f>(E172-D172)*24*60</f>
        <v/>
      </c>
      <c r="G172" s="4" t="inlineStr">
        <is>
          <t>M/S PREM TRADERS</t>
        </is>
      </c>
      <c r="H172" s="4" t="inlineStr">
        <is>
          <t>001J100000VnwblIAB</t>
        </is>
      </c>
      <c r="I172" s="4" t="n">
        <v>832109</v>
      </c>
      <c r="J172" s="4" t="inlineStr">
        <is>
          <t>SARAIKELA KHARSAWAN</t>
        </is>
      </c>
      <c r="K172" s="4" t="inlineStr"/>
      <c r="L172" s="4" t="inlineStr">
        <is>
          <t>Retailer PB</t>
        </is>
      </c>
      <c r="M172" s="4" t="inlineStr">
        <is>
          <t>Got future date</t>
        </is>
      </c>
      <c r="N172" s="4" t="inlineStr">
        <is>
          <t>Dealer of Tata tiscon and rungta tmt. Rates shared 56000 landed to the retailer. Will connect us .</t>
        </is>
      </c>
      <c r="O172" s="4" t="inlineStr">
        <is>
          <t>Will connect us if material required from custumer . Will call us .</t>
        </is>
      </c>
      <c r="P172" s="4" t="inlineStr">
        <is>
          <t>Dealer of Tata tiscon and rungta tmt. Rates shared 56000 landed to the retailer. Will connect us . | Will connect us if material required from custumer . Will call us .</t>
        </is>
      </c>
      <c r="Q172" s="4">
        <f>LEN(TRIM(P172))-LEN(SUBSTITUTE(P172," ",""))+1</f>
        <v/>
      </c>
      <c r="R172" s="4" t="n">
        <v>22.79302</v>
      </c>
      <c r="S172" s="4" t="n">
        <v>86.1406436</v>
      </c>
      <c r="T172" s="4">
        <f>COUNTIF($G$2:G172,G172)</f>
        <v/>
      </c>
      <c r="U172" s="4">
        <f>IF(F172&lt;5,"YES","NO")</f>
        <v/>
      </c>
      <c r="V172" s="4">
        <f>IF(AND(N172&lt;&gt;"",O172&lt;&gt;""),"YES","NO")</f>
        <v/>
      </c>
      <c r="W172" s="4">
        <f>IF(HOUR(D172)&lt;12,"Morning",IF(HOUR(D172)&lt;17,"Afternoon","Evening"))</f>
        <v/>
      </c>
      <c r="X172" s="4" t="n">
        <v>6</v>
      </c>
      <c r="Y172" s="4">
        <f>IF(F172&lt;5,"&lt;5 min",IF(F172&lt;15,"5-15 min",IF(F172&lt;30,"15-30 min","30+ min")))</f>
        <v/>
      </c>
    </row>
    <row r="173">
      <c r="A173" s="3" t="n">
        <v>46021</v>
      </c>
      <c r="B173" s="4" t="inlineStr">
        <is>
          <t>Tuesday</t>
        </is>
      </c>
      <c r="C173" s="4" t="inlineStr">
        <is>
          <t>Dec 25</t>
        </is>
      </c>
      <c r="D173" s="4" t="inlineStr">
        <is>
          <t>30/12/2025, 7:32 pm</t>
        </is>
      </c>
      <c r="E173" s="4" t="inlineStr">
        <is>
          <t>30/12/2025, 7:35 pm</t>
        </is>
      </c>
      <c r="F173" s="4">
        <f>(E173-D173)*24*60</f>
        <v/>
      </c>
      <c r="G173" s="4" t="inlineStr">
        <is>
          <t>M/S PREM TRADERS</t>
        </is>
      </c>
      <c r="H173" s="4" t="inlineStr">
        <is>
          <t>001J100000VnwblIAB</t>
        </is>
      </c>
      <c r="I173" s="4" t="n">
        <v>832109</v>
      </c>
      <c r="J173" s="4" t="inlineStr">
        <is>
          <t>SARAIKELA KHARSAWAN</t>
        </is>
      </c>
      <c r="K173" s="4" t="inlineStr"/>
      <c r="L173" s="4" t="inlineStr">
        <is>
          <t>Retailer PB</t>
        </is>
      </c>
      <c r="M173" s="4" t="inlineStr">
        <is>
          <t>Got future date</t>
        </is>
      </c>
      <c r="N173" s="4" t="inlineStr">
        <is>
          <t>Dealer of Tata tiscon and rungta tmt. Rates given 58000 landed to the dealer.</t>
        </is>
      </c>
      <c r="O173" s="4" t="inlineStr">
        <is>
          <t>Asking to connect us later . No inquiry now due to less demand and material movement.</t>
        </is>
      </c>
      <c r="P173" s="4" t="inlineStr">
        <is>
          <t>Dealer of Tata tiscon and rungta tmt. Rates given 58000 landed to the dealer. | Asking to connect us later . No inquiry now due to less demand and material movement.</t>
        </is>
      </c>
      <c r="Q173" s="4">
        <f>LEN(TRIM(P173))-LEN(SUBSTITUTE(P173," ",""))+1</f>
        <v/>
      </c>
      <c r="R173" s="4" t="n">
        <v>22.7932743</v>
      </c>
      <c r="S173" s="4" t="n">
        <v>86.1400369</v>
      </c>
      <c r="T173" s="4">
        <f>COUNTIF($G$2:G173,G173)</f>
        <v/>
      </c>
      <c r="U173" s="4">
        <f>IF(F173&lt;5,"YES","NO")</f>
        <v/>
      </c>
      <c r="V173" s="4">
        <f>IF(AND(N173&lt;&gt;"",O173&lt;&gt;""),"YES","NO")</f>
        <v/>
      </c>
      <c r="W173" s="4">
        <f>IF(HOUR(D173)&lt;12,"Morning",IF(HOUR(D173)&lt;17,"Afternoon","Evening"))</f>
        <v/>
      </c>
      <c r="X173" s="4" t="n">
        <v>7</v>
      </c>
      <c r="Y173" s="4">
        <f>IF(F173&lt;5,"&lt;5 min",IF(F173&lt;15,"5-15 min",IF(F173&lt;30,"15-30 min","30+ min")))</f>
        <v/>
      </c>
    </row>
    <row r="174">
      <c r="A174" s="3" t="n">
        <v>45995</v>
      </c>
      <c r="B174" s="4" t="inlineStr">
        <is>
          <t>Thursday</t>
        </is>
      </c>
      <c r="C174" s="4" t="inlineStr">
        <is>
          <t>Dec 25</t>
        </is>
      </c>
      <c r="D174" s="4" t="inlineStr">
        <is>
          <t>04/12/2025, 4:43 pm</t>
        </is>
      </c>
      <c r="E174" s="4" t="inlineStr">
        <is>
          <t>04/12/2025, 4:44 pm</t>
        </is>
      </c>
      <c r="F174" s="4">
        <f>(E174-D174)*24*60</f>
        <v/>
      </c>
      <c r="G174" s="4" t="inlineStr">
        <is>
          <t>M/S R.K . TRADERS</t>
        </is>
      </c>
      <c r="H174" s="4" t="inlineStr">
        <is>
          <t>001fw00000EV0baAAD</t>
        </is>
      </c>
      <c r="I174" s="4" t="n">
        <v>833201</v>
      </c>
      <c r="J174" s="4" t="inlineStr">
        <is>
          <t>WEST SINGHBHUM</t>
        </is>
      </c>
      <c r="K174" s="4" t="inlineStr"/>
      <c r="L174" s="4" t="inlineStr">
        <is>
          <t>Retailer PB</t>
        </is>
      </c>
      <c r="M174" s="4" t="inlineStr">
        <is>
          <t>Account created</t>
        </is>
      </c>
      <c r="N174" s="4" t="inlineStr">
        <is>
          <t>Dealer of srmb and rungta tmt. Rates given 55000 landed to the dealer. Product knowledge given</t>
        </is>
      </c>
      <c r="O174" s="4" t="inlineStr">
        <is>
          <t>Will decide . Asking to connect later.</t>
        </is>
      </c>
      <c r="P174" s="4" t="inlineStr">
        <is>
          <t>Dealer of srmb and rungta tmt. Rates given 55000 landed to the dealer. Product knowledge given | Will decide . Asking to connect later.</t>
        </is>
      </c>
      <c r="Q174" s="4">
        <f>LEN(TRIM(P174))-LEN(SUBSTITUTE(P174," ",""))+1</f>
        <v/>
      </c>
      <c r="R174" s="4" t="n">
        <v>22.6783459</v>
      </c>
      <c r="S174" s="4" t="n">
        <v>85.6163415</v>
      </c>
      <c r="T174" s="4">
        <f>COUNTIF($G$2:G174,G174)</f>
        <v/>
      </c>
      <c r="U174" s="4">
        <f>IF(F174&lt;5,"YES","NO")</f>
        <v/>
      </c>
      <c r="V174" s="4">
        <f>IF(AND(N174&lt;&gt;"",O174&lt;&gt;""),"YES","NO")</f>
        <v/>
      </c>
      <c r="W174" s="4">
        <f>IF(HOUR(D174)&lt;12,"Morning",IF(HOUR(D174)&lt;17,"Afternoon","Evening"))</f>
        <v/>
      </c>
      <c r="X174" s="4" t="n">
        <v>6</v>
      </c>
      <c r="Y174" s="4">
        <f>IF(F174&lt;5,"&lt;5 min",IF(F174&lt;15,"5-15 min",IF(F174&lt;30,"15-30 min","30+ min")))</f>
        <v/>
      </c>
    </row>
    <row r="175">
      <c r="A175" s="3" t="n">
        <v>45968</v>
      </c>
      <c r="B175" s="4" t="inlineStr">
        <is>
          <t>Friday</t>
        </is>
      </c>
      <c r="C175" s="4" t="inlineStr">
        <is>
          <t>Nov 25</t>
        </is>
      </c>
      <c r="D175" s="4" t="inlineStr">
        <is>
          <t>07/11/2025, 3:15 pm</t>
        </is>
      </c>
      <c r="E175" s="4" t="inlineStr">
        <is>
          <t>07/11/2025, 3:16 pm</t>
        </is>
      </c>
      <c r="F175" s="4">
        <f>(E175-D175)*24*60</f>
        <v/>
      </c>
      <c r="G175" s="4" t="inlineStr">
        <is>
          <t>M/S RAHUL STEEL TRADERS</t>
        </is>
      </c>
      <c r="H175" s="4" t="inlineStr">
        <is>
          <t>001fw0000035T2uAAE</t>
        </is>
      </c>
      <c r="I175" s="4" t="n">
        <v>831012</v>
      </c>
      <c r="J175" s="4" t="inlineStr">
        <is>
          <t>EAST SINGHBUM</t>
        </is>
      </c>
      <c r="K175" s="4" t="inlineStr"/>
      <c r="L175" s="4" t="inlineStr">
        <is>
          <t>Retailer PB</t>
        </is>
      </c>
      <c r="M175" s="4" t="inlineStr">
        <is>
          <t>Got future date</t>
        </is>
      </c>
      <c r="N175" s="4" t="inlineStr">
        <is>
          <t>Dealer of Tata tiscon and rungta tmt . Potential of 80 mt. Rates given 56000 landed to the dealer . Less market movement</t>
        </is>
      </c>
      <c r="O175" s="4" t="inlineStr">
        <is>
          <t>Will connect us with an inquiry. Need time now .</t>
        </is>
      </c>
      <c r="P175" s="4" t="inlineStr">
        <is>
          <t>Dealer of Tata tiscon and rungta tmt . Potential of 80 mt. Rates given 56000 landed to the dealer . Less market movement | Will connect us with an inquiry. Need time now .</t>
        </is>
      </c>
      <c r="Q175" s="4">
        <f>LEN(TRIM(P175))-LEN(SUBSTITUTE(P175," ",""))+1</f>
        <v/>
      </c>
      <c r="R175" s="4" t="n">
        <v>22.8357553</v>
      </c>
      <c r="S175" s="4" t="n">
        <v>86.2287912</v>
      </c>
      <c r="T175" s="4">
        <f>COUNTIF($G$2:G175,G175)</f>
        <v/>
      </c>
      <c r="U175" s="4">
        <f>IF(F175&lt;5,"YES","NO")</f>
        <v/>
      </c>
      <c r="V175" s="4">
        <f>IF(AND(N175&lt;&gt;"",O175&lt;&gt;""),"YES","NO")</f>
        <v/>
      </c>
      <c r="W175" s="4">
        <f>IF(HOUR(D175)&lt;12,"Morning",IF(HOUR(D175)&lt;17,"Afternoon","Evening"))</f>
        <v/>
      </c>
      <c r="X175" s="4" t="n">
        <v>6</v>
      </c>
      <c r="Y175" s="4">
        <f>IF(F175&lt;5,"&lt;5 min",IF(F175&lt;15,"5-15 min",IF(F175&lt;30,"15-30 min","30+ min")))</f>
        <v/>
      </c>
    </row>
    <row r="176">
      <c r="A176" s="3" t="n">
        <v>45980</v>
      </c>
      <c r="B176" s="4" t="inlineStr">
        <is>
          <t>Wednesday</t>
        </is>
      </c>
      <c r="C176" s="4" t="inlineStr">
        <is>
          <t>Nov 25</t>
        </is>
      </c>
      <c r="D176" s="4" t="inlineStr">
        <is>
          <t>19/11/2025, 5:01 pm</t>
        </is>
      </c>
      <c r="E176" s="4" t="inlineStr">
        <is>
          <t>19/11/2025, 5:03 pm</t>
        </is>
      </c>
      <c r="F176" s="4">
        <f>(E176-D176)*24*60</f>
        <v/>
      </c>
      <c r="G176" s="4" t="inlineStr">
        <is>
          <t>M/S RAHUL STEEL TRADERS</t>
        </is>
      </c>
      <c r="H176" s="4" t="inlineStr">
        <is>
          <t>001fw0000035T2uAAE</t>
        </is>
      </c>
      <c r="I176" s="4" t="n">
        <v>831012</v>
      </c>
      <c r="J176" s="4" t="inlineStr">
        <is>
          <t>EAST SINGHBUM</t>
        </is>
      </c>
      <c r="K176" s="4" t="inlineStr"/>
      <c r="L176" s="4" t="inlineStr">
        <is>
          <t>Retailer PB</t>
        </is>
      </c>
      <c r="M176" s="4" t="inlineStr">
        <is>
          <t>Got future date</t>
        </is>
      </c>
      <c r="N176" s="4" t="inlineStr">
        <is>
          <t>Dealer of Tata steel and rungta tmt. Rates given 54000 landed.</t>
        </is>
      </c>
      <c r="O176" s="4" t="inlineStr">
        <is>
          <t>Will connect when inquiry comes from direct customer or end user.</t>
        </is>
      </c>
      <c r="P176" s="4" t="inlineStr">
        <is>
          <t>Dealer of Tata steel and rungta tmt. Rates given 54000 landed. | Will connect when inquiry comes from direct customer or end user.</t>
        </is>
      </c>
      <c r="Q176" s="4">
        <f>LEN(TRIM(P176))-LEN(SUBSTITUTE(P176," ",""))+1</f>
        <v/>
      </c>
      <c r="R176" s="4" t="n">
        <v>22.8356436</v>
      </c>
      <c r="S176" s="4" t="n">
        <v>86.22836599999999</v>
      </c>
      <c r="T176" s="4">
        <f>COUNTIF($G$2:G176,G176)</f>
        <v/>
      </c>
      <c r="U176" s="4">
        <f>IF(F176&lt;5,"YES","NO")</f>
        <v/>
      </c>
      <c r="V176" s="4">
        <f>IF(AND(N176&lt;&gt;"",O176&lt;&gt;""),"YES","NO")</f>
        <v/>
      </c>
      <c r="W176" s="4">
        <f>IF(HOUR(D176)&lt;12,"Morning",IF(HOUR(D176)&lt;17,"Afternoon","Evening"))</f>
        <v/>
      </c>
      <c r="X176" s="4" t="n">
        <v>6</v>
      </c>
      <c r="Y176" s="4">
        <f>IF(F176&lt;5,"&lt;5 min",IF(F176&lt;15,"5-15 min",IF(F176&lt;30,"15-30 min","30+ min")))</f>
        <v/>
      </c>
    </row>
    <row r="177">
      <c r="A177" s="3" t="n">
        <v>45992</v>
      </c>
      <c r="B177" s="4" t="inlineStr">
        <is>
          <t>Monday</t>
        </is>
      </c>
      <c r="C177" s="4" t="inlineStr">
        <is>
          <t>Dec 25</t>
        </is>
      </c>
      <c r="D177" s="4" t="inlineStr">
        <is>
          <t>01/12/2025, 7:53 pm</t>
        </is>
      </c>
      <c r="E177" s="4" t="inlineStr">
        <is>
          <t>01/12/2025, 7:55 pm</t>
        </is>
      </c>
      <c r="F177" s="4">
        <f>(E177-D177)*24*60</f>
        <v/>
      </c>
      <c r="G177" s="4" t="inlineStr">
        <is>
          <t>M/S RAHUL STEEL TRADERS</t>
        </is>
      </c>
      <c r="H177" s="4" t="inlineStr">
        <is>
          <t>001fw0000035T2uAAE</t>
        </is>
      </c>
      <c r="I177" s="4" t="n">
        <v>831012</v>
      </c>
      <c r="J177" s="4" t="inlineStr">
        <is>
          <t>EAST SINGHBUM</t>
        </is>
      </c>
      <c r="K177" s="4" t="inlineStr"/>
      <c r="L177" s="4" t="inlineStr">
        <is>
          <t>Retailer PB</t>
        </is>
      </c>
      <c r="M177" s="4" t="inlineStr">
        <is>
          <t>Got future date</t>
        </is>
      </c>
      <c r="N177" s="4" t="inlineStr">
        <is>
          <t>Dealer of Tata tiscon and rungta tmt. Landed rates 55000 given to the dealer . Will connect us.</t>
        </is>
      </c>
      <c r="O177" s="4" t="inlineStr">
        <is>
          <t>Will give inquiry within this week . Selling Tata tiscon @ 72 for Retail outlet.</t>
        </is>
      </c>
      <c r="P177" s="4" t="inlineStr">
        <is>
          <t>Dealer of Tata tiscon and rungta tmt. Landed rates 55000 given to the dealer . Will connect us. | Will give inquiry within this week . Selling Tata tiscon @ 72 for Retail outlet.</t>
        </is>
      </c>
      <c r="Q177" s="4">
        <f>LEN(TRIM(P177))-LEN(SUBSTITUTE(P177," ",""))+1</f>
        <v/>
      </c>
      <c r="R177" s="4" t="n">
        <v>22.8357015</v>
      </c>
      <c r="S177" s="4" t="n">
        <v>86.2286083</v>
      </c>
      <c r="T177" s="4">
        <f>COUNTIF($G$2:G177,G177)</f>
        <v/>
      </c>
      <c r="U177" s="4">
        <f>IF(F177&lt;5,"YES","NO")</f>
        <v/>
      </c>
      <c r="V177" s="4">
        <f>IF(AND(N177&lt;&gt;"",O177&lt;&gt;""),"YES","NO")</f>
        <v/>
      </c>
      <c r="W177" s="4">
        <f>IF(HOUR(D177)&lt;12,"Morning",IF(HOUR(D177)&lt;17,"Afternoon","Evening"))</f>
        <v/>
      </c>
      <c r="X177" s="4" t="n">
        <v>6</v>
      </c>
      <c r="Y177" s="4">
        <f>IF(F177&lt;5,"&lt;5 min",IF(F177&lt;15,"5-15 min",IF(F177&lt;30,"15-30 min","30+ min")))</f>
        <v/>
      </c>
    </row>
    <row r="178">
      <c r="A178" s="3" t="n">
        <v>46002</v>
      </c>
      <c r="B178" s="4" t="inlineStr">
        <is>
          <t>Thursday</t>
        </is>
      </c>
      <c r="C178" s="4" t="inlineStr">
        <is>
          <t>Dec 25</t>
        </is>
      </c>
      <c r="D178" s="4" t="inlineStr">
        <is>
          <t>11/12/2025, 6:27 pm</t>
        </is>
      </c>
      <c r="E178" s="4" t="inlineStr">
        <is>
          <t>11/12/2025, 6:29 pm</t>
        </is>
      </c>
      <c r="F178" s="4">
        <f>(E178-D178)*24*60</f>
        <v/>
      </c>
      <c r="G178" s="4" t="inlineStr">
        <is>
          <t>M/S RAHUL STEEL TRADERS</t>
        </is>
      </c>
      <c r="H178" s="4" t="inlineStr">
        <is>
          <t>001fw0000035T2uAAE</t>
        </is>
      </c>
      <c r="I178" s="4" t="n">
        <v>831012</v>
      </c>
      <c r="J178" s="4" t="inlineStr">
        <is>
          <t>EAST SINGHBUM</t>
        </is>
      </c>
      <c r="K178" s="4" t="inlineStr"/>
      <c r="L178" s="4" t="inlineStr">
        <is>
          <t>Retailer PB</t>
        </is>
      </c>
      <c r="M178" s="4" t="inlineStr">
        <is>
          <t>Got future date</t>
        </is>
      </c>
      <c r="N178" s="4" t="inlineStr">
        <is>
          <t>Dealer of Tata tiscon and rungta tmt. Rates given 56000 landed to retailer . Need promotional activities.</t>
        </is>
      </c>
      <c r="O178" s="4" t="inlineStr">
        <is>
          <t>Need time to start a new brand as he doesn't have space.</t>
        </is>
      </c>
      <c r="P178" s="4" t="inlineStr">
        <is>
          <t>Dealer of Tata tiscon and rungta tmt. Rates given 56000 landed to retailer . Need promotional activities. | Need time to start a new brand as he doesn't have space.</t>
        </is>
      </c>
      <c r="Q178" s="4">
        <f>LEN(TRIM(P178))-LEN(SUBSTITUTE(P178," ",""))+1</f>
        <v/>
      </c>
      <c r="R178" s="4" t="n">
        <v>22.8356699</v>
      </c>
      <c r="S178" s="4" t="n">
        <v>86.2286278</v>
      </c>
      <c r="T178" s="4">
        <f>COUNTIF($G$2:G178,G178)</f>
        <v/>
      </c>
      <c r="U178" s="4">
        <f>IF(F178&lt;5,"YES","NO")</f>
        <v/>
      </c>
      <c r="V178" s="4">
        <f>IF(AND(N178&lt;&gt;"",O178&lt;&gt;""),"YES","NO")</f>
        <v/>
      </c>
      <c r="W178" s="4">
        <f>IF(HOUR(D178)&lt;12,"Morning",IF(HOUR(D178)&lt;17,"Afternoon","Evening"))</f>
        <v/>
      </c>
      <c r="X178" s="4" t="n">
        <v>6</v>
      </c>
      <c r="Y178" s="4">
        <f>IF(F178&lt;5,"&lt;5 min",IF(F178&lt;15,"5-15 min",IF(F178&lt;30,"15-30 min","30+ min")))</f>
        <v/>
      </c>
    </row>
    <row r="179">
      <c r="A179" s="3" t="n">
        <v>46015</v>
      </c>
      <c r="B179" s="4" t="inlineStr">
        <is>
          <t>Wednesday</t>
        </is>
      </c>
      <c r="C179" s="4" t="inlineStr">
        <is>
          <t>Dec 25</t>
        </is>
      </c>
      <c r="D179" s="4" t="inlineStr">
        <is>
          <t>24/12/2025, 6:41 pm</t>
        </is>
      </c>
      <c r="E179" s="4" t="inlineStr">
        <is>
          <t>24/12/2025, 6:42 pm</t>
        </is>
      </c>
      <c r="F179" s="4">
        <f>(E179-D179)*24*60</f>
        <v/>
      </c>
      <c r="G179" s="4" t="inlineStr">
        <is>
          <t>M/S RAHUL STEEL TRADERS</t>
        </is>
      </c>
      <c r="H179" s="4" t="inlineStr">
        <is>
          <t>001fw0000035T2uAAE</t>
        </is>
      </c>
      <c r="I179" s="4" t="n">
        <v>831012</v>
      </c>
      <c r="J179" s="4" t="inlineStr">
        <is>
          <t>EAST SINGHBUM</t>
        </is>
      </c>
      <c r="K179" s="4" t="inlineStr"/>
      <c r="L179" s="4" t="inlineStr">
        <is>
          <t>Retailer PB</t>
        </is>
      </c>
      <c r="M179" s="4" t="inlineStr">
        <is>
          <t>Got future date</t>
        </is>
      </c>
      <c r="N179" s="4" t="inlineStr">
        <is>
          <t>Dealer of Tata tiscon and rungta tmt. Rates given 57000 landed . Selling tiscon @ 73 landed to the retailer.</t>
        </is>
      </c>
      <c r="O179" s="4" t="inlineStr">
        <is>
          <t>Need time to share inquiry . Will connect us when inquiry comes to him .</t>
        </is>
      </c>
      <c r="P179" s="4" t="inlineStr">
        <is>
          <t>Dealer of Tata tiscon and rungta tmt. Rates given 57000 landed . Selling tiscon @ 73 landed to the retailer. | Need time to share inquiry . Will connect us when inquiry comes to him .</t>
        </is>
      </c>
      <c r="Q179" s="4">
        <f>LEN(TRIM(P179))-LEN(SUBSTITUTE(P179," ",""))+1</f>
        <v/>
      </c>
      <c r="R179" s="4" t="n">
        <v>22.8356613</v>
      </c>
      <c r="S179" s="4" t="n">
        <v>86.22851060000001</v>
      </c>
      <c r="T179" s="4">
        <f>COUNTIF($G$2:G179,G179)</f>
        <v/>
      </c>
      <c r="U179" s="4">
        <f>IF(F179&lt;5,"YES","NO")</f>
        <v/>
      </c>
      <c r="V179" s="4">
        <f>IF(AND(N179&lt;&gt;"",O179&lt;&gt;""),"YES","NO")</f>
        <v/>
      </c>
      <c r="W179" s="4">
        <f>IF(HOUR(D179)&lt;12,"Morning",IF(HOUR(D179)&lt;17,"Afternoon","Evening"))</f>
        <v/>
      </c>
      <c r="X179" s="4" t="n">
        <v>8</v>
      </c>
      <c r="Y179" s="4">
        <f>IF(F179&lt;5,"&lt;5 min",IF(F179&lt;15,"5-15 min",IF(F179&lt;30,"15-30 min","30+ min")))</f>
        <v/>
      </c>
    </row>
    <row r="180">
      <c r="A180" s="3" t="n">
        <v>46027</v>
      </c>
      <c r="B180" s="4" t="inlineStr">
        <is>
          <t>Monday</t>
        </is>
      </c>
      <c r="C180" s="4" t="inlineStr">
        <is>
          <t>Jan 26</t>
        </is>
      </c>
      <c r="D180" s="4" t="inlineStr">
        <is>
          <t>05/01/2026, 5:02 pm</t>
        </is>
      </c>
      <c r="E180" s="4" t="inlineStr">
        <is>
          <t>05/01/2026, 5:05 pm</t>
        </is>
      </c>
      <c r="F180" s="4">
        <f>(E180-D180)*24*60</f>
        <v/>
      </c>
      <c r="G180" s="4" t="inlineStr">
        <is>
          <t>M/S RAHUL STEEL TRADERS</t>
        </is>
      </c>
      <c r="H180" s="4" t="inlineStr">
        <is>
          <t>001fw0000035T2uAAE</t>
        </is>
      </c>
      <c r="I180" s="4" t="n">
        <v>831012</v>
      </c>
      <c r="J180" s="4" t="inlineStr">
        <is>
          <t>EAST SINGHBUM</t>
        </is>
      </c>
      <c r="K180" s="4" t="inlineStr"/>
      <c r="L180" s="4" t="inlineStr">
        <is>
          <t>Retailer PB</t>
        </is>
      </c>
      <c r="M180" s="4" t="inlineStr">
        <is>
          <t>Got future date</t>
        </is>
      </c>
      <c r="N180" s="4" t="inlineStr">
        <is>
          <t>Dealer of RUNGTA TMT and Tata tiscon. Rates given 59500 landed to the dealer.</t>
        </is>
      </c>
      <c r="O180" s="4" t="inlineStr">
        <is>
          <t>Will let us know. Will connect us on inquiry. Purchasing Tata tiscon @ 74000.</t>
        </is>
      </c>
      <c r="P180" s="4" t="inlineStr">
        <is>
          <t>Dealer of RUNGTA TMT and Tata tiscon. Rates given 59500 landed to the dealer. | Will let us know. Will connect us on inquiry. Purchasing Tata tiscon @ 74000.</t>
        </is>
      </c>
      <c r="Q180" s="4">
        <f>LEN(TRIM(P180))-LEN(SUBSTITUTE(P180," ",""))+1</f>
        <v/>
      </c>
      <c r="R180" s="4" t="n">
        <v>22.835517</v>
      </c>
      <c r="S180" s="4" t="n">
        <v>86.2286721</v>
      </c>
      <c r="T180" s="4">
        <f>COUNTIF($G$2:G180,G180)</f>
        <v/>
      </c>
      <c r="U180" s="4">
        <f>IF(F180&lt;5,"YES","NO")</f>
        <v/>
      </c>
      <c r="V180" s="4">
        <f>IF(AND(N180&lt;&gt;"",O180&lt;&gt;""),"YES","NO")</f>
        <v/>
      </c>
      <c r="W180" s="4">
        <f>IF(HOUR(D180)&lt;12,"Morning",IF(HOUR(D180)&lt;17,"Afternoon","Evening"))</f>
        <v/>
      </c>
      <c r="X180" s="4" t="n">
        <v>7</v>
      </c>
      <c r="Y180" s="4">
        <f>IF(F180&lt;5,"&lt;5 min",IF(F180&lt;15,"5-15 min",IF(F180&lt;30,"15-30 min","30+ min")))</f>
        <v/>
      </c>
    </row>
    <row r="181">
      <c r="A181" s="3" t="n">
        <v>46043</v>
      </c>
      <c r="B181" s="4" t="inlineStr">
        <is>
          <t>Wednesday</t>
        </is>
      </c>
      <c r="C181" s="4" t="inlineStr">
        <is>
          <t>Jan 26</t>
        </is>
      </c>
      <c r="D181" s="4" t="inlineStr">
        <is>
          <t>21/01/2026, 6:06 pm</t>
        </is>
      </c>
      <c r="E181" s="4" t="inlineStr">
        <is>
          <t>21/01/2026, 6:09 pm</t>
        </is>
      </c>
      <c r="F181" s="4">
        <f>(E181-D181)*24*60</f>
        <v/>
      </c>
      <c r="G181" s="4" t="inlineStr">
        <is>
          <t>M/S RAHUL STEEL TRADERS</t>
        </is>
      </c>
      <c r="H181" s="4" t="inlineStr">
        <is>
          <t>001fw0000035T2uAAE</t>
        </is>
      </c>
      <c r="I181" s="4" t="n">
        <v>831012</v>
      </c>
      <c r="J181" s="4" t="inlineStr">
        <is>
          <t>EAST SINGHBUM</t>
        </is>
      </c>
      <c r="K181" s="4" t="inlineStr"/>
      <c r="L181" s="4" t="inlineStr">
        <is>
          <t>Retailer PB</t>
        </is>
      </c>
      <c r="M181" s="4" t="inlineStr">
        <is>
          <t>Got future date</t>
        </is>
      </c>
      <c r="N181" s="4" t="inlineStr">
        <is>
          <t>Dealer of Tata tiscon and RUNGTA TMT. Rates given 62500 Mt landed. Will connect on inquiry.</t>
        </is>
      </c>
      <c r="O181" s="4" t="inlineStr">
        <is>
          <t>Will share us inquiry on demand receive from customer. Will connect us.</t>
        </is>
      </c>
      <c r="P181" s="4" t="inlineStr">
        <is>
          <t>Dealer of Tata tiscon and RUNGTA TMT. Rates given 62500 Mt landed. Will connect on inquiry. | Will share us inquiry on demand receive from customer. Will connect us.</t>
        </is>
      </c>
      <c r="Q181" s="4">
        <f>LEN(TRIM(P181))-LEN(SUBSTITUTE(P181," ",""))+1</f>
        <v/>
      </c>
      <c r="R181" s="4" t="n">
        <v>22.8357681</v>
      </c>
      <c r="S181" s="4" t="n">
        <v>86.2286211</v>
      </c>
      <c r="T181" s="4">
        <f>COUNTIF($G$2:G181,G181)</f>
        <v/>
      </c>
      <c r="U181" s="4">
        <f>IF(F181&lt;5,"YES","NO")</f>
        <v/>
      </c>
      <c r="V181" s="4">
        <f>IF(AND(N181&lt;&gt;"",O181&lt;&gt;""),"YES","NO")</f>
        <v/>
      </c>
      <c r="W181" s="4">
        <f>IF(HOUR(D181)&lt;12,"Morning",IF(HOUR(D181)&lt;17,"Afternoon","Evening"))</f>
        <v/>
      </c>
      <c r="X181" s="4" t="n">
        <v>6</v>
      </c>
      <c r="Y181" s="4">
        <f>IF(F181&lt;5,"&lt;5 min",IF(F181&lt;15,"5-15 min",IF(F181&lt;30,"15-30 min","30+ min")))</f>
        <v/>
      </c>
    </row>
    <row r="182">
      <c r="A182" s="3" t="n">
        <v>46037</v>
      </c>
      <c r="B182" s="4" t="inlineStr">
        <is>
          <t>Thursday</t>
        </is>
      </c>
      <c r="C182" s="4" t="inlineStr">
        <is>
          <t>Jan 26</t>
        </is>
      </c>
      <c r="D182" s="4" t="inlineStr">
        <is>
          <t>15/01/2026, 6:26 pm</t>
        </is>
      </c>
      <c r="E182" s="4" t="inlineStr">
        <is>
          <t>15/01/2026, 6:27 pm</t>
        </is>
      </c>
      <c r="F182" s="4">
        <f>(E182-D182)*24*60</f>
        <v/>
      </c>
      <c r="G182" s="4" t="inlineStr">
        <is>
          <t>M/S RAJESH KUMAR CONSTRUCTIONS PRIVATE LIMITED</t>
        </is>
      </c>
      <c r="H182" s="4" t="inlineStr">
        <is>
          <t>001fw0000058wdRAAQ</t>
        </is>
      </c>
      <c r="I182" s="4" t="n">
        <v>832303</v>
      </c>
      <c r="J182" s="4" t="inlineStr">
        <is>
          <t>EAST SINGHBUM</t>
        </is>
      </c>
      <c r="K182" s="4" t="inlineStr"/>
      <c r="L182" s="4" t="inlineStr">
        <is>
          <t>Retailer PB</t>
        </is>
      </c>
      <c r="M182" s="4" t="inlineStr">
        <is>
          <t>Got future date</t>
        </is>
      </c>
      <c r="N182" s="4" t="inlineStr">
        <is>
          <t>Dealer Tata tiscon rungta tmt and panther TMT. Rates given 61500 landed to the customer</t>
        </is>
      </c>
      <c r="O182" s="4" t="inlineStr">
        <is>
          <t>No inquiry now. Demand is slow due to festival. Will connect next week.</t>
        </is>
      </c>
      <c r="P182" s="4" t="inlineStr">
        <is>
          <t>Dealer Tata tiscon rungta tmt and panther TMT. Rates given 61500 landed to the customer | No inquiry now. Demand is slow due to festival. Will connect next week.</t>
        </is>
      </c>
      <c r="Q182" s="4">
        <f>LEN(TRIM(P182))-LEN(SUBSTITUTE(P182," ",""))+1</f>
        <v/>
      </c>
      <c r="R182" s="4" t="n">
        <v>22.8107603</v>
      </c>
      <c r="S182" s="4" t="n">
        <v>86.1098076</v>
      </c>
      <c r="T182" s="4">
        <f>COUNTIF($G$2:G182,G182)</f>
        <v/>
      </c>
      <c r="U182" s="4">
        <f>IF(F182&lt;5,"YES","NO")</f>
        <v/>
      </c>
      <c r="V182" s="4">
        <f>IF(AND(N182&lt;&gt;"",O182&lt;&gt;""),"YES","NO")</f>
        <v/>
      </c>
      <c r="W182" s="4">
        <f>IF(HOUR(D182)&lt;12,"Morning",IF(HOUR(D182)&lt;17,"Afternoon","Evening"))</f>
        <v/>
      </c>
      <c r="X182" s="4" t="n">
        <v>6</v>
      </c>
      <c r="Y182" s="4">
        <f>IF(F182&lt;5,"&lt;5 min",IF(F182&lt;15,"5-15 min",IF(F182&lt;30,"15-30 min","30+ min")))</f>
        <v/>
      </c>
    </row>
    <row r="183">
      <c r="A183" s="3" t="n">
        <v>45995</v>
      </c>
      <c r="B183" s="4" t="inlineStr">
        <is>
          <t>Thursday</t>
        </is>
      </c>
      <c r="C183" s="4" t="inlineStr">
        <is>
          <t>Dec 25</t>
        </is>
      </c>
      <c r="D183" s="4" t="inlineStr">
        <is>
          <t>04/12/2025, 1:56 pm</t>
        </is>
      </c>
      <c r="E183" s="4" t="inlineStr">
        <is>
          <t>04/12/2025, 1:59 pm</t>
        </is>
      </c>
      <c r="F183" s="4">
        <f>(E183-D183)*24*60</f>
        <v/>
      </c>
      <c r="G183" s="4" t="inlineStr">
        <is>
          <t>M/S SANDEEP ENTERPRISES</t>
        </is>
      </c>
      <c r="H183" s="4" t="inlineStr">
        <is>
          <t>001fw00000AkkF0AAJ</t>
        </is>
      </c>
      <c r="I183" s="4" t="n">
        <v>829111</v>
      </c>
      <c r="J183" s="4" t="inlineStr">
        <is>
          <t>BOKARO</t>
        </is>
      </c>
      <c r="K183" s="4" t="inlineStr"/>
      <c r="L183" s="4" t="inlineStr">
        <is>
          <t>Retailer PB</t>
        </is>
      </c>
      <c r="M183" s="4" t="inlineStr">
        <is>
          <t>Got future date</t>
        </is>
      </c>
      <c r="N183" s="4" t="inlineStr">
        <is>
          <t>Dealer of rungta tmt and local isi. Rates given 55500 landed to dealer . Asking to connect later .</t>
        </is>
      </c>
      <c r="O183" s="4" t="inlineStr">
        <is>
          <t>Will connect us with an inquiry comes from custumer need time.</t>
        </is>
      </c>
      <c r="P183" s="4" t="inlineStr">
        <is>
          <t>Dealer of rungta tmt and local isi. Rates given 55500 landed to dealer . Asking to connect later . | Will connect us with an inquiry comes from custumer need time.</t>
        </is>
      </c>
      <c r="Q183" s="4">
        <f>LEN(TRIM(P183))-LEN(SUBSTITUTE(P183," ",""))+1</f>
        <v/>
      </c>
      <c r="R183" s="4" t="n">
        <v>22.7670749</v>
      </c>
      <c r="S183" s="4" t="n">
        <v>85.9586376</v>
      </c>
      <c r="T183" s="4">
        <f>COUNTIF($G$2:G183,G183)</f>
        <v/>
      </c>
      <c r="U183" s="4">
        <f>IF(F183&lt;5,"YES","NO")</f>
        <v/>
      </c>
      <c r="V183" s="4">
        <f>IF(AND(N183&lt;&gt;"",O183&lt;&gt;""),"YES","NO")</f>
        <v/>
      </c>
      <c r="W183" s="4">
        <f>IF(HOUR(D183)&lt;12,"Morning",IF(HOUR(D183)&lt;17,"Afternoon","Evening"))</f>
        <v/>
      </c>
      <c r="X183" s="4" t="n">
        <v>6</v>
      </c>
      <c r="Y183" s="4">
        <f>IF(F183&lt;5,"&lt;5 min",IF(F183&lt;15,"5-15 min",IF(F183&lt;30,"15-30 min","30+ min")))</f>
        <v/>
      </c>
    </row>
    <row r="184">
      <c r="A184" s="3" t="n">
        <v>45999</v>
      </c>
      <c r="B184" s="4" t="inlineStr">
        <is>
          <t>Monday</t>
        </is>
      </c>
      <c r="C184" s="4" t="inlineStr">
        <is>
          <t>Dec 25</t>
        </is>
      </c>
      <c r="D184" s="4" t="inlineStr">
        <is>
          <t>08/12/2025, 2:04 pm</t>
        </is>
      </c>
      <c r="E184" s="4" t="inlineStr">
        <is>
          <t>08/12/2025, 2:06 pm</t>
        </is>
      </c>
      <c r="F184" s="4">
        <f>(E184-D184)*24*60</f>
        <v/>
      </c>
      <c r="G184" s="4" t="inlineStr">
        <is>
          <t>M/S SANDEEP ENTERPRISES</t>
        </is>
      </c>
      <c r="H184" s="4" t="inlineStr">
        <is>
          <t>001fw00000AkkF0AAJ</t>
        </is>
      </c>
      <c r="I184" s="4" t="n">
        <v>829111</v>
      </c>
      <c r="J184" s="4" t="inlineStr">
        <is>
          <t>BOKARO</t>
        </is>
      </c>
      <c r="K184" s="4" t="inlineStr"/>
      <c r="L184" s="4" t="inlineStr">
        <is>
          <t>Retailer PB</t>
        </is>
      </c>
      <c r="M184" s="4" t="inlineStr">
        <is>
          <t>Got future date</t>
        </is>
      </c>
      <c r="N184" s="4" t="inlineStr">
        <is>
          <t>Dealer of rungta and saluja tmt . Rates given 55500 landed to the dealer .</t>
        </is>
      </c>
      <c r="O184" s="4" t="inlineStr">
        <is>
          <t>Will connect us . Buying rungta at 50000 landed . Will share us inquiry.</t>
        </is>
      </c>
      <c r="P184" s="4" t="inlineStr">
        <is>
          <t>Dealer of rungta and saluja tmt . Rates given 55500 landed to the dealer . | Will connect us . Buying rungta at 50000 landed . Will share us inquiry.</t>
        </is>
      </c>
      <c r="Q184" s="4">
        <f>LEN(TRIM(P184))-LEN(SUBSTITUTE(P184," ",""))+1</f>
        <v/>
      </c>
      <c r="R184" s="4" t="n">
        <v>22.7632162</v>
      </c>
      <c r="S184" s="4" t="n">
        <v>85.96126769999999</v>
      </c>
      <c r="T184" s="4">
        <f>COUNTIF($G$2:G184,G184)</f>
        <v/>
      </c>
      <c r="U184" s="4">
        <f>IF(F184&lt;5,"YES","NO")</f>
        <v/>
      </c>
      <c r="V184" s="4">
        <f>IF(AND(N184&lt;&gt;"",O184&lt;&gt;""),"YES","NO")</f>
        <v/>
      </c>
      <c r="W184" s="4">
        <f>IF(HOUR(D184)&lt;12,"Morning",IF(HOUR(D184)&lt;17,"Afternoon","Evening"))</f>
        <v/>
      </c>
      <c r="X184" s="4" t="n">
        <v>6</v>
      </c>
      <c r="Y184" s="4">
        <f>IF(F184&lt;5,"&lt;5 min",IF(F184&lt;15,"5-15 min",IF(F184&lt;30,"15-30 min","30+ min")))</f>
        <v/>
      </c>
    </row>
    <row r="185">
      <c r="A185" s="3" t="n">
        <v>45993</v>
      </c>
      <c r="B185" s="4" t="inlineStr">
        <is>
          <t>Tuesday</t>
        </is>
      </c>
      <c r="C185" s="4" t="inlineStr">
        <is>
          <t>Dec 25</t>
        </is>
      </c>
      <c r="D185" s="4" t="inlineStr">
        <is>
          <t>02/12/2025, 4:11 pm</t>
        </is>
      </c>
      <c r="E185" s="4" t="inlineStr">
        <is>
          <t>02/12/2025, 4:12 pm</t>
        </is>
      </c>
      <c r="F185" s="4">
        <f>(E185-D185)*24*60</f>
        <v/>
      </c>
      <c r="G185" s="4" t="inlineStr">
        <is>
          <t>M/S SANT STEEL</t>
        </is>
      </c>
      <c r="H185" s="4" t="inlineStr">
        <is>
          <t>001J100000VnojLIAR</t>
        </is>
      </c>
      <c r="I185" s="4" t="n">
        <v>831013</v>
      </c>
      <c r="J185" s="4" t="inlineStr">
        <is>
          <t>SARAIKELA KHARSAWAN</t>
        </is>
      </c>
      <c r="K185" s="4" t="inlineStr"/>
      <c r="L185" s="4" t="inlineStr">
        <is>
          <t>Retailer PB</t>
        </is>
      </c>
      <c r="M185" s="4" t="inlineStr">
        <is>
          <t>Got future date</t>
        </is>
      </c>
      <c r="N185" s="4" t="inlineStr">
        <is>
          <t>Dealer of Tata tiscon and rungta tmt. Rates given 55000 landed to the dealer. Will connect in week time .</t>
        </is>
      </c>
      <c r="O185" s="4" t="inlineStr">
        <is>
          <t>Need time to start with jsw one tmt. Asking to call back .</t>
        </is>
      </c>
      <c r="P185" s="4" t="inlineStr">
        <is>
          <t>Dealer of Tata tiscon and rungta tmt. Rates given 55000 landed to the dealer. Will connect in week time . | Need time to start with jsw one tmt. Asking to call back .</t>
        </is>
      </c>
      <c r="Q185" s="4">
        <f>LEN(TRIM(P185))-LEN(SUBSTITUTE(P185," ",""))+1</f>
        <v/>
      </c>
      <c r="R185" s="4" t="n">
        <v>22.7867348</v>
      </c>
      <c r="S185" s="4" t="n">
        <v>86.16100179999999</v>
      </c>
      <c r="T185" s="4">
        <f>COUNTIF($G$2:G185,G185)</f>
        <v/>
      </c>
      <c r="U185" s="4">
        <f>IF(F185&lt;5,"YES","NO")</f>
        <v/>
      </c>
      <c r="V185" s="4">
        <f>IF(AND(N185&lt;&gt;"",O185&lt;&gt;""),"YES","NO")</f>
        <v/>
      </c>
      <c r="W185" s="4">
        <f>IF(HOUR(D185)&lt;12,"Morning",IF(HOUR(D185)&lt;17,"Afternoon","Evening"))</f>
        <v/>
      </c>
      <c r="X185" s="4" t="n">
        <v>7</v>
      </c>
      <c r="Y185" s="4">
        <f>IF(F185&lt;5,"&lt;5 min",IF(F185&lt;15,"5-15 min",IF(F185&lt;30,"15-30 min","30+ min")))</f>
        <v/>
      </c>
    </row>
    <row r="186">
      <c r="A186" s="3" t="n">
        <v>45994</v>
      </c>
      <c r="B186" s="4" t="inlineStr">
        <is>
          <t>Wednesday</t>
        </is>
      </c>
      <c r="C186" s="4" t="inlineStr">
        <is>
          <t>Dec 25</t>
        </is>
      </c>
      <c r="D186" s="4" t="inlineStr">
        <is>
          <t>03/12/2025, 7:19 pm</t>
        </is>
      </c>
      <c r="E186" s="4" t="inlineStr">
        <is>
          <t>03/12/2025, 7:20 pm</t>
        </is>
      </c>
      <c r="F186" s="4">
        <f>(E186-D186)*24*60</f>
        <v/>
      </c>
      <c r="G186" s="4" t="inlineStr">
        <is>
          <t>M/S SANT STEEL</t>
        </is>
      </c>
      <c r="H186" s="4" t="inlineStr">
        <is>
          <t>001J100000VnojLIAR</t>
        </is>
      </c>
      <c r="I186" s="4" t="n">
        <v>831013</v>
      </c>
      <c r="J186" s="4" t="inlineStr">
        <is>
          <t>SARAIKELA KHARSAWAN</t>
        </is>
      </c>
      <c r="K186" s="4" t="inlineStr"/>
      <c r="L186" s="4" t="inlineStr">
        <is>
          <t>Retailer PB</t>
        </is>
      </c>
      <c r="M186" s="4" t="inlineStr">
        <is>
          <t>Got future date</t>
        </is>
      </c>
      <c r="N186" s="4" t="inlineStr">
        <is>
          <t>Dealer of Tata tiscon and rungta steel . Rates given 55000 landed to the dealer m need time.</t>
        </is>
      </c>
      <c r="O186" s="4" t="inlineStr">
        <is>
          <t>Will share inquiry when demand comes. Need time time.</t>
        </is>
      </c>
      <c r="P186" s="4" t="inlineStr">
        <is>
          <t>Dealer of Tata tiscon and rungta steel . Rates given 55000 landed to the dealer m need time. | Will share inquiry when demand comes. Need time time.</t>
        </is>
      </c>
      <c r="Q186" s="4">
        <f>LEN(TRIM(P186))-LEN(SUBSTITUTE(P186," ",""))+1</f>
        <v/>
      </c>
      <c r="R186" s="4" t="n">
        <v>22.7867033</v>
      </c>
      <c r="S186" s="4" t="n">
        <v>86.1610475</v>
      </c>
      <c r="T186" s="4">
        <f>COUNTIF($G$2:G186,G186)</f>
        <v/>
      </c>
      <c r="U186" s="4">
        <f>IF(F186&lt;5,"YES","NO")</f>
        <v/>
      </c>
      <c r="V186" s="4">
        <f>IF(AND(N186&lt;&gt;"",O186&lt;&gt;""),"YES","NO")</f>
        <v/>
      </c>
      <c r="W186" s="4">
        <f>IF(HOUR(D186)&lt;12,"Morning",IF(HOUR(D186)&lt;17,"Afternoon","Evening"))</f>
        <v/>
      </c>
      <c r="X186" s="4" t="n">
        <v>6</v>
      </c>
      <c r="Y186" s="4">
        <f>IF(F186&lt;5,"&lt;5 min",IF(F186&lt;15,"5-15 min",IF(F186&lt;30,"15-30 min","30+ min")))</f>
        <v/>
      </c>
    </row>
    <row r="187">
      <c r="A187" s="3" t="n">
        <v>46000</v>
      </c>
      <c r="B187" s="4" t="inlineStr">
        <is>
          <t>Tuesday</t>
        </is>
      </c>
      <c r="C187" s="4" t="inlineStr">
        <is>
          <t>Dec 25</t>
        </is>
      </c>
      <c r="D187" s="4" t="inlineStr">
        <is>
          <t>09/12/2025, 7:00 pm</t>
        </is>
      </c>
      <c r="E187" s="4" t="inlineStr">
        <is>
          <t>09/12/2025, 7:01 pm</t>
        </is>
      </c>
      <c r="F187" s="4">
        <f>(E187-D187)*24*60</f>
        <v/>
      </c>
      <c r="G187" s="4" t="inlineStr">
        <is>
          <t>M/S SANT STEEL</t>
        </is>
      </c>
      <c r="H187" s="4" t="inlineStr">
        <is>
          <t>001J100000VnojLIAR</t>
        </is>
      </c>
      <c r="I187" s="4" t="n">
        <v>831013</v>
      </c>
      <c r="J187" s="4" t="inlineStr">
        <is>
          <t>SARAIKELA KHARSAWAN</t>
        </is>
      </c>
      <c r="K187" s="4" t="inlineStr"/>
      <c r="L187" s="4" t="inlineStr">
        <is>
          <t>Retailer PB</t>
        </is>
      </c>
      <c r="M187" s="4" t="inlineStr">
        <is>
          <t>Got future date</t>
        </is>
      </c>
      <c r="N187" s="4" t="inlineStr">
        <is>
          <t>Dealer of rungta tmt and Tata tiscon tmt. Rates given 56000 landed to the dealer . Need time.</t>
        </is>
      </c>
      <c r="O187" s="4" t="inlineStr">
        <is>
          <t>Will connect when inquiry received from custumers. Need time.</t>
        </is>
      </c>
      <c r="P187" s="4" t="inlineStr">
        <is>
          <t>Dealer of rungta tmt and Tata tiscon tmt. Rates given 56000 landed to the dealer . Need time. | Will connect when inquiry received from custumers. Need time.</t>
        </is>
      </c>
      <c r="Q187" s="4">
        <f>LEN(TRIM(P187))-LEN(SUBSTITUTE(P187," ",""))+1</f>
        <v/>
      </c>
      <c r="R187" s="4" t="n">
        <v>22.7867046</v>
      </c>
      <c r="S187" s="4" t="n">
        <v>86.16088910000001</v>
      </c>
      <c r="T187" s="4">
        <f>COUNTIF($G$2:G187,G187)</f>
        <v/>
      </c>
      <c r="U187" s="4">
        <f>IF(F187&lt;5,"YES","NO")</f>
        <v/>
      </c>
      <c r="V187" s="4">
        <f>IF(AND(N187&lt;&gt;"",O187&lt;&gt;""),"YES","NO")</f>
        <v/>
      </c>
      <c r="W187" s="4">
        <f>IF(HOUR(D187)&lt;12,"Morning",IF(HOUR(D187)&lt;17,"Afternoon","Evening"))</f>
        <v/>
      </c>
      <c r="X187" s="4" t="n">
        <v>6</v>
      </c>
      <c r="Y187" s="4">
        <f>IF(F187&lt;5,"&lt;5 min",IF(F187&lt;15,"5-15 min",IF(F187&lt;30,"15-30 min","30+ min")))</f>
        <v/>
      </c>
    </row>
    <row r="188">
      <c r="A188" s="3" t="n">
        <v>46045</v>
      </c>
      <c r="B188" s="4" t="inlineStr">
        <is>
          <t>Friday</t>
        </is>
      </c>
      <c r="C188" s="4" t="inlineStr">
        <is>
          <t>Jan 26</t>
        </is>
      </c>
      <c r="D188" s="4" t="inlineStr">
        <is>
          <t>23/01/2026, 2:20 pm</t>
        </is>
      </c>
      <c r="E188" s="4" t="inlineStr">
        <is>
          <t>23/01/2026, 2:21 pm</t>
        </is>
      </c>
      <c r="F188" s="4">
        <f>(E188-D188)*24*60</f>
        <v/>
      </c>
      <c r="G188" s="4" t="inlineStr">
        <is>
          <t>M/S SANT STEEL</t>
        </is>
      </c>
      <c r="H188" s="4" t="inlineStr">
        <is>
          <t>001J100000VnojLIAR</t>
        </is>
      </c>
      <c r="I188" s="4" t="n">
        <v>831013</v>
      </c>
      <c r="J188" s="4" t="inlineStr">
        <is>
          <t>SARAIKELA KHARSAWAN</t>
        </is>
      </c>
      <c r="K188" s="4" t="inlineStr"/>
      <c r="L188" s="4" t="inlineStr">
        <is>
          <t>Retailer PB</t>
        </is>
      </c>
      <c r="M188" s="4" t="inlineStr">
        <is>
          <t>Got future date</t>
        </is>
      </c>
      <c r="N188" s="4" t="inlineStr">
        <is>
          <t>Dealer of Tata tiscon and RUNGTA TMT. Rates given 63000 landed to the customer.</t>
        </is>
      </c>
      <c r="O188" s="4" t="inlineStr">
        <is>
          <t>Will connect us on inquiry received from CUSTUMER. Sharing rates constantly. Last purchase rungta @ 43 basic.</t>
        </is>
      </c>
      <c r="P188" s="4" t="inlineStr">
        <is>
          <t>Dealer of Tata tiscon and RUNGTA TMT. Rates given 63000 landed to the customer. | Will connect us on inquiry received from CUSTUMER. Sharing rates constantly. Last purchase rungta @ 43 basic.</t>
        </is>
      </c>
      <c r="Q188" s="4">
        <f>LEN(TRIM(P188))-LEN(SUBSTITUTE(P188," ",""))+1</f>
        <v/>
      </c>
      <c r="R188" s="4" t="n">
        <v>22.7867171</v>
      </c>
      <c r="S188" s="4" t="n">
        <v>86.1609713</v>
      </c>
      <c r="T188" s="4">
        <f>COUNTIF($G$2:G188,G188)</f>
        <v/>
      </c>
      <c r="U188" s="4">
        <f>IF(F188&lt;5,"YES","NO")</f>
        <v/>
      </c>
      <c r="V188" s="4">
        <f>IF(AND(N188&lt;&gt;"",O188&lt;&gt;""),"YES","NO")</f>
        <v/>
      </c>
      <c r="W188" s="4">
        <f>IF(HOUR(D188)&lt;12,"Morning",IF(HOUR(D188)&lt;17,"Afternoon","Evening"))</f>
        <v/>
      </c>
      <c r="X188" s="4" t="n">
        <v>5</v>
      </c>
      <c r="Y188" s="4">
        <f>IF(F188&lt;5,"&lt;5 min",IF(F188&lt;15,"5-15 min",IF(F188&lt;30,"15-30 min","30+ min")))</f>
        <v/>
      </c>
    </row>
    <row r="189">
      <c r="A189" s="3" t="n">
        <v>46002</v>
      </c>
      <c r="B189" s="4" t="inlineStr">
        <is>
          <t>Thursday</t>
        </is>
      </c>
      <c r="C189" s="4" t="inlineStr">
        <is>
          <t>Dec 25</t>
        </is>
      </c>
      <c r="D189" s="4" t="inlineStr">
        <is>
          <t>11/12/2025, 5:16 pm</t>
        </is>
      </c>
      <c r="E189" s="4" t="inlineStr">
        <is>
          <t>11/12/2025, 5:18 pm</t>
        </is>
      </c>
      <c r="F189" s="4">
        <f>(E189-D189)*24*60</f>
        <v/>
      </c>
      <c r="G189" s="4" t="inlineStr">
        <is>
          <t>M/S SANTOSH STEEL TRADERS</t>
        </is>
      </c>
      <c r="H189" s="4" t="inlineStr">
        <is>
          <t>001J100000VnqFTIAZ</t>
        </is>
      </c>
      <c r="I189" s="4" t="n">
        <v>831012</v>
      </c>
      <c r="J189" s="4" t="inlineStr">
        <is>
          <t>EAST SINGHBUM</t>
        </is>
      </c>
      <c r="K189" s="4" t="inlineStr"/>
      <c r="L189" s="4" t="inlineStr">
        <is>
          <t>Retailer PB</t>
        </is>
      </c>
      <c r="M189" s="4" t="inlineStr">
        <is>
          <t>Got future date</t>
        </is>
      </c>
      <c r="N189" s="4" t="inlineStr">
        <is>
          <t>Dealer of Tata tiscon and rungta tmt. Rates given 56000 landed to the dealer. Will let us know.</t>
        </is>
      </c>
      <c r="O189" s="4" t="inlineStr">
        <is>
          <t>Will connect us as inquiry comes from end user or site.</t>
        </is>
      </c>
      <c r="P189" s="4" t="inlineStr">
        <is>
          <t>Dealer of Tata tiscon and rungta tmt. Rates given 56000 landed to the dealer. Will let us know. | Will connect us as inquiry comes from end user or site.</t>
        </is>
      </c>
      <c r="Q189" s="4">
        <f>LEN(TRIM(P189))-LEN(SUBSTITUTE(P189," ",""))+1</f>
        <v/>
      </c>
      <c r="R189" s="4" t="n">
        <v>22.8213636</v>
      </c>
      <c r="S189" s="4" t="n">
        <v>86.2070001</v>
      </c>
      <c r="T189" s="4">
        <f>COUNTIF($G$2:G189,G189)</f>
        <v/>
      </c>
      <c r="U189" s="4">
        <f>IF(F189&lt;5,"YES","NO")</f>
        <v/>
      </c>
      <c r="V189" s="4">
        <f>IF(AND(N189&lt;&gt;"",O189&lt;&gt;""),"YES","NO")</f>
        <v/>
      </c>
      <c r="W189" s="4">
        <f>IF(HOUR(D189)&lt;12,"Morning",IF(HOUR(D189)&lt;17,"Afternoon","Evening"))</f>
        <v/>
      </c>
      <c r="X189" s="4" t="n">
        <v>6</v>
      </c>
      <c r="Y189" s="4">
        <f>IF(F189&lt;5,"&lt;5 min",IF(F189&lt;15,"5-15 min",IF(F189&lt;30,"15-30 min","30+ min")))</f>
        <v/>
      </c>
    </row>
    <row r="190">
      <c r="A190" s="3" t="n">
        <v>46036</v>
      </c>
      <c r="B190" s="4" t="inlineStr">
        <is>
          <t>Wednesday</t>
        </is>
      </c>
      <c r="C190" s="4" t="inlineStr">
        <is>
          <t>Jan 26</t>
        </is>
      </c>
      <c r="D190" s="4" t="inlineStr">
        <is>
          <t>14/01/2026, 4:58 pm</t>
        </is>
      </c>
      <c r="E190" s="4" t="inlineStr">
        <is>
          <t>14/01/2026, 5:01 pm</t>
        </is>
      </c>
      <c r="F190" s="4">
        <f>(E190-D190)*24*60</f>
        <v/>
      </c>
      <c r="G190" s="4" t="inlineStr">
        <is>
          <t>M/S SANTOSH STEEL TRADERS</t>
        </is>
      </c>
      <c r="H190" s="4" t="inlineStr">
        <is>
          <t>001J100000VnqFTIAZ</t>
        </is>
      </c>
      <c r="I190" s="4" t="n">
        <v>831012</v>
      </c>
      <c r="J190" s="4" t="inlineStr">
        <is>
          <t>EAST SINGHBUM</t>
        </is>
      </c>
      <c r="K190" s="4" t="inlineStr"/>
      <c r="L190" s="4" t="inlineStr">
        <is>
          <t>Retailer PB</t>
        </is>
      </c>
      <c r="M190" s="4" t="inlineStr">
        <is>
          <t>Got future date</t>
        </is>
      </c>
      <c r="N190" s="4" t="inlineStr">
        <is>
          <t>Dealer of Tata tiscon and RUNGTA TMT. Rates given 61500 landed to the CUSTUMER.</t>
        </is>
      </c>
      <c r="O190" s="4" t="inlineStr">
        <is>
          <t>Will connect us demand from CUSTUMER. Sharing product specifications with CUSTUMER and waiting for their query</t>
        </is>
      </c>
      <c r="P190" s="4" t="inlineStr">
        <is>
          <t>Dealer of Tata tiscon and RUNGTA TMT. Rates given 61500 landed to the CUSTUMER. | Will connect us demand from CUSTUMER. Sharing product specifications with CUSTUMER and waiting for their query</t>
        </is>
      </c>
      <c r="Q190" s="4">
        <f>LEN(TRIM(P190))-LEN(SUBSTITUTE(P190," ",""))+1</f>
        <v/>
      </c>
      <c r="R190" s="4" t="n">
        <v>22.8213729</v>
      </c>
      <c r="S190" s="4" t="n">
        <v>86.2069566</v>
      </c>
      <c r="T190" s="4">
        <f>COUNTIF($G$2:G190,G190)</f>
        <v/>
      </c>
      <c r="U190" s="4">
        <f>IF(F190&lt;5,"YES","NO")</f>
        <v/>
      </c>
      <c r="V190" s="4">
        <f>IF(AND(N190&lt;&gt;"",O190&lt;&gt;""),"YES","NO")</f>
        <v/>
      </c>
      <c r="W190" s="4">
        <f>IF(HOUR(D190)&lt;12,"Morning",IF(HOUR(D190)&lt;17,"Afternoon","Evening"))</f>
        <v/>
      </c>
      <c r="X190" s="4" t="n">
        <v>6</v>
      </c>
      <c r="Y190" s="4">
        <f>IF(F190&lt;5,"&lt;5 min",IF(F190&lt;15,"5-15 min",IF(F190&lt;30,"15-30 min","30+ min")))</f>
        <v/>
      </c>
    </row>
    <row r="191">
      <c r="A191" s="3" t="n">
        <v>45993</v>
      </c>
      <c r="B191" s="4" t="inlineStr">
        <is>
          <t>Tuesday</t>
        </is>
      </c>
      <c r="C191" s="4" t="inlineStr">
        <is>
          <t>Dec 25</t>
        </is>
      </c>
      <c r="D191" s="4" t="inlineStr">
        <is>
          <t>02/12/2025, 6:43 pm</t>
        </is>
      </c>
      <c r="E191" s="4" t="inlineStr">
        <is>
          <t>02/12/2025, 6:48 pm</t>
        </is>
      </c>
      <c r="F191" s="4">
        <f>(E191-D191)*24*60</f>
        <v/>
      </c>
      <c r="G191" s="4" t="inlineStr">
        <is>
          <t>M/S SHIV STEEL TRADERS</t>
        </is>
      </c>
      <c r="H191" s="4" t="inlineStr">
        <is>
          <t>001J100000VnzGNIAZ</t>
        </is>
      </c>
      <c r="I191" s="4" t="n">
        <v>832108</v>
      </c>
      <c r="J191" s="4" t="inlineStr">
        <is>
          <t>SARAIKELA KHARSAWAN</t>
        </is>
      </c>
      <c r="K191" s="4" t="inlineStr"/>
      <c r="L191" s="4" t="inlineStr">
        <is>
          <t>Retailer PB</t>
        </is>
      </c>
      <c r="M191" s="4" t="inlineStr">
        <is>
          <t>Got future date</t>
        </is>
      </c>
      <c r="N191" s="4" t="inlineStr">
        <is>
          <t>Dealer sail tmt and rungta tmt. Rates given. 55000 landed to him .</t>
        </is>
      </c>
      <c r="O191" s="4" t="inlineStr">
        <is>
          <t>No inquiry now. Asking to connect later. Will connect if inquiry comes by.</t>
        </is>
      </c>
      <c r="P191" s="4" t="inlineStr">
        <is>
          <t>Dealer sail tmt and rungta tmt. Rates given. 55000 landed to him . | No inquiry now. Asking to connect later. Will connect if inquiry comes by.</t>
        </is>
      </c>
      <c r="Q191" s="4">
        <f>LEN(TRIM(P191))-LEN(SUBSTITUTE(P191," ",""))+1</f>
        <v/>
      </c>
      <c r="R191" s="4" t="n">
        <v>22.8108932</v>
      </c>
      <c r="S191" s="4" t="n">
        <v>86.10989619999999</v>
      </c>
      <c r="T191" s="4">
        <f>COUNTIF($G$2:G191,G191)</f>
        <v/>
      </c>
      <c r="U191" s="4">
        <f>IF(F191&lt;5,"YES","NO")</f>
        <v/>
      </c>
      <c r="V191" s="4">
        <f>IF(AND(N191&lt;&gt;"",O191&lt;&gt;""),"YES","NO")</f>
        <v/>
      </c>
      <c r="W191" s="4">
        <f>IF(HOUR(D191)&lt;12,"Morning",IF(HOUR(D191)&lt;17,"Afternoon","Evening"))</f>
        <v/>
      </c>
      <c r="X191" s="4" t="n">
        <v>7</v>
      </c>
      <c r="Y191" s="4">
        <f>IF(F191&lt;5,"&lt;5 min",IF(F191&lt;15,"5-15 min",IF(F191&lt;30,"15-30 min","30+ min")))</f>
        <v/>
      </c>
    </row>
    <row r="192">
      <c r="A192" s="3" t="n">
        <v>46021</v>
      </c>
      <c r="B192" s="4" t="inlineStr">
        <is>
          <t>Tuesday</t>
        </is>
      </c>
      <c r="C192" s="4" t="inlineStr">
        <is>
          <t>Dec 25</t>
        </is>
      </c>
      <c r="D192" s="4" t="inlineStr">
        <is>
          <t>30/12/2025, 6:18 pm</t>
        </is>
      </c>
      <c r="E192" s="4" t="inlineStr">
        <is>
          <t>30/12/2025, 6:19 pm</t>
        </is>
      </c>
      <c r="F192" s="4">
        <f>(E192-D192)*24*60</f>
        <v/>
      </c>
      <c r="G192" s="4" t="inlineStr">
        <is>
          <t>M/S SHIV STEEL TRADERS</t>
        </is>
      </c>
      <c r="H192" s="4" t="inlineStr">
        <is>
          <t>001J100000VnzGNIAZ</t>
        </is>
      </c>
      <c r="I192" s="4" t="n">
        <v>832108</v>
      </c>
      <c r="J192" s="4" t="inlineStr">
        <is>
          <t>SARAIKELA KHARSAWAN</t>
        </is>
      </c>
      <c r="K192" s="4" t="inlineStr"/>
      <c r="L192" s="4" t="inlineStr">
        <is>
          <t>Retailer PB</t>
        </is>
      </c>
      <c r="M192" s="4" t="inlineStr">
        <is>
          <t>Got future date</t>
        </is>
      </c>
      <c r="N192" s="4" t="inlineStr">
        <is>
          <t>Dealer of sail tmt and rungta tmt. Rates given 58000 landed to dealer.</t>
        </is>
      </c>
      <c r="O192" s="4" t="inlineStr">
        <is>
          <t>Will connect us. Selling Sail tmt @ 61 landed to custumer . Will connect us.</t>
        </is>
      </c>
      <c r="P192" s="4" t="inlineStr">
        <is>
          <t>Dealer of sail tmt and rungta tmt. Rates given 58000 landed to dealer. | Will connect us. Selling Sail tmt @ 61 landed to custumer . Will connect us.</t>
        </is>
      </c>
      <c r="Q192" s="4">
        <f>LEN(TRIM(P192))-LEN(SUBSTITUTE(P192," ",""))+1</f>
        <v/>
      </c>
      <c r="R192" s="4" t="n">
        <v>22.8108311</v>
      </c>
      <c r="S192" s="4" t="n">
        <v>86.10999339999999</v>
      </c>
      <c r="T192" s="4">
        <f>COUNTIF($G$2:G192,G192)</f>
        <v/>
      </c>
      <c r="U192" s="4">
        <f>IF(F192&lt;5,"YES","NO")</f>
        <v/>
      </c>
      <c r="V192" s="4">
        <f>IF(AND(N192&lt;&gt;"",O192&lt;&gt;""),"YES","NO")</f>
        <v/>
      </c>
      <c r="W192" s="4">
        <f>IF(HOUR(D192)&lt;12,"Morning",IF(HOUR(D192)&lt;17,"Afternoon","Evening"))</f>
        <v/>
      </c>
      <c r="X192" s="4" t="n">
        <v>7</v>
      </c>
      <c r="Y192" s="4">
        <f>IF(F192&lt;5,"&lt;5 min",IF(F192&lt;15,"5-15 min",IF(F192&lt;30,"15-30 min","30+ min")))</f>
        <v/>
      </c>
    </row>
    <row r="193">
      <c r="A193" s="3" t="n">
        <v>46037</v>
      </c>
      <c r="B193" s="4" t="inlineStr">
        <is>
          <t>Thursday</t>
        </is>
      </c>
      <c r="C193" s="4" t="inlineStr">
        <is>
          <t>Jan 26</t>
        </is>
      </c>
      <c r="D193" s="4" t="inlineStr">
        <is>
          <t>15/01/2026, 6:11 pm</t>
        </is>
      </c>
      <c r="E193" s="4" t="inlineStr">
        <is>
          <t>15/01/2026, 6:13 pm</t>
        </is>
      </c>
      <c r="F193" s="4">
        <f>(E193-D193)*24*60</f>
        <v/>
      </c>
      <c r="G193" s="4" t="inlineStr">
        <is>
          <t>M/S SHIV STEEL TRADERS</t>
        </is>
      </c>
      <c r="H193" s="4" t="inlineStr">
        <is>
          <t>001J100000VnzGNIAZ</t>
        </is>
      </c>
      <c r="I193" s="4" t="n">
        <v>832108</v>
      </c>
      <c r="J193" s="4" t="inlineStr">
        <is>
          <t>SARAIKELA KHARSAWAN</t>
        </is>
      </c>
      <c r="K193" s="4" t="inlineStr"/>
      <c r="L193" s="4" t="inlineStr">
        <is>
          <t>Retailer PB</t>
        </is>
      </c>
      <c r="M193" s="4" t="inlineStr">
        <is>
          <t>Got future date</t>
        </is>
      </c>
      <c r="N193" s="4" t="inlineStr">
        <is>
          <t>Dealer of sail tmt and RUNGTA TMT. Rates given 61500 landed.</t>
        </is>
      </c>
      <c r="O193" s="4" t="inlineStr">
        <is>
          <t>No inquiry now. Asking to connect after ti's week. Need time.</t>
        </is>
      </c>
      <c r="P193" s="4" t="inlineStr">
        <is>
          <t>Dealer of sail tmt and RUNGTA TMT. Rates given 61500 landed. | No inquiry now. Asking to connect after ti's week. Need time.</t>
        </is>
      </c>
      <c r="Q193" s="4">
        <f>LEN(TRIM(P193))-LEN(SUBSTITUTE(P193," ",""))+1</f>
        <v/>
      </c>
      <c r="R193" s="4" t="n">
        <v>22.811098</v>
      </c>
      <c r="S193" s="4" t="n">
        <v>86.1096864</v>
      </c>
      <c r="T193" s="4">
        <f>COUNTIF($G$2:G193,G193)</f>
        <v/>
      </c>
      <c r="U193" s="4">
        <f>IF(F193&lt;5,"YES","NO")</f>
        <v/>
      </c>
      <c r="V193" s="4">
        <f>IF(AND(N193&lt;&gt;"",O193&lt;&gt;""),"YES","NO")</f>
        <v/>
      </c>
      <c r="W193" s="4">
        <f>IF(HOUR(D193)&lt;12,"Morning",IF(HOUR(D193)&lt;17,"Afternoon","Evening"))</f>
        <v/>
      </c>
      <c r="X193" s="4" t="n">
        <v>6</v>
      </c>
      <c r="Y193" s="4">
        <f>IF(F193&lt;5,"&lt;5 min",IF(F193&lt;15,"5-15 min",IF(F193&lt;30,"15-30 min","30+ min")))</f>
        <v/>
      </c>
    </row>
    <row r="194">
      <c r="A194" s="3" t="n">
        <v>45994</v>
      </c>
      <c r="B194" s="4" t="inlineStr">
        <is>
          <t>Wednesday</t>
        </is>
      </c>
      <c r="C194" s="4" t="inlineStr">
        <is>
          <t>Dec 25</t>
        </is>
      </c>
      <c r="D194" s="4" t="inlineStr">
        <is>
          <t>03/12/2025, 4:39 pm</t>
        </is>
      </c>
      <c r="E194" s="4" t="inlineStr">
        <is>
          <t>03/12/2025, 4:41 pm</t>
        </is>
      </c>
      <c r="F194" s="4">
        <f>(E194-D194)*24*60</f>
        <v/>
      </c>
      <c r="G194" s="4" t="inlineStr">
        <is>
          <t>M/S SRI RAM STEEL</t>
        </is>
      </c>
      <c r="H194" s="4" t="inlineStr">
        <is>
          <t>001J100000Vo8uNIAR</t>
        </is>
      </c>
      <c r="I194" s="4" t="n">
        <v>832108</v>
      </c>
      <c r="J194" s="4" t="inlineStr">
        <is>
          <t>SARAIKELA KHARSAWAN</t>
        </is>
      </c>
      <c r="K194" s="4" t="inlineStr"/>
      <c r="L194" s="4" t="inlineStr">
        <is>
          <t>Retailer PB</t>
        </is>
      </c>
      <c r="M194" s="4" t="inlineStr">
        <is>
          <t>Got future date</t>
        </is>
      </c>
      <c r="N194" s="4" t="inlineStr">
        <is>
          <t>Dealer of Tata tiscon and rungta tmt . Rates given 55000 landed to the dealer . Asking to connect later. Need time.</t>
        </is>
      </c>
      <c r="O194" s="4" t="inlineStr">
        <is>
          <t>Rates are workable selling tiscon @ 72 in retail . Will connect us.</t>
        </is>
      </c>
      <c r="P194" s="4" t="inlineStr">
        <is>
          <t>Dealer of Tata tiscon and rungta tmt . Rates given 55000 landed to the dealer . Asking to connect later. Need time. | Rates are workable selling tiscon @ 72 in retail . Will connect us.</t>
        </is>
      </c>
      <c r="Q194" s="4">
        <f>LEN(TRIM(P194))-LEN(SUBSTITUTE(P194," ",""))+1</f>
        <v/>
      </c>
      <c r="R194" s="4" t="n">
        <v>22.8193331</v>
      </c>
      <c r="S194" s="4" t="n">
        <v>86.0958066</v>
      </c>
      <c r="T194" s="4">
        <f>COUNTIF($G$2:G194,G194)</f>
        <v/>
      </c>
      <c r="U194" s="4">
        <f>IF(F194&lt;5,"YES","NO")</f>
        <v/>
      </c>
      <c r="V194" s="4">
        <f>IF(AND(N194&lt;&gt;"",O194&lt;&gt;""),"YES","NO")</f>
        <v/>
      </c>
      <c r="W194" s="4">
        <f>IF(HOUR(D194)&lt;12,"Morning",IF(HOUR(D194)&lt;17,"Afternoon","Evening"))</f>
        <v/>
      </c>
      <c r="X194" s="4" t="n">
        <v>6</v>
      </c>
      <c r="Y194" s="4">
        <f>IF(F194&lt;5,"&lt;5 min",IF(F194&lt;15,"5-15 min",IF(F194&lt;30,"15-30 min","30+ min")))</f>
        <v/>
      </c>
    </row>
    <row r="195">
      <c r="A195" s="3" t="n">
        <v>46021</v>
      </c>
      <c r="B195" s="4" t="inlineStr">
        <is>
          <t>Tuesday</t>
        </is>
      </c>
      <c r="C195" s="4" t="inlineStr">
        <is>
          <t>Dec 25</t>
        </is>
      </c>
      <c r="D195" s="4" t="inlineStr">
        <is>
          <t>30/12/2025, 5:43 pm</t>
        </is>
      </c>
      <c r="E195" s="4" t="inlineStr">
        <is>
          <t>30/12/2025, 5:45 pm</t>
        </is>
      </c>
      <c r="F195" s="4">
        <f>(E195-D195)*24*60</f>
        <v/>
      </c>
      <c r="G195" s="4" t="inlineStr">
        <is>
          <t>M/S SRI RAM STEEL</t>
        </is>
      </c>
      <c r="H195" s="4" t="inlineStr">
        <is>
          <t>001J100000Vo8uNIAR</t>
        </is>
      </c>
      <c r="I195" s="4" t="n">
        <v>832108</v>
      </c>
      <c r="J195" s="4" t="inlineStr">
        <is>
          <t>SARAIKELA KHARSAWAN</t>
        </is>
      </c>
      <c r="K195" s="4" t="inlineStr"/>
      <c r="L195" s="4" t="inlineStr">
        <is>
          <t>Retailer PB</t>
        </is>
      </c>
      <c r="M195" s="4" t="inlineStr">
        <is>
          <t>Got future date</t>
        </is>
      </c>
      <c r="N195" s="4" t="inlineStr">
        <is>
          <t>Dealer of Tata tiscon and mongia tmt. Rates 58000 landed to customer.</t>
        </is>
      </c>
      <c r="O195" s="4" t="inlineStr">
        <is>
          <t>Will connect us on inquiry. Will let us know. Asking to connect next week .</t>
        </is>
      </c>
      <c r="P195" s="4" t="inlineStr">
        <is>
          <t>Dealer of Tata tiscon and mongia tmt. Rates 58000 landed to customer. | Will connect us on inquiry. Will let us know. Asking to connect next week .</t>
        </is>
      </c>
      <c r="Q195" s="4">
        <f>LEN(TRIM(P195))-LEN(SUBSTITUTE(P195," ",""))+1</f>
        <v/>
      </c>
      <c r="R195" s="4" t="n">
        <v>22.8196019</v>
      </c>
      <c r="S195" s="4" t="n">
        <v>86.0956025</v>
      </c>
      <c r="T195" s="4">
        <f>COUNTIF($G$2:G195,G195)</f>
        <v/>
      </c>
      <c r="U195" s="4">
        <f>IF(F195&lt;5,"YES","NO")</f>
        <v/>
      </c>
      <c r="V195" s="4">
        <f>IF(AND(N195&lt;&gt;"",O195&lt;&gt;""),"YES","NO")</f>
        <v/>
      </c>
      <c r="W195" s="4">
        <f>IF(HOUR(D195)&lt;12,"Morning",IF(HOUR(D195)&lt;17,"Afternoon","Evening"))</f>
        <v/>
      </c>
      <c r="X195" s="4" t="n">
        <v>7</v>
      </c>
      <c r="Y195" s="4">
        <f>IF(F195&lt;5,"&lt;5 min",IF(F195&lt;15,"5-15 min",IF(F195&lt;30,"15-30 min","30+ min")))</f>
        <v/>
      </c>
    </row>
    <row r="196">
      <c r="A196" s="3" t="n">
        <v>46051</v>
      </c>
      <c r="B196" s="4" t="inlineStr">
        <is>
          <t>Thursday</t>
        </is>
      </c>
      <c r="C196" s="4" t="inlineStr">
        <is>
          <t>Jan 26</t>
        </is>
      </c>
      <c r="D196" s="4" t="inlineStr">
        <is>
          <t>29/01/2026, 1:13 pm</t>
        </is>
      </c>
      <c r="E196" s="4" t="inlineStr">
        <is>
          <t>29/01/2026, 1:17 pm</t>
        </is>
      </c>
      <c r="F196" s="4">
        <f>(E196-D196)*24*60</f>
        <v/>
      </c>
      <c r="G196" s="4" t="inlineStr">
        <is>
          <t>M/S SRI RAM STEEL</t>
        </is>
      </c>
      <c r="H196" s="4" t="inlineStr">
        <is>
          <t>001J100000Vo8uNIAR</t>
        </is>
      </c>
      <c r="I196" s="4" t="n">
        <v>832108</v>
      </c>
      <c r="J196" s="4" t="inlineStr">
        <is>
          <t>SARAIKELA KHARSAWAN</t>
        </is>
      </c>
      <c r="K196" s="4" t="inlineStr"/>
      <c r="L196" s="4" t="inlineStr">
        <is>
          <t>Retailer PB</t>
        </is>
      </c>
      <c r="M196" s="4" t="inlineStr">
        <is>
          <t>Opportunity generated</t>
        </is>
      </c>
      <c r="N196" s="4" t="inlineStr">
        <is>
          <t>Tata tiscon and RUNGTA TMT dealer. Rates 64000 landed to the dealer. Will connect us on inquiry received.</t>
        </is>
      </c>
      <c r="O196" s="4" t="inlineStr">
        <is>
          <t>Will connect us on inquiry received from end CUSTUMER. Will let us know.</t>
        </is>
      </c>
      <c r="P196" s="4" t="inlineStr">
        <is>
          <t>Tata tiscon and RUNGTA TMT dealer. Rates 64000 landed to the dealer. Will connect us on inquiry received. | Will connect us on inquiry received from end CUSTUMER. Will let us know.</t>
        </is>
      </c>
      <c r="Q196" s="4">
        <f>LEN(TRIM(P196))-LEN(SUBSTITUTE(P196," ",""))+1</f>
        <v/>
      </c>
      <c r="R196" s="4" t="n">
        <v>22.8193574</v>
      </c>
      <c r="S196" s="4" t="n">
        <v>86.0954255</v>
      </c>
      <c r="T196" s="4">
        <f>COUNTIF($G$2:G196,G196)</f>
        <v/>
      </c>
      <c r="U196" s="4">
        <f>IF(F196&lt;5,"YES","NO")</f>
        <v/>
      </c>
      <c r="V196" s="4">
        <f>IF(AND(N196&lt;&gt;"",O196&lt;&gt;""),"YES","NO")</f>
        <v/>
      </c>
      <c r="W196" s="4">
        <f>IF(HOUR(D196)&lt;12,"Morning",IF(HOUR(D196)&lt;17,"Afternoon","Evening"))</f>
        <v/>
      </c>
      <c r="X196" s="4" t="n">
        <v>6</v>
      </c>
      <c r="Y196" s="4">
        <f>IF(F196&lt;5,"&lt;5 min",IF(F196&lt;15,"5-15 min",IF(F196&lt;30,"15-30 min","30+ min")))</f>
        <v/>
      </c>
    </row>
    <row r="197">
      <c r="A197" s="3" t="n">
        <v>45985</v>
      </c>
      <c r="B197" s="4" t="inlineStr">
        <is>
          <t>Monday</t>
        </is>
      </c>
      <c r="C197" s="4" t="inlineStr">
        <is>
          <t>Nov 25</t>
        </is>
      </c>
      <c r="D197" s="4" t="inlineStr">
        <is>
          <t>24/11/2025, 5:45 pm</t>
        </is>
      </c>
      <c r="E197" s="4" t="inlineStr">
        <is>
          <t>24/11/2025, 5:46 pm</t>
        </is>
      </c>
      <c r="F197" s="4">
        <f>(E197-D197)*24*60</f>
        <v/>
      </c>
      <c r="G197" s="4" t="inlineStr">
        <is>
          <t>M/S SRI RAM TRADERS</t>
        </is>
      </c>
      <c r="H197" s="4" t="inlineStr">
        <is>
          <t>001fw000001fRwbAAE</t>
        </is>
      </c>
      <c r="I197" s="4" t="n">
        <v>831019</v>
      </c>
      <c r="J197" s="4" t="inlineStr">
        <is>
          <t>EAST SINGHBUM</t>
        </is>
      </c>
      <c r="K197" s="4" t="inlineStr"/>
      <c r="L197" s="4" t="inlineStr">
        <is>
          <t>Retailer PB</t>
        </is>
      </c>
      <c r="M197" s="4" t="inlineStr">
        <is>
          <t>Got future date</t>
        </is>
      </c>
      <c r="N197" s="4" t="inlineStr">
        <is>
          <t>Dealer of jsw one tiscon to rungta tmt. Rates given 54000 landed . Inquiry revised 0f 10 mt.</t>
        </is>
      </c>
      <c r="O197" s="4" t="inlineStr">
        <is>
          <t>Rates are given to end customer. Will finalize it by eod end .</t>
        </is>
      </c>
      <c r="P197" s="4" t="inlineStr">
        <is>
          <t>Dealer of jsw one tiscon to rungta tmt. Rates given 54000 landed . Inquiry revised 0f 10 mt. | Rates are given to end customer. Will finalize it by eod end .</t>
        </is>
      </c>
      <c r="Q197" s="4">
        <f>LEN(TRIM(P197))-LEN(SUBSTITUTE(P197," ",""))+1</f>
        <v/>
      </c>
      <c r="R197" s="4" t="n">
        <v>22.7875981</v>
      </c>
      <c r="S197" s="4" t="n">
        <v>86.25032419999999</v>
      </c>
      <c r="T197" s="4">
        <f>COUNTIF($G$2:G197,G197)</f>
        <v/>
      </c>
      <c r="U197" s="4">
        <f>IF(F197&lt;5,"YES","NO")</f>
        <v/>
      </c>
      <c r="V197" s="4">
        <f>IF(AND(N197&lt;&gt;"",O197&lt;&gt;""),"YES","NO")</f>
        <v/>
      </c>
      <c r="W197" s="4">
        <f>IF(HOUR(D197)&lt;12,"Morning",IF(HOUR(D197)&lt;17,"Afternoon","Evening"))</f>
        <v/>
      </c>
      <c r="X197" s="4" t="n">
        <v>7</v>
      </c>
      <c r="Y197" s="4">
        <f>IF(F197&lt;5,"&lt;5 min",IF(F197&lt;15,"5-15 min",IF(F197&lt;30,"15-30 min","30+ min")))</f>
        <v/>
      </c>
    </row>
    <row r="198">
      <c r="A198" s="3" t="n">
        <v>46042</v>
      </c>
      <c r="B198" s="4" t="inlineStr">
        <is>
          <t>Tuesday</t>
        </is>
      </c>
      <c r="C198" s="4" t="inlineStr">
        <is>
          <t>Jan 26</t>
        </is>
      </c>
      <c r="D198" s="4" t="inlineStr">
        <is>
          <t>20/01/2026, 4:06 pm</t>
        </is>
      </c>
      <c r="E198" s="4" t="inlineStr">
        <is>
          <t>20/01/2026, 4:07 pm</t>
        </is>
      </c>
      <c r="F198" s="4">
        <f>(E198-D198)*24*60</f>
        <v/>
      </c>
      <c r="G198" s="4" t="inlineStr">
        <is>
          <t>M/S SRI RAM TRADERS</t>
        </is>
      </c>
      <c r="H198" s="4" t="inlineStr">
        <is>
          <t>001fw000001fRwbAAE</t>
        </is>
      </c>
      <c r="I198" s="4" t="n">
        <v>831019</v>
      </c>
      <c r="J198" s="4" t="inlineStr">
        <is>
          <t>EAST SINGHBUM</t>
        </is>
      </c>
      <c r="K198" s="4" t="inlineStr"/>
      <c r="L198" s="4" t="inlineStr">
        <is>
          <t>Retailer PB</t>
        </is>
      </c>
      <c r="M198" s="4" t="inlineStr">
        <is>
          <t>Got future date</t>
        </is>
      </c>
      <c r="N198" s="4" t="inlineStr">
        <is>
          <t>Dealer of Tata tiscon, RUNGTA, kamdhenu and jsw one. Rates given 62500 landed to CUSTUMER.</t>
        </is>
      </c>
      <c r="O198" s="4" t="inlineStr">
        <is>
          <t>Owner not available. Has material in his stock. Curetly purchase rungta. Will coonect us.</t>
        </is>
      </c>
      <c r="P198" s="4" t="inlineStr">
        <is>
          <t>Dealer of Tata tiscon, RUNGTA, kamdhenu and jsw one. Rates given 62500 landed to CUSTUMER. | Owner not available. Has material in his stock. Curetly purchase rungta. Will coonect us.</t>
        </is>
      </c>
      <c r="Q198" s="4">
        <f>LEN(TRIM(P198))-LEN(SUBSTITUTE(P198," ",""))+1</f>
        <v/>
      </c>
      <c r="R198" s="4" t="n">
        <v>22.7873736</v>
      </c>
      <c r="S198" s="4" t="n">
        <v>86.2506717</v>
      </c>
      <c r="T198" s="4">
        <f>COUNTIF($G$2:G198,G198)</f>
        <v/>
      </c>
      <c r="U198" s="4">
        <f>IF(F198&lt;5,"YES","NO")</f>
        <v/>
      </c>
      <c r="V198" s="4">
        <f>IF(AND(N198&lt;&gt;"",O198&lt;&gt;""),"YES","NO")</f>
        <v/>
      </c>
      <c r="W198" s="4">
        <f>IF(HOUR(D198)&lt;12,"Morning",IF(HOUR(D198)&lt;17,"Afternoon","Evening"))</f>
        <v/>
      </c>
      <c r="X198" s="4" t="n">
        <v>6</v>
      </c>
      <c r="Y198" s="4">
        <f>IF(F198&lt;5,"&lt;5 min",IF(F198&lt;15,"5-15 min",IF(F198&lt;30,"15-30 min","30+ min")))</f>
        <v/>
      </c>
    </row>
    <row r="199">
      <c r="A199" s="3" t="n">
        <v>45965</v>
      </c>
      <c r="B199" s="4" t="inlineStr">
        <is>
          <t>Tuesday</t>
        </is>
      </c>
      <c r="C199" s="4" t="inlineStr">
        <is>
          <t>Nov 25</t>
        </is>
      </c>
      <c r="D199" s="4" t="inlineStr">
        <is>
          <t>04/11/2025, 4:58 pm</t>
        </is>
      </c>
      <c r="E199" s="4" t="inlineStr">
        <is>
          <t>04/11/2025, 5:00 pm</t>
        </is>
      </c>
      <c r="F199" s="4">
        <f>(E199-D199)*24*60</f>
        <v/>
      </c>
      <c r="G199" s="4" t="inlineStr">
        <is>
          <t>M/S. BIMAL STEEL TRADERS</t>
        </is>
      </c>
      <c r="H199" s="4" t="inlineStr">
        <is>
          <t>001J100000VnseyIAB</t>
        </is>
      </c>
      <c r="I199" s="4" t="n">
        <v>831003</v>
      </c>
      <c r="J199" s="4" t="inlineStr">
        <is>
          <t>EAST SINGHBUM</t>
        </is>
      </c>
      <c r="K199" s="4" t="inlineStr"/>
      <c r="L199" s="4" t="inlineStr">
        <is>
          <t>Retailer PB</t>
        </is>
      </c>
      <c r="M199" s="4" t="inlineStr">
        <is>
          <t>Got future date</t>
        </is>
      </c>
      <c r="N199" s="4" t="inlineStr">
        <is>
          <t>Dealer of Tata steel rungta tmt and panther . Rates given 47000 basic to dealer. Will give inquiry soon</t>
        </is>
      </c>
      <c r="O199" s="4" t="inlineStr">
        <is>
          <t>Will share inquiry soon . Need time within week</t>
        </is>
      </c>
      <c r="P199" s="4" t="inlineStr">
        <is>
          <t>Dealer of Tata steel rungta tmt and panther . Rates given 47000 basic to dealer. Will give inquiry soon | Will share inquiry soon . Need time within week</t>
        </is>
      </c>
      <c r="Q199" s="4">
        <f>LEN(TRIM(P199))-LEN(SUBSTITUTE(P199," ",""))+1</f>
        <v/>
      </c>
      <c r="R199" s="4" t="n">
        <v>22.7944939</v>
      </c>
      <c r="S199" s="4" t="n">
        <v>86.22339270000001</v>
      </c>
      <c r="T199" s="4">
        <f>COUNTIF($G$2:G199,G199)</f>
        <v/>
      </c>
      <c r="U199" s="4">
        <f>IF(F199&lt;5,"YES","NO")</f>
        <v/>
      </c>
      <c r="V199" s="4">
        <f>IF(AND(N199&lt;&gt;"",O199&lt;&gt;""),"YES","NO")</f>
        <v/>
      </c>
      <c r="W199" s="4">
        <f>IF(HOUR(D199)&lt;12,"Morning",IF(HOUR(D199)&lt;17,"Afternoon","Evening"))</f>
        <v/>
      </c>
      <c r="X199" s="4" t="n">
        <v>7</v>
      </c>
      <c r="Y199" s="4">
        <f>IF(F199&lt;5,"&lt;5 min",IF(F199&lt;15,"5-15 min",IF(F199&lt;30,"15-30 min","30+ min")))</f>
        <v/>
      </c>
    </row>
    <row r="200">
      <c r="A200" s="3" t="n">
        <v>45974</v>
      </c>
      <c r="B200" s="4" t="inlineStr">
        <is>
          <t>Thursday</t>
        </is>
      </c>
      <c r="C200" s="4" t="inlineStr">
        <is>
          <t>Nov 25</t>
        </is>
      </c>
      <c r="D200" s="4" t="inlineStr">
        <is>
          <t>13/11/2025, 5:40 pm</t>
        </is>
      </c>
      <c r="E200" s="4" t="inlineStr">
        <is>
          <t>13/11/2025, 5:41 pm</t>
        </is>
      </c>
      <c r="F200" s="4">
        <f>(E200-D200)*24*60</f>
        <v/>
      </c>
      <c r="G200" s="4" t="inlineStr">
        <is>
          <t>M/S. BIMAL STEEL TRADERS</t>
        </is>
      </c>
      <c r="H200" s="4" t="inlineStr">
        <is>
          <t>001J100000VnseyIAB</t>
        </is>
      </c>
      <c r="I200" s="4" t="n">
        <v>831003</v>
      </c>
      <c r="J200" s="4" t="inlineStr">
        <is>
          <t>EAST SINGHBUM</t>
        </is>
      </c>
      <c r="K200" s="4" t="inlineStr"/>
      <c r="L200" s="4" t="inlineStr">
        <is>
          <t>Retailer PB</t>
        </is>
      </c>
      <c r="M200" s="4" t="inlineStr">
        <is>
          <t>Got future date</t>
        </is>
      </c>
      <c r="N200" s="4" t="inlineStr">
        <is>
          <t>Dealer of panther and Tata steel . Rates given 57000 landed to the dealer. .</t>
        </is>
      </c>
      <c r="O200" s="4" t="inlineStr">
        <is>
          <t>Will connect us later with an inquiry need time .</t>
        </is>
      </c>
      <c r="P200" s="4" t="inlineStr">
        <is>
          <t>Dealer of panther and Tata steel . Rates given 57000 landed to the dealer. . | Will connect us later with an inquiry need time .</t>
        </is>
      </c>
      <c r="Q200" s="4">
        <f>LEN(TRIM(P200))-LEN(SUBSTITUTE(P200," ",""))+1</f>
        <v/>
      </c>
      <c r="R200" s="4" t="n">
        <v>22.7941822</v>
      </c>
      <c r="S200" s="4" t="n">
        <v>86.22346709999999</v>
      </c>
      <c r="T200" s="4">
        <f>COUNTIF($G$2:G200,G200)</f>
        <v/>
      </c>
      <c r="U200" s="4">
        <f>IF(F200&lt;5,"YES","NO")</f>
        <v/>
      </c>
      <c r="V200" s="4">
        <f>IF(AND(N200&lt;&gt;"",O200&lt;&gt;""),"YES","NO")</f>
        <v/>
      </c>
      <c r="W200" s="4">
        <f>IF(HOUR(D200)&lt;12,"Morning",IF(HOUR(D200)&lt;17,"Afternoon","Evening"))</f>
        <v/>
      </c>
      <c r="X200" s="4" t="n">
        <v>7</v>
      </c>
      <c r="Y200" s="4">
        <f>IF(F200&lt;5,"&lt;5 min",IF(F200&lt;15,"5-15 min",IF(F200&lt;30,"15-30 min","30+ min")))</f>
        <v/>
      </c>
    </row>
    <row r="201">
      <c r="A201" s="3" t="n">
        <v>45985</v>
      </c>
      <c r="B201" s="4" t="inlineStr">
        <is>
          <t>Monday</t>
        </is>
      </c>
      <c r="C201" s="4" t="inlineStr">
        <is>
          <t>Nov 25</t>
        </is>
      </c>
      <c r="D201" s="4" t="inlineStr">
        <is>
          <t>24/11/2025, 5:02 pm</t>
        </is>
      </c>
      <c r="E201" s="4" t="inlineStr">
        <is>
          <t>24/11/2025, 5:03 pm</t>
        </is>
      </c>
      <c r="F201" s="4">
        <f>(E201-D201)*24*60</f>
        <v/>
      </c>
      <c r="G201" s="4" t="inlineStr">
        <is>
          <t>M/S. BIMAL STEEL TRADERS</t>
        </is>
      </c>
      <c r="H201" s="4" t="inlineStr">
        <is>
          <t>001J100000VnseyIAB</t>
        </is>
      </c>
      <c r="I201" s="4" t="n">
        <v>831003</v>
      </c>
      <c r="J201" s="4" t="inlineStr">
        <is>
          <t>EAST SINGHBUM</t>
        </is>
      </c>
      <c r="K201" s="4" t="inlineStr"/>
      <c r="L201" s="4" t="inlineStr">
        <is>
          <t>Retailer PB</t>
        </is>
      </c>
      <c r="M201" s="4" t="inlineStr">
        <is>
          <t>Got future date</t>
        </is>
      </c>
      <c r="N201" s="4" t="inlineStr">
        <is>
          <t>Dealer of Tata tiscon panther and rungta tmt . Rates given 53500 landed to the dealer. No inquiry</t>
        </is>
      </c>
      <c r="O201" s="4" t="inlineStr">
        <is>
          <t>Will connect as soon inquiry comeby from end user . Selling panther at 56 landed</t>
        </is>
      </c>
      <c r="P201" s="4" t="inlineStr">
        <is>
          <t>Dealer of Tata tiscon panther and rungta tmt . Rates given 53500 landed to the dealer. No inquiry | Will connect as soon inquiry comeby from end user . Selling panther at 56 landed</t>
        </is>
      </c>
      <c r="Q201" s="4">
        <f>LEN(TRIM(P201))-LEN(SUBSTITUTE(P201," ",""))+1</f>
        <v/>
      </c>
      <c r="R201" s="4" t="n">
        <v>22.7942703</v>
      </c>
      <c r="S201" s="4" t="n">
        <v>86.22359590000001</v>
      </c>
      <c r="T201" s="4">
        <f>COUNTIF($G$2:G201,G201)</f>
        <v/>
      </c>
      <c r="U201" s="4">
        <f>IF(F201&lt;5,"YES","NO")</f>
        <v/>
      </c>
      <c r="V201" s="4">
        <f>IF(AND(N201&lt;&gt;"",O201&lt;&gt;""),"YES","NO")</f>
        <v/>
      </c>
      <c r="W201" s="4">
        <f>IF(HOUR(D201)&lt;12,"Morning",IF(HOUR(D201)&lt;17,"Afternoon","Evening"))</f>
        <v/>
      </c>
      <c r="X201" s="4" t="n">
        <v>7</v>
      </c>
      <c r="Y201" s="4">
        <f>IF(F201&lt;5,"&lt;5 min",IF(F201&lt;15,"5-15 min",IF(F201&lt;30,"15-30 min","30+ min")))</f>
        <v/>
      </c>
    </row>
    <row r="202">
      <c r="A202" s="3" t="n">
        <v>45996</v>
      </c>
      <c r="B202" s="4" t="inlineStr">
        <is>
          <t>Friday</t>
        </is>
      </c>
      <c r="C202" s="4" t="inlineStr">
        <is>
          <t>Dec 25</t>
        </is>
      </c>
      <c r="D202" s="4" t="inlineStr">
        <is>
          <t>05/12/2025, 1:22 pm</t>
        </is>
      </c>
      <c r="E202" s="4" t="inlineStr">
        <is>
          <t>05/12/2025, 1:25 pm</t>
        </is>
      </c>
      <c r="F202" s="4">
        <f>(E202-D202)*24*60</f>
        <v/>
      </c>
      <c r="G202" s="4" t="inlineStr">
        <is>
          <t>M/S. BIMAL STEEL TRADERS</t>
        </is>
      </c>
      <c r="H202" s="4" t="inlineStr">
        <is>
          <t>001J100000VnseyIAB</t>
        </is>
      </c>
      <c r="I202" s="4" t="n">
        <v>831003</v>
      </c>
      <c r="J202" s="4" t="inlineStr">
        <is>
          <t>EAST SINGHBUM</t>
        </is>
      </c>
      <c r="K202" s="4" t="inlineStr"/>
      <c r="L202" s="4" t="inlineStr">
        <is>
          <t>Retailer PB</t>
        </is>
      </c>
      <c r="M202" s="4" t="inlineStr">
        <is>
          <t>Got future date</t>
        </is>
      </c>
      <c r="N202" s="4" t="inlineStr">
        <is>
          <t>Dealer of Tata and rungta tmt kamdhenu tmt. Rates given 55000 landed to the dealer. Need time.</t>
        </is>
      </c>
      <c r="O202" s="4" t="inlineStr">
        <is>
          <t>Selling Tata tisco @73000 landed . Will connect on inquiry .</t>
        </is>
      </c>
      <c r="P202" s="4" t="inlineStr">
        <is>
          <t>Dealer of Tata and rungta tmt kamdhenu tmt. Rates given 55000 landed to the dealer. Need time. | Selling Tata tisco @73000 landed . Will connect on inquiry .</t>
        </is>
      </c>
      <c r="Q202" s="4">
        <f>LEN(TRIM(P202))-LEN(SUBSTITUTE(P202," ",""))+1</f>
        <v/>
      </c>
      <c r="R202" s="4" t="n">
        <v>22.7942769</v>
      </c>
      <c r="S202" s="4" t="n">
        <v>86.2234746</v>
      </c>
      <c r="T202" s="4">
        <f>COUNTIF($G$2:G202,G202)</f>
        <v/>
      </c>
      <c r="U202" s="4">
        <f>IF(F202&lt;5,"YES","NO")</f>
        <v/>
      </c>
      <c r="V202" s="4">
        <f>IF(AND(N202&lt;&gt;"",O202&lt;&gt;""),"YES","NO")</f>
        <v/>
      </c>
      <c r="W202" s="4">
        <f>IF(HOUR(D202)&lt;12,"Morning",IF(HOUR(D202)&lt;17,"Afternoon","Evening"))</f>
        <v/>
      </c>
      <c r="X202" s="4" t="n">
        <v>6</v>
      </c>
      <c r="Y202" s="4">
        <f>IF(F202&lt;5,"&lt;5 min",IF(F202&lt;15,"5-15 min",IF(F202&lt;30,"15-30 min","30+ min")))</f>
        <v/>
      </c>
    </row>
    <row r="203">
      <c r="A203" s="3" t="n">
        <v>46006</v>
      </c>
      <c r="B203" s="4" t="inlineStr">
        <is>
          <t>Monday</t>
        </is>
      </c>
      <c r="C203" s="4" t="inlineStr">
        <is>
          <t>Dec 25</t>
        </is>
      </c>
      <c r="D203" s="4" t="inlineStr">
        <is>
          <t>15/12/2025, 7:10 pm</t>
        </is>
      </c>
      <c r="E203" s="4" t="inlineStr">
        <is>
          <t>15/12/2025, 7:12 pm</t>
        </is>
      </c>
      <c r="F203" s="4">
        <f>(E203-D203)*24*60</f>
        <v/>
      </c>
      <c r="G203" s="4" t="inlineStr">
        <is>
          <t>M/S. BIMAL STEEL TRADERS</t>
        </is>
      </c>
      <c r="H203" s="4" t="inlineStr">
        <is>
          <t>001J100000VnseyIAB</t>
        </is>
      </c>
      <c r="I203" s="4" t="n">
        <v>831003</v>
      </c>
      <c r="J203" s="4" t="inlineStr">
        <is>
          <t>EAST SINGHBUM</t>
        </is>
      </c>
      <c r="K203" s="4" t="inlineStr"/>
      <c r="L203" s="4" t="inlineStr">
        <is>
          <t>Retailer PB</t>
        </is>
      </c>
      <c r="M203" s="4" t="inlineStr">
        <is>
          <t>Got future date</t>
        </is>
      </c>
      <c r="N203" s="4" t="inlineStr">
        <is>
          <t>Dealer of Tata tiscon panther and rungta tmt. Rates given 57000 landed to the dealer till counter.</t>
        </is>
      </c>
      <c r="O203" s="4" t="inlineStr">
        <is>
          <t>Need time to share inquiry with us. Selling panther at 58500 landed to the custumer.</t>
        </is>
      </c>
      <c r="P203" s="4" t="inlineStr">
        <is>
          <t>Dealer of Tata tiscon panther and rungta tmt. Rates given 57000 landed to the dealer till counter. | Need time to share inquiry with us. Selling panther at 58500 landed to the custumer.</t>
        </is>
      </c>
      <c r="Q203" s="4">
        <f>LEN(TRIM(P203))-LEN(SUBSTITUTE(P203," ",""))+1</f>
        <v/>
      </c>
      <c r="R203" s="4" t="n">
        <v>22.7946871</v>
      </c>
      <c r="S203" s="4" t="n">
        <v>86.2236104</v>
      </c>
      <c r="T203" s="4">
        <f>COUNTIF($G$2:G203,G203)</f>
        <v/>
      </c>
      <c r="U203" s="4">
        <f>IF(F203&lt;5,"YES","NO")</f>
        <v/>
      </c>
      <c r="V203" s="4">
        <f>IF(AND(N203&lt;&gt;"",O203&lt;&gt;""),"YES","NO")</f>
        <v/>
      </c>
      <c r="W203" s="4">
        <f>IF(HOUR(D203)&lt;12,"Morning",IF(HOUR(D203)&lt;17,"Afternoon","Evening"))</f>
        <v/>
      </c>
      <c r="X203" s="4" t="n">
        <v>7</v>
      </c>
      <c r="Y203" s="4">
        <f>IF(F203&lt;5,"&lt;5 min",IF(F203&lt;15,"5-15 min",IF(F203&lt;30,"15-30 min","30+ min")))</f>
        <v/>
      </c>
    </row>
    <row r="204">
      <c r="A204" s="3" t="n">
        <v>46017</v>
      </c>
      <c r="B204" s="4" t="inlineStr">
        <is>
          <t>Friday</t>
        </is>
      </c>
      <c r="C204" s="4" t="inlineStr">
        <is>
          <t>Dec 25</t>
        </is>
      </c>
      <c r="D204" s="4" t="inlineStr">
        <is>
          <t>26/12/2025, 4:08 pm</t>
        </is>
      </c>
      <c r="E204" s="4" t="inlineStr">
        <is>
          <t>26/12/2025, 4:09 pm</t>
        </is>
      </c>
      <c r="F204" s="4">
        <f>(E204-D204)*24*60</f>
        <v/>
      </c>
      <c r="G204" s="4" t="inlineStr">
        <is>
          <t>M/S. BIMAL STEEL TRADERS</t>
        </is>
      </c>
      <c r="H204" s="4" t="inlineStr">
        <is>
          <t>001J100000VnseyIAB</t>
        </is>
      </c>
      <c r="I204" s="4" t="n">
        <v>831003</v>
      </c>
      <c r="J204" s="4" t="inlineStr">
        <is>
          <t>EAST SINGHBUM</t>
        </is>
      </c>
      <c r="K204" s="4" t="inlineStr"/>
      <c r="L204" s="4" t="inlineStr">
        <is>
          <t>Retailer PB</t>
        </is>
      </c>
      <c r="M204" s="4" t="inlineStr">
        <is>
          <t>Got future date</t>
        </is>
      </c>
      <c r="N204" s="4" t="inlineStr">
        <is>
          <t>Dealer of panther , Tata tiscon and rungta tmt. Rates given 57000 landed to the dealer. Will share inquiry need time.</t>
        </is>
      </c>
      <c r="O204" s="4" t="inlineStr">
        <is>
          <t>Will connect us when inquiry comes to him. Need time.</t>
        </is>
      </c>
      <c r="P204" s="4" t="inlineStr">
        <is>
          <t>Dealer of panther , Tata tiscon and rungta tmt. Rates given 57000 landed to the dealer. Will share inquiry need time. | Will connect us when inquiry comes to him. Need time.</t>
        </is>
      </c>
      <c r="Q204" s="4">
        <f>LEN(TRIM(P204))-LEN(SUBSTITUTE(P204," ",""))+1</f>
        <v/>
      </c>
      <c r="R204" s="4" t="n">
        <v>22.7942974</v>
      </c>
      <c r="S204" s="4" t="n">
        <v>86.22360399999999</v>
      </c>
      <c r="T204" s="4">
        <f>COUNTIF($G$2:G204,G204)</f>
        <v/>
      </c>
      <c r="U204" s="4">
        <f>IF(F204&lt;5,"YES","NO")</f>
        <v/>
      </c>
      <c r="V204" s="4">
        <f>IF(AND(N204&lt;&gt;"",O204&lt;&gt;""),"YES","NO")</f>
        <v/>
      </c>
      <c r="W204" s="4">
        <f>IF(HOUR(D204)&lt;12,"Morning",IF(HOUR(D204)&lt;17,"Afternoon","Evening"))</f>
        <v/>
      </c>
      <c r="X204" s="4" t="n">
        <v>6</v>
      </c>
      <c r="Y204" s="4">
        <f>IF(F204&lt;5,"&lt;5 min",IF(F204&lt;15,"5-15 min",IF(F204&lt;30,"15-30 min","30+ min")))</f>
        <v/>
      </c>
    </row>
    <row r="205">
      <c r="A205" s="3" t="n">
        <v>46029</v>
      </c>
      <c r="B205" s="4" t="inlineStr">
        <is>
          <t>Wednesday</t>
        </is>
      </c>
      <c r="C205" s="4" t="inlineStr">
        <is>
          <t>Jan 26</t>
        </is>
      </c>
      <c r="D205" s="4" t="inlineStr">
        <is>
          <t>07/01/2026, 4:03 pm</t>
        </is>
      </c>
      <c r="E205" s="4" t="inlineStr">
        <is>
          <t>07/01/2026, 4:04 pm</t>
        </is>
      </c>
      <c r="F205" s="4">
        <f>(E205-D205)*24*60</f>
        <v/>
      </c>
      <c r="G205" s="4" t="inlineStr">
        <is>
          <t>M/S. BIMAL STEEL TRADERS</t>
        </is>
      </c>
      <c r="H205" s="4" t="inlineStr">
        <is>
          <t>001J100000VnseyIAB</t>
        </is>
      </c>
      <c r="I205" s="4" t="n">
        <v>831003</v>
      </c>
      <c r="J205" s="4" t="inlineStr">
        <is>
          <t>EAST SINGHBUM</t>
        </is>
      </c>
      <c r="K205" s="4" t="inlineStr"/>
      <c r="L205" s="4" t="inlineStr">
        <is>
          <t>Retailer PB</t>
        </is>
      </c>
      <c r="M205" s="4" t="inlineStr">
        <is>
          <t>Got future date</t>
        </is>
      </c>
      <c r="N205" s="4" t="inlineStr">
        <is>
          <t>Dealer of panther Tata tiscon rungta. Rates given 59500 landed to the CUSTUMER.</t>
        </is>
      </c>
      <c r="O205" s="4" t="inlineStr">
        <is>
          <t>Selling Tata @ 75 to the end user. Will connect us on inquiry.</t>
        </is>
      </c>
      <c r="P205" s="4" t="inlineStr">
        <is>
          <t>Dealer of panther Tata tiscon rungta. Rates given 59500 landed to the CUSTUMER. | Selling Tata @ 75 to the end user. Will connect us on inquiry.</t>
        </is>
      </c>
      <c r="Q205" s="4">
        <f>LEN(TRIM(P205))-LEN(SUBSTITUTE(P205," ",""))+1</f>
        <v/>
      </c>
      <c r="R205" s="4" t="n">
        <v>22.7943578</v>
      </c>
      <c r="S205" s="4" t="n">
        <v>86.2235111</v>
      </c>
      <c r="T205" s="4">
        <f>COUNTIF($G$2:G205,G205)</f>
        <v/>
      </c>
      <c r="U205" s="4">
        <f>IF(F205&lt;5,"YES","NO")</f>
        <v/>
      </c>
      <c r="V205" s="4">
        <f>IF(AND(N205&lt;&gt;"",O205&lt;&gt;""),"YES","NO")</f>
        <v/>
      </c>
      <c r="W205" s="4">
        <f>IF(HOUR(D205)&lt;12,"Morning",IF(HOUR(D205)&lt;17,"Afternoon","Evening"))</f>
        <v/>
      </c>
      <c r="X205" s="4" t="n">
        <v>6</v>
      </c>
      <c r="Y205" s="4">
        <f>IF(F205&lt;5,"&lt;5 min",IF(F205&lt;15,"5-15 min",IF(F205&lt;30,"15-30 min","30+ min")))</f>
        <v/>
      </c>
    </row>
    <row r="206">
      <c r="A206" s="3" t="n">
        <v>46042</v>
      </c>
      <c r="B206" s="4" t="inlineStr">
        <is>
          <t>Tuesday</t>
        </is>
      </c>
      <c r="C206" s="4" t="inlineStr">
        <is>
          <t>Jan 26</t>
        </is>
      </c>
      <c r="D206" s="4" t="inlineStr">
        <is>
          <t>20/01/2026, 4:39 pm</t>
        </is>
      </c>
      <c r="E206" s="4" t="inlineStr">
        <is>
          <t>20/01/2026, 4:41 pm</t>
        </is>
      </c>
      <c r="F206" s="4">
        <f>(E206-D206)*24*60</f>
        <v/>
      </c>
      <c r="G206" s="4" t="inlineStr">
        <is>
          <t>M/S. BIMAL STEEL TRADERS</t>
        </is>
      </c>
      <c r="H206" s="4" t="inlineStr">
        <is>
          <t>001J100000VnseyIAB</t>
        </is>
      </c>
      <c r="I206" s="4" t="n">
        <v>831003</v>
      </c>
      <c r="J206" s="4" t="inlineStr">
        <is>
          <t>EAST SINGHBUM</t>
        </is>
      </c>
      <c r="K206" s="4" t="inlineStr"/>
      <c r="L206" s="4" t="inlineStr">
        <is>
          <t>Retailer PB</t>
        </is>
      </c>
      <c r="M206" s="4" t="inlineStr">
        <is>
          <t>Got future date</t>
        </is>
      </c>
      <c r="N206" s="4" t="inlineStr">
        <is>
          <t>Dealer of panther Tata tiscon and RUNGTA. Rates given 62500 landed. Will connect us on inquiry.</t>
        </is>
      </c>
      <c r="O206" s="4" t="inlineStr">
        <is>
          <t>Last purchase rungta @ 50000. Need time for new inquiry. Will connect us.</t>
        </is>
      </c>
      <c r="P206" s="4" t="inlineStr">
        <is>
          <t>Dealer of panther Tata tiscon and RUNGTA. Rates given 62500 landed. Will connect us on inquiry. | Last purchase rungta @ 50000. Need time for new inquiry. Will connect us.</t>
        </is>
      </c>
      <c r="Q206" s="4">
        <f>LEN(TRIM(P206))-LEN(SUBSTITUTE(P206," ",""))+1</f>
        <v/>
      </c>
      <c r="R206" s="4" t="n">
        <v>22.7942909</v>
      </c>
      <c r="S206" s="4" t="n">
        <v>86.22368160000001</v>
      </c>
      <c r="T206" s="4">
        <f>COUNTIF($G$2:G206,G206)</f>
        <v/>
      </c>
      <c r="U206" s="4">
        <f>IF(F206&lt;5,"YES","NO")</f>
        <v/>
      </c>
      <c r="V206" s="4">
        <f>IF(AND(N206&lt;&gt;"",O206&lt;&gt;""),"YES","NO")</f>
        <v/>
      </c>
      <c r="W206" s="4">
        <f>IF(HOUR(D206)&lt;12,"Morning",IF(HOUR(D206)&lt;17,"Afternoon","Evening"))</f>
        <v/>
      </c>
      <c r="X206" s="4" t="n">
        <v>6</v>
      </c>
      <c r="Y206" s="4">
        <f>IF(F206&lt;5,"&lt;5 min",IF(F206&lt;15,"5-15 min",IF(F206&lt;30,"15-30 min","30+ min")))</f>
        <v/>
      </c>
    </row>
    <row r="207">
      <c r="A207" s="3" t="n">
        <v>46052</v>
      </c>
      <c r="B207" s="4" t="inlineStr">
        <is>
          <t>Friday</t>
        </is>
      </c>
      <c r="C207" s="4" t="inlineStr">
        <is>
          <t>Jan 26</t>
        </is>
      </c>
      <c r="D207" s="4" t="inlineStr">
        <is>
          <t>30/01/2026, 12:48 pm</t>
        </is>
      </c>
      <c r="E207" s="4" t="inlineStr">
        <is>
          <t>30/01/2026, 12:50 pm</t>
        </is>
      </c>
      <c r="F207" s="4">
        <f>(E207-D207)*24*60</f>
        <v/>
      </c>
      <c r="G207" s="4" t="inlineStr">
        <is>
          <t>M/S. BIMAL STEEL TRADERS</t>
        </is>
      </c>
      <c r="H207" s="4" t="inlineStr">
        <is>
          <t>001J100000VnseyIAB</t>
        </is>
      </c>
      <c r="I207" s="4" t="n">
        <v>831003</v>
      </c>
      <c r="J207" s="4" t="inlineStr">
        <is>
          <t>EAST SINGHBUM</t>
        </is>
      </c>
      <c r="K207" s="4" t="inlineStr"/>
      <c r="L207" s="4" t="inlineStr">
        <is>
          <t>Retailer PB</t>
        </is>
      </c>
      <c r="M207" s="4" t="inlineStr">
        <is>
          <t>Got future date</t>
        </is>
      </c>
      <c r="N207" s="4" t="inlineStr">
        <is>
          <t>Dealer of panther TMT, Tata tiscon, and RUNGTA. Rates given 64500 landed to the CUSTUMER. Need time. Tiscon selling @ 78 to the CUSTUMER.</t>
        </is>
      </c>
      <c r="O207" s="4" t="inlineStr">
        <is>
          <t>Will connect us on inquiry received from IHB site. Sharing rates. Will let us know.</t>
        </is>
      </c>
      <c r="P207" s="4" t="inlineStr">
        <is>
          <t>Dealer of panther TMT, Tata tiscon, and RUNGTA. Rates given 64500 landed to the CUSTUMER. Need time. Tiscon selling @ 78 to the CUSTUMER. | Will connect us on inquiry received from IHB site. Sharing rates. Will let us know.</t>
        </is>
      </c>
      <c r="Q207" s="4">
        <f>LEN(TRIM(P207))-LEN(SUBSTITUTE(P207," ",""))+1</f>
        <v/>
      </c>
      <c r="R207" s="4" t="n">
        <v>22.7943257</v>
      </c>
      <c r="S207" s="4" t="n">
        <v>86.2236419</v>
      </c>
      <c r="T207" s="4">
        <f>COUNTIF($G$2:G207,G207)</f>
        <v/>
      </c>
      <c r="U207" s="4">
        <f>IF(F207&lt;5,"YES","NO")</f>
        <v/>
      </c>
      <c r="V207" s="4">
        <f>IF(AND(N207&lt;&gt;"",O207&lt;&gt;""),"YES","NO")</f>
        <v/>
      </c>
      <c r="W207" s="4">
        <f>IF(HOUR(D207)&lt;12,"Morning",IF(HOUR(D207)&lt;17,"Afternoon","Evening"))</f>
        <v/>
      </c>
      <c r="X207" s="4" t="n">
        <v>6</v>
      </c>
      <c r="Y207" s="4">
        <f>IF(F207&lt;5,"&lt;5 min",IF(F207&lt;15,"5-15 min",IF(F207&lt;30,"15-30 min","30+ min")))</f>
        <v/>
      </c>
    </row>
    <row r="208">
      <c r="A208" s="3" t="n">
        <v>46014</v>
      </c>
      <c r="B208" s="4" t="inlineStr">
        <is>
          <t>Tuesday</t>
        </is>
      </c>
      <c r="C208" s="4" t="inlineStr">
        <is>
          <t>Dec 25</t>
        </is>
      </c>
      <c r="D208" s="4" t="inlineStr">
        <is>
          <t>23/12/2025, 6:14 pm</t>
        </is>
      </c>
      <c r="E208" s="4" t="inlineStr">
        <is>
          <t>23/12/2025, 6:16 pm</t>
        </is>
      </c>
      <c r="F208" s="4">
        <f>(E208-D208)*24*60</f>
        <v/>
      </c>
      <c r="G208" s="4" t="inlineStr">
        <is>
          <t>M/S. R . C . SALES CORPORATION</t>
        </is>
      </c>
      <c r="H208" s="4" t="inlineStr">
        <is>
          <t>001fw000006ffOwAAI</t>
        </is>
      </c>
      <c r="I208" s="4" t="n">
        <v>831004</v>
      </c>
      <c r="J208" s="4" t="inlineStr">
        <is>
          <t>EAST SINGHBUM</t>
        </is>
      </c>
      <c r="K208" s="4" t="inlineStr"/>
      <c r="L208" s="4" t="inlineStr">
        <is>
          <t>Retailer PB</t>
        </is>
      </c>
      <c r="M208" s="4" t="inlineStr">
        <is>
          <t>Got future date</t>
        </is>
      </c>
      <c r="N208" s="4" t="inlineStr">
        <is>
          <t>Dealer of sel tiger and rungta tmt . Rates given 57000 landed to the dealer. Will connect us on demand.</t>
        </is>
      </c>
      <c r="O208" s="4" t="inlineStr">
        <is>
          <t>No inquiry now. Need time for the sharing demand to the us.</t>
        </is>
      </c>
      <c r="P208" s="4" t="inlineStr">
        <is>
          <t>Dealer of sel tiger and rungta tmt . Rates given 57000 landed to the dealer. Will connect us on demand. | No inquiry now. Need time for the sharing demand to the us.</t>
        </is>
      </c>
      <c r="Q208" s="4">
        <f>LEN(TRIM(P208))-LEN(SUBSTITUTE(P208," ",""))+1</f>
        <v/>
      </c>
      <c r="R208" s="4" t="n">
        <v>22.7696003</v>
      </c>
      <c r="S208" s="4" t="n">
        <v>86.20743160000001</v>
      </c>
      <c r="T208" s="4">
        <f>COUNTIF($G$2:G208,G208)</f>
        <v/>
      </c>
      <c r="U208" s="4">
        <f>IF(F208&lt;5,"YES","NO")</f>
        <v/>
      </c>
      <c r="V208" s="4">
        <f>IF(AND(N208&lt;&gt;"",O208&lt;&gt;""),"YES","NO")</f>
        <v/>
      </c>
      <c r="W208" s="4">
        <f>IF(HOUR(D208)&lt;12,"Morning",IF(HOUR(D208)&lt;17,"Afternoon","Evening"))</f>
        <v/>
      </c>
      <c r="X208" s="4" t="n">
        <v>7</v>
      </c>
      <c r="Y208" s="4">
        <f>IF(F208&lt;5,"&lt;5 min",IF(F208&lt;15,"5-15 min",IF(F208&lt;30,"15-30 min","30+ min")))</f>
        <v/>
      </c>
    </row>
    <row r="209">
      <c r="A209" s="3" t="n">
        <v>46044</v>
      </c>
      <c r="B209" s="4" t="inlineStr">
        <is>
          <t>Thursday</t>
        </is>
      </c>
      <c r="C209" s="4" t="inlineStr">
        <is>
          <t>Jan 26</t>
        </is>
      </c>
      <c r="D209" s="4" t="inlineStr">
        <is>
          <t>22/01/2026, 11:59 am</t>
        </is>
      </c>
      <c r="E209" s="4" t="inlineStr">
        <is>
          <t>22/01/2026, 12:01 pm</t>
        </is>
      </c>
      <c r="F209" s="4">
        <f>(E209-D209)*24*60</f>
        <v/>
      </c>
      <c r="G209" s="4" t="inlineStr">
        <is>
          <t>M/S. R . C . SALES CORPORATION</t>
        </is>
      </c>
      <c r="H209" s="4" t="inlineStr">
        <is>
          <t>001fw000006ffOwAAI</t>
        </is>
      </c>
      <c r="I209" s="4" t="n">
        <v>831004</v>
      </c>
      <c r="J209" s="4" t="inlineStr">
        <is>
          <t>EAST SINGHBUM</t>
        </is>
      </c>
      <c r="K209" s="4" t="inlineStr"/>
      <c r="L209" s="4" t="inlineStr">
        <is>
          <t>Retailer PB</t>
        </is>
      </c>
      <c r="M209" s="4" t="inlineStr">
        <is>
          <t>Got future date</t>
        </is>
      </c>
      <c r="N209" s="4" t="inlineStr">
        <is>
          <t>Dealer of RUNGTA TMT and kamdhenu TMT. Rates given 63000 landed.</t>
        </is>
      </c>
      <c r="O209" s="4" t="inlineStr">
        <is>
          <t>Will connect us on inquiry received. Need time. Last purchase @52 rungta tmt.</t>
        </is>
      </c>
      <c r="P209" s="4" t="inlineStr">
        <is>
          <t>Dealer of RUNGTA TMT and kamdhenu TMT. Rates given 63000 landed. | Will connect us on inquiry received. Need time. Last purchase @52 rungta tmt.</t>
        </is>
      </c>
      <c r="Q209" s="4">
        <f>LEN(TRIM(P209))-LEN(SUBSTITUTE(P209," ",""))+1</f>
        <v/>
      </c>
      <c r="R209" s="4" t="n">
        <v>22.770061</v>
      </c>
      <c r="S209" s="4" t="n">
        <v>86.2074652</v>
      </c>
      <c r="T209" s="4">
        <f>COUNTIF($G$2:G209,G209)</f>
        <v/>
      </c>
      <c r="U209" s="4">
        <f>IF(F209&lt;5,"YES","NO")</f>
        <v/>
      </c>
      <c r="V209" s="4">
        <f>IF(AND(N209&lt;&gt;"",O209&lt;&gt;""),"YES","NO")</f>
        <v/>
      </c>
      <c r="W209" s="4">
        <f>IF(HOUR(D209)&lt;12,"Morning",IF(HOUR(D209)&lt;17,"Afternoon","Evening"))</f>
        <v/>
      </c>
      <c r="X209" s="4" t="n">
        <v>6</v>
      </c>
      <c r="Y209" s="4">
        <f>IF(F209&lt;5,"&lt;5 min",IF(F209&lt;15,"5-15 min",IF(F209&lt;30,"15-30 min","30+ min")))</f>
        <v/>
      </c>
    </row>
    <row r="210">
      <c r="A210" s="3" t="n">
        <v>45968</v>
      </c>
      <c r="B210" s="4" t="inlineStr">
        <is>
          <t>Friday</t>
        </is>
      </c>
      <c r="C210" s="4" t="inlineStr">
        <is>
          <t>Nov 25</t>
        </is>
      </c>
      <c r="D210" s="4" t="inlineStr">
        <is>
          <t>07/11/2025, 3:27 pm</t>
        </is>
      </c>
      <c r="E210" s="4" t="inlineStr">
        <is>
          <t>07/11/2025, 3:31 pm</t>
        </is>
      </c>
      <c r="F210" s="4">
        <f>(E210-D210)*24*60</f>
        <v/>
      </c>
      <c r="G210" s="4" t="inlineStr">
        <is>
          <t>M/S. RAMA BUILDCON</t>
        </is>
      </c>
      <c r="H210" s="4" t="inlineStr">
        <is>
          <t>001fw000002kZZzAAM</t>
        </is>
      </c>
      <c r="I210" s="4" t="n">
        <v>831013</v>
      </c>
      <c r="J210" s="4" t="inlineStr">
        <is>
          <t>SARAIKELA KHARSAWAN</t>
        </is>
      </c>
      <c r="K210" s="4" t="inlineStr"/>
      <c r="L210" s="4" t="inlineStr">
        <is>
          <t>Retailer PB</t>
        </is>
      </c>
      <c r="M210" s="4" t="inlineStr">
        <is>
          <t>Got future date</t>
        </is>
      </c>
      <c r="N210" s="4" t="inlineStr">
        <is>
          <t>Dealer of shyam steel and rungta tmt . Rates given 56000 to dealer landed .</t>
        </is>
      </c>
      <c r="O210" s="4" t="inlineStr">
        <is>
          <t>Need time for inquiry .Last purchase was shyam steel @ 61000 landed.</t>
        </is>
      </c>
      <c r="P210" s="4" t="inlineStr">
        <is>
          <t>Dealer of shyam steel and rungta tmt . Rates given 56000 to dealer landed . | Need time for inquiry .Last purchase was shyam steel @ 61000 landed.</t>
        </is>
      </c>
      <c r="Q210" s="4">
        <f>LEN(TRIM(P210))-LEN(SUBSTITUTE(P210," ",""))+1</f>
        <v/>
      </c>
      <c r="R210" s="4" t="n">
        <v>22.8327874</v>
      </c>
      <c r="S210" s="4" t="n">
        <v>86.2276569</v>
      </c>
      <c r="T210" s="4">
        <f>COUNTIF($G$2:G210,G210)</f>
        <v/>
      </c>
      <c r="U210" s="4">
        <f>IF(F210&lt;5,"YES","NO")</f>
        <v/>
      </c>
      <c r="V210" s="4">
        <f>IF(AND(N210&lt;&gt;"",O210&lt;&gt;""),"YES","NO")</f>
        <v/>
      </c>
      <c r="W210" s="4">
        <f>IF(HOUR(D210)&lt;12,"Morning",IF(HOUR(D210)&lt;17,"Afternoon","Evening"))</f>
        <v/>
      </c>
      <c r="X210" s="4" t="n">
        <v>6</v>
      </c>
      <c r="Y210" s="4">
        <f>IF(F210&lt;5,"&lt;5 min",IF(F210&lt;15,"5-15 min",IF(F210&lt;30,"15-30 min","30+ min")))</f>
        <v/>
      </c>
    </row>
    <row r="211">
      <c r="A211" s="3" t="n">
        <v>45980</v>
      </c>
      <c r="B211" s="4" t="inlineStr">
        <is>
          <t>Wednesday</t>
        </is>
      </c>
      <c r="C211" s="4" t="inlineStr">
        <is>
          <t>Nov 25</t>
        </is>
      </c>
      <c r="D211" s="4" t="inlineStr">
        <is>
          <t>19/11/2025, 6:52 pm</t>
        </is>
      </c>
      <c r="E211" s="4" t="inlineStr">
        <is>
          <t>19/11/2025, 6:53 pm</t>
        </is>
      </c>
      <c r="F211" s="4">
        <f>(E211-D211)*24*60</f>
        <v/>
      </c>
      <c r="G211" s="4" t="inlineStr">
        <is>
          <t>M/S. RAMA BUILDCON</t>
        </is>
      </c>
      <c r="H211" s="4" t="inlineStr">
        <is>
          <t>001fw000002kZZzAAM</t>
        </is>
      </c>
      <c r="I211" s="4" t="n">
        <v>831013</v>
      </c>
      <c r="J211" s="4" t="inlineStr">
        <is>
          <t>SARAIKELA KHARSAWAN</t>
        </is>
      </c>
      <c r="K211" s="4" t="inlineStr"/>
      <c r="L211" s="4" t="inlineStr">
        <is>
          <t>Retailer PB</t>
        </is>
      </c>
      <c r="M211" s="4" t="inlineStr">
        <is>
          <t>Got future date</t>
        </is>
      </c>
      <c r="N211" s="4" t="inlineStr">
        <is>
          <t>Dealer of shyam steel and rungta tmt. Rates given 54000 landed to the customer. Asking to visit again .</t>
        </is>
      </c>
      <c r="O211" s="4" t="inlineStr">
        <is>
          <t>Need time for customer. Asking to connect later .</t>
        </is>
      </c>
      <c r="P211" s="4" t="inlineStr">
        <is>
          <t>Dealer of shyam steel and rungta tmt. Rates given 54000 landed to the customer. Asking to visit again . | Need time for customer. Asking to connect later .</t>
        </is>
      </c>
      <c r="Q211" s="4">
        <f>LEN(TRIM(P211))-LEN(SUBSTITUTE(P211," ",""))+1</f>
        <v/>
      </c>
      <c r="R211" s="4" t="n">
        <v>22.8330652</v>
      </c>
      <c r="S211" s="4" t="n">
        <v>86.2278695</v>
      </c>
      <c r="T211" s="4">
        <f>COUNTIF($G$2:G211,G211)</f>
        <v/>
      </c>
      <c r="U211" s="4">
        <f>IF(F211&lt;5,"YES","NO")</f>
        <v/>
      </c>
      <c r="V211" s="4">
        <f>IF(AND(N211&lt;&gt;"",O211&lt;&gt;""),"YES","NO")</f>
        <v/>
      </c>
      <c r="W211" s="4">
        <f>IF(HOUR(D211)&lt;12,"Morning",IF(HOUR(D211)&lt;17,"Afternoon","Evening"))</f>
        <v/>
      </c>
      <c r="X211" s="4" t="n">
        <v>6</v>
      </c>
      <c r="Y211" s="4">
        <f>IF(F211&lt;5,"&lt;5 min",IF(F211&lt;15,"5-15 min",IF(F211&lt;30,"15-30 min","30+ min")))</f>
        <v/>
      </c>
    </row>
    <row r="212">
      <c r="A212" s="3" t="n">
        <v>46020</v>
      </c>
      <c r="B212" s="4" t="inlineStr">
        <is>
          <t>Monday</t>
        </is>
      </c>
      <c r="C212" s="4" t="inlineStr">
        <is>
          <t>Dec 25</t>
        </is>
      </c>
      <c r="D212" s="4" t="inlineStr">
        <is>
          <t>29/12/2025, 5:24 pm</t>
        </is>
      </c>
      <c r="E212" s="4" t="inlineStr">
        <is>
          <t>29/12/2025, 5:26 pm</t>
        </is>
      </c>
      <c r="F212" s="4">
        <f>(E212-D212)*24*60</f>
        <v/>
      </c>
      <c r="G212" s="4" t="inlineStr">
        <is>
          <t>M/S. RAMA BUILDCON</t>
        </is>
      </c>
      <c r="H212" s="4" t="inlineStr">
        <is>
          <t>001fw000002kZZzAAM</t>
        </is>
      </c>
      <c r="I212" s="4" t="n">
        <v>831013</v>
      </c>
      <c r="J212" s="4" t="inlineStr">
        <is>
          <t>SARAIKELA KHARSAWAN</t>
        </is>
      </c>
      <c r="K212" s="4" t="inlineStr"/>
      <c r="L212" s="4" t="inlineStr">
        <is>
          <t>Retailer PB</t>
        </is>
      </c>
      <c r="M212" s="4" t="inlineStr">
        <is>
          <t>Got future date</t>
        </is>
      </c>
      <c r="N212" s="4" t="inlineStr">
        <is>
          <t>Dealer of panther and shyam steel. Rates given 47500 landed to the custumer . Last purchase shyam steel</t>
        </is>
      </c>
      <c r="O212" s="4" t="inlineStr">
        <is>
          <t>Will connect us . Waiting for rates to settle down in market . Low demand in market.</t>
        </is>
      </c>
      <c r="P212" s="4" t="inlineStr">
        <is>
          <t>Dealer of panther and shyam steel. Rates given 47500 landed to the custumer . Last purchase shyam steel | Will connect us . Waiting for rates to settle down in market . Low demand in market.</t>
        </is>
      </c>
      <c r="Q212" s="4">
        <f>LEN(TRIM(P212))-LEN(SUBSTITUTE(P212," ",""))+1</f>
        <v/>
      </c>
      <c r="R212" s="4" t="n">
        <v>22.8263637</v>
      </c>
      <c r="S212" s="4" t="n">
        <v>86.22309869999999</v>
      </c>
      <c r="T212" s="4">
        <f>COUNTIF($G$2:G212,G212)</f>
        <v/>
      </c>
      <c r="U212" s="4">
        <f>IF(F212&lt;5,"YES","NO")</f>
        <v/>
      </c>
      <c r="V212" s="4">
        <f>IF(AND(N212&lt;&gt;"",O212&lt;&gt;""),"YES","NO")</f>
        <v/>
      </c>
      <c r="W212" s="4">
        <f>IF(HOUR(D212)&lt;12,"Morning",IF(HOUR(D212)&lt;17,"Afternoon","Evening"))</f>
        <v/>
      </c>
      <c r="X212" s="4" t="n">
        <v>6</v>
      </c>
      <c r="Y212" s="4">
        <f>IF(F212&lt;5,"&lt;5 min",IF(F212&lt;15,"5-15 min",IF(F212&lt;30,"15-30 min","30+ min")))</f>
        <v/>
      </c>
    </row>
    <row r="213">
      <c r="A213" s="3" t="n">
        <v>46043</v>
      </c>
      <c r="B213" s="4" t="inlineStr">
        <is>
          <t>Wednesday</t>
        </is>
      </c>
      <c r="C213" s="4" t="inlineStr">
        <is>
          <t>Jan 26</t>
        </is>
      </c>
      <c r="D213" s="4" t="inlineStr">
        <is>
          <t>21/01/2026, 6:17 pm</t>
        </is>
      </c>
      <c r="E213" s="4" t="inlineStr">
        <is>
          <t>21/01/2026, 6:19 pm</t>
        </is>
      </c>
      <c r="F213" s="4">
        <f>(E213-D213)*24*60</f>
        <v/>
      </c>
      <c r="G213" s="4" t="inlineStr">
        <is>
          <t>M/S. RAMA BUILDCON</t>
        </is>
      </c>
      <c r="H213" s="4" t="inlineStr">
        <is>
          <t>001fw000002kZZzAAM</t>
        </is>
      </c>
      <c r="I213" s="4" t="n">
        <v>831013</v>
      </c>
      <c r="J213" s="4" t="inlineStr">
        <is>
          <t>SARAIKELA KHARSAWAN</t>
        </is>
      </c>
      <c r="K213" s="4" t="inlineStr"/>
      <c r="L213" s="4" t="inlineStr">
        <is>
          <t>Retailer PB</t>
        </is>
      </c>
      <c r="M213" s="4" t="inlineStr">
        <is>
          <t>Got future date</t>
        </is>
      </c>
      <c r="N213" s="4" t="inlineStr">
        <is>
          <t>Dealer of shyam steel and RUNGTA TMT. Rates given 62500 landed to the CUSTUMER.</t>
        </is>
      </c>
      <c r="O213" s="4" t="inlineStr">
        <is>
          <t>Need time to send us inquiry. Will connect us. Purchase shyam tmt @61.</t>
        </is>
      </c>
      <c r="P213" s="4" t="inlineStr">
        <is>
          <t>Dealer of shyam steel and RUNGTA TMT. Rates given 62500 landed to the CUSTUMER. | Need time to send us inquiry. Will connect us. Purchase shyam tmt @61.</t>
        </is>
      </c>
      <c r="Q213" s="4">
        <f>LEN(TRIM(P213))-LEN(SUBSTITUTE(P213," ",""))+1</f>
        <v/>
      </c>
      <c r="R213" s="4" t="n">
        <v>22.8328955</v>
      </c>
      <c r="S213" s="4" t="n">
        <v>86.2277259</v>
      </c>
      <c r="T213" s="4">
        <f>COUNTIF($G$2:G213,G213)</f>
        <v/>
      </c>
      <c r="U213" s="4">
        <f>IF(F213&lt;5,"YES","NO")</f>
        <v/>
      </c>
      <c r="V213" s="4">
        <f>IF(AND(N213&lt;&gt;"",O213&lt;&gt;""),"YES","NO")</f>
        <v/>
      </c>
      <c r="W213" s="4">
        <f>IF(HOUR(D213)&lt;12,"Morning",IF(HOUR(D213)&lt;17,"Afternoon","Evening"))</f>
        <v/>
      </c>
      <c r="X213" s="4" t="n">
        <v>6</v>
      </c>
      <c r="Y213" s="4">
        <f>IF(F213&lt;5,"&lt;5 min",IF(F213&lt;15,"5-15 min",IF(F213&lt;30,"15-30 min","30+ min")))</f>
        <v/>
      </c>
    </row>
    <row r="214">
      <c r="A214" s="3" t="n">
        <v>46014</v>
      </c>
      <c r="B214" s="4" t="inlineStr">
        <is>
          <t>Tuesday</t>
        </is>
      </c>
      <c r="C214" s="4" t="inlineStr">
        <is>
          <t>Dec 25</t>
        </is>
      </c>
      <c r="D214" s="4" t="inlineStr">
        <is>
          <t>23/12/2025, 6:07 pm</t>
        </is>
      </c>
      <c r="E214" s="4" t="inlineStr">
        <is>
          <t>23/12/2025, 6:08 pm</t>
        </is>
      </c>
      <c r="F214" s="4">
        <f>(E214-D214)*24*60</f>
        <v/>
      </c>
      <c r="G214" s="4" t="inlineStr">
        <is>
          <t>M/S. UNIVERSAL STEEL CORPORATION</t>
        </is>
      </c>
      <c r="H214" s="4" t="inlineStr">
        <is>
          <t>001J100000VnnYhIAJ</t>
        </is>
      </c>
      <c r="I214" s="4" t="n">
        <v>831002</v>
      </c>
      <c r="J214" s="4" t="inlineStr">
        <is>
          <t>EAST SINGHBUM</t>
        </is>
      </c>
      <c r="K214" s="4" t="inlineStr"/>
      <c r="L214" s="4" t="inlineStr">
        <is>
          <t>Retailer PB</t>
        </is>
      </c>
      <c r="M214" s="4" t="inlineStr">
        <is>
          <t>Got future date</t>
        </is>
      </c>
      <c r="N214" s="4" t="inlineStr">
        <is>
          <t>Dealer of Tata steel panther rungta and shyam tmt . Rates given 57000 landed to the dealer.</t>
        </is>
      </c>
      <c r="O214" s="4" t="inlineStr">
        <is>
          <t>Will connect us on demand from custumer . Will take within this month .</t>
        </is>
      </c>
      <c r="P214" s="4" t="inlineStr">
        <is>
          <t>Dealer of Tata steel panther rungta and shyam tmt . Rates given 57000 landed to the dealer. | Will connect us on demand from custumer . Will take within this month .</t>
        </is>
      </c>
      <c r="Q214" s="4">
        <f>LEN(TRIM(P214))-LEN(SUBSTITUTE(P214," ",""))+1</f>
        <v/>
      </c>
      <c r="R214" s="4" t="n">
        <v>22.7707088</v>
      </c>
      <c r="S214" s="4" t="n">
        <v>86.2085155</v>
      </c>
      <c r="T214" s="4">
        <f>COUNTIF($G$2:G214,G214)</f>
        <v/>
      </c>
      <c r="U214" s="4">
        <f>IF(F214&lt;5,"YES","NO")</f>
        <v/>
      </c>
      <c r="V214" s="4">
        <f>IF(AND(N214&lt;&gt;"",O214&lt;&gt;""),"YES","NO")</f>
        <v/>
      </c>
      <c r="W214" s="4">
        <f>IF(HOUR(D214)&lt;12,"Morning",IF(HOUR(D214)&lt;17,"Afternoon","Evening"))</f>
        <v/>
      </c>
      <c r="X214" s="4" t="n">
        <v>7</v>
      </c>
      <c r="Y214" s="4">
        <f>IF(F214&lt;5,"&lt;5 min",IF(F214&lt;15,"5-15 min",IF(F214&lt;30,"15-30 min","30+ min")))</f>
        <v/>
      </c>
    </row>
    <row r="215">
      <c r="A215" s="3" t="n">
        <v>46044</v>
      </c>
      <c r="B215" s="4" t="inlineStr">
        <is>
          <t>Thursday</t>
        </is>
      </c>
      <c r="C215" s="4" t="inlineStr">
        <is>
          <t>Jan 26</t>
        </is>
      </c>
      <c r="D215" s="4" t="inlineStr">
        <is>
          <t>22/01/2026, 11:48 am</t>
        </is>
      </c>
      <c r="E215" s="4" t="inlineStr">
        <is>
          <t>22/01/2026, 11:52 am</t>
        </is>
      </c>
      <c r="F215" s="4">
        <f>(E215-D215)*24*60</f>
        <v/>
      </c>
      <c r="G215" s="4" t="inlineStr">
        <is>
          <t>M/S. UNIVERSAL STEEL CORPORATION</t>
        </is>
      </c>
      <c r="H215" s="4" t="inlineStr">
        <is>
          <t>001J100000VnnYhIAJ</t>
        </is>
      </c>
      <c r="I215" s="4" t="n">
        <v>831002</v>
      </c>
      <c r="J215" s="4" t="inlineStr">
        <is>
          <t>EAST SINGHBUM</t>
        </is>
      </c>
      <c r="K215" s="4" t="inlineStr"/>
      <c r="L215" s="4" t="inlineStr">
        <is>
          <t>Retailer PB</t>
        </is>
      </c>
      <c r="M215" s="4" t="inlineStr">
        <is>
          <t>Got future date</t>
        </is>
      </c>
      <c r="N215" s="4" t="inlineStr">
        <is>
          <t>Dealer of Tata tiscon panther rungta. Rates given 63000 landed to the CUSTUMER.</t>
        </is>
      </c>
      <c r="O215" s="4" t="inlineStr">
        <is>
          <t>Will let us or connect us on inquiry received from end CUSTUMER. Need time.</t>
        </is>
      </c>
      <c r="P215" s="4" t="inlineStr">
        <is>
          <t>Dealer of Tata tiscon panther rungta. Rates given 63000 landed to the CUSTUMER. | Will let us or connect us on inquiry received from end CUSTUMER. Need time.</t>
        </is>
      </c>
      <c r="Q215" s="4">
        <f>LEN(TRIM(P215))-LEN(SUBSTITUTE(P215," ",""))+1</f>
        <v/>
      </c>
      <c r="R215" s="4" t="n">
        <v>22.7705034</v>
      </c>
      <c r="S215" s="4" t="n">
        <v>86.2084388</v>
      </c>
      <c r="T215" s="4">
        <f>COUNTIF($G$2:G215,G215)</f>
        <v/>
      </c>
      <c r="U215" s="4">
        <f>IF(F215&lt;5,"YES","NO")</f>
        <v/>
      </c>
      <c r="V215" s="4">
        <f>IF(AND(N215&lt;&gt;"",O215&lt;&gt;""),"YES","NO")</f>
        <v/>
      </c>
      <c r="W215" s="4">
        <f>IF(HOUR(D215)&lt;12,"Morning",IF(HOUR(D215)&lt;17,"Afternoon","Evening"))</f>
        <v/>
      </c>
      <c r="X215" s="4" t="n">
        <v>6</v>
      </c>
      <c r="Y215" s="4">
        <f>IF(F215&lt;5,"&lt;5 min",IF(F215&lt;15,"5-15 min",IF(F215&lt;30,"15-30 min","30+ min")))</f>
        <v/>
      </c>
    </row>
    <row r="216">
      <c r="A216" s="3" t="n">
        <v>45971</v>
      </c>
      <c r="B216" s="4" t="inlineStr">
        <is>
          <t>Monday</t>
        </is>
      </c>
      <c r="C216" s="4" t="inlineStr">
        <is>
          <t>Nov 25</t>
        </is>
      </c>
      <c r="D216" s="4" t="inlineStr">
        <is>
          <t>10/11/2025, 6:42 pm</t>
        </is>
      </c>
      <c r="E216" s="4" t="inlineStr">
        <is>
          <t>10/11/2025, 6:43 pm</t>
        </is>
      </c>
      <c r="F216" s="4">
        <f>(E216-D216)*24*60</f>
        <v/>
      </c>
      <c r="G216" s="4" t="inlineStr">
        <is>
          <t>M/S.BISHWANATH STEEL</t>
        </is>
      </c>
      <c r="H216" s="4" t="inlineStr">
        <is>
          <t>001fw00000Bl9pYAAR</t>
        </is>
      </c>
      <c r="I216" s="4" t="n">
        <v>814112</v>
      </c>
      <c r="J216" s="4" t="inlineStr">
        <is>
          <t>DEOGHAR</t>
        </is>
      </c>
      <c r="K216" s="4" t="inlineStr"/>
      <c r="L216" s="4" t="inlineStr">
        <is>
          <t>Retailer PB</t>
        </is>
      </c>
      <c r="M216" s="4" t="inlineStr">
        <is>
          <t>Account created</t>
        </is>
      </c>
      <c r="N216" s="4" t="inlineStr">
        <is>
          <t>Dealer of siscon tmt and panther tmt . Potential 90 mt . Rates given 58000 landed .</t>
        </is>
      </c>
      <c r="O216" s="4" t="inlineStr">
        <is>
          <t>Product specification and knowledge given will connect us later</t>
        </is>
      </c>
      <c r="P216" s="4" t="inlineStr">
        <is>
          <t>Dealer of siscon tmt and panther tmt . Potential 90 mt . Rates given 58000 landed . | Product specification and knowledge given will connect us later</t>
        </is>
      </c>
      <c r="Q216" s="4">
        <f>LEN(TRIM(P216))-LEN(SUBSTITUTE(P216," ",""))+1</f>
        <v/>
      </c>
      <c r="R216" s="4" t="n">
        <v>24.4890201</v>
      </c>
      <c r="S216" s="4" t="n">
        <v>86.6970281</v>
      </c>
      <c r="T216" s="4">
        <f>COUNTIF($G$2:G216,G216)</f>
        <v/>
      </c>
      <c r="U216" s="4">
        <f>IF(F216&lt;5,"YES","NO")</f>
        <v/>
      </c>
      <c r="V216" s="4">
        <f>IF(AND(N216&lt;&gt;"",O216&lt;&gt;""),"YES","NO")</f>
        <v/>
      </c>
      <c r="W216" s="4">
        <f>IF(HOUR(D216)&lt;12,"Morning",IF(HOUR(D216)&lt;17,"Afternoon","Evening"))</f>
        <v/>
      </c>
      <c r="X216" s="4" t="n">
        <v>4</v>
      </c>
      <c r="Y216" s="4">
        <f>IF(F216&lt;5,"&lt;5 min",IF(F216&lt;15,"5-15 min",IF(F216&lt;30,"15-30 min","30+ min")))</f>
        <v/>
      </c>
    </row>
    <row r="217">
      <c r="A217" s="3" t="n">
        <v>45971</v>
      </c>
      <c r="B217" s="4" t="inlineStr">
        <is>
          <t>Monday</t>
        </is>
      </c>
      <c r="C217" s="4" t="inlineStr">
        <is>
          <t>Nov 25</t>
        </is>
      </c>
      <c r="D217" s="4" t="inlineStr">
        <is>
          <t>10/11/2025, 5:38 pm</t>
        </is>
      </c>
      <c r="E217" s="4" t="inlineStr">
        <is>
          <t>10/11/2025, 5:39 pm</t>
        </is>
      </c>
      <c r="F217" s="4">
        <f>(E217-D217)*24*60</f>
        <v/>
      </c>
      <c r="G217" s="4" t="inlineStr">
        <is>
          <t>M/S.MAA TARA STEEL</t>
        </is>
      </c>
      <c r="H217" s="4" t="inlineStr">
        <is>
          <t>001fw00000BkpnaAAB</t>
        </is>
      </c>
      <c r="I217" s="4" t="n">
        <v>814112</v>
      </c>
      <c r="J217" s="4" t="inlineStr">
        <is>
          <t>DEOGHAR</t>
        </is>
      </c>
      <c r="K217" s="4" t="inlineStr"/>
      <c r="L217" s="4" t="inlineStr">
        <is>
          <t>Retailer PB</t>
        </is>
      </c>
      <c r="M217" s="4" t="inlineStr">
        <is>
          <t>Account created</t>
        </is>
      </c>
      <c r="N217" s="4" t="inlineStr">
        <is>
          <t>Dealer of mongia tmt and panther. Potential of 100 mt .</t>
        </is>
      </c>
      <c r="O217" s="4" t="inlineStr">
        <is>
          <t>Product and product description given. Rates given 58000 landed to the retailer .</t>
        </is>
      </c>
      <c r="P217" s="4" t="inlineStr">
        <is>
          <t>Dealer of mongia tmt and panther. Potential of 100 mt . | Product and product description given. Rates given 58000 landed to the retailer .</t>
        </is>
      </c>
      <c r="Q217" s="4">
        <f>LEN(TRIM(P217))-LEN(SUBSTITUTE(P217," ",""))+1</f>
        <v/>
      </c>
      <c r="R217" s="4" t="n">
        <v>24.4889546</v>
      </c>
      <c r="S217" s="4" t="n">
        <v>86.69705860000001</v>
      </c>
      <c r="T217" s="4">
        <f>COUNTIF($G$2:G217,G217)</f>
        <v/>
      </c>
      <c r="U217" s="4">
        <f>IF(F217&lt;5,"YES","NO")</f>
        <v/>
      </c>
      <c r="V217" s="4">
        <f>IF(AND(N217&lt;&gt;"",O217&lt;&gt;""),"YES","NO")</f>
        <v/>
      </c>
      <c r="W217" s="4">
        <f>IF(HOUR(D217)&lt;12,"Morning",IF(HOUR(D217)&lt;17,"Afternoon","Evening"))</f>
        <v/>
      </c>
      <c r="X217" s="4" t="n">
        <v>4</v>
      </c>
      <c r="Y217" s="4">
        <f>IF(F217&lt;5,"&lt;5 min",IF(F217&lt;15,"5-15 min",IF(F217&lt;30,"15-30 min","30+ min")))</f>
        <v/>
      </c>
    </row>
    <row r="218">
      <c r="A218" s="3" t="n">
        <v>46000</v>
      </c>
      <c r="B218" s="4" t="inlineStr">
        <is>
          <t>Tuesday</t>
        </is>
      </c>
      <c r="C218" s="4" t="inlineStr">
        <is>
          <t>Dec 25</t>
        </is>
      </c>
      <c r="D218" s="4" t="inlineStr">
        <is>
          <t>09/12/2025, 6:28 pm</t>
        </is>
      </c>
      <c r="E218" s="4" t="inlineStr">
        <is>
          <t>09/12/2025, 6:29 pm</t>
        </is>
      </c>
      <c r="F218" s="4">
        <f>(E218-D218)*24*60</f>
        <v/>
      </c>
      <c r="G218" s="4" t="inlineStr">
        <is>
          <t>Mahesh kumar</t>
        </is>
      </c>
      <c r="H218" s="4" t="inlineStr">
        <is>
          <t>001fw00000Et8rKAAR</t>
        </is>
      </c>
      <c r="I218" s="4" t="n">
        <v>831001</v>
      </c>
      <c r="J218" s="4" t="inlineStr">
        <is>
          <t>EAST SINGHBUM</t>
        </is>
      </c>
      <c r="K218" s="4" t="inlineStr"/>
      <c r="L218" s="4" t="inlineStr">
        <is>
          <t>Influencer</t>
        </is>
      </c>
      <c r="M218" s="4" t="inlineStr">
        <is>
          <t>Got future date</t>
        </is>
      </c>
      <c r="N218" s="4" t="inlineStr">
        <is>
          <t>Ihb contractor using rungta and govinda tmt. Rates given 57000 landed through dealer.</t>
        </is>
      </c>
      <c r="O218" s="4" t="inlineStr">
        <is>
          <t>Need time for sharing demand of custumer .</t>
        </is>
      </c>
      <c r="P218" s="4" t="inlineStr">
        <is>
          <t>Ihb contractor using rungta and govinda tmt. Rates given 57000 landed through dealer. | Need time for sharing demand of custumer .</t>
        </is>
      </c>
      <c r="Q218" s="4">
        <f>LEN(TRIM(P218))-LEN(SUBSTITUTE(P218," ",""))+1</f>
        <v/>
      </c>
      <c r="R218" s="4" t="n">
        <v>22.7961489</v>
      </c>
      <c r="S218" s="4" t="n">
        <v>86.1359013</v>
      </c>
      <c r="T218" s="4">
        <f>COUNTIF($G$2:G218,G218)</f>
        <v/>
      </c>
      <c r="U218" s="4">
        <f>IF(F218&lt;5,"YES","NO")</f>
        <v/>
      </c>
      <c r="V218" s="4">
        <f>IF(AND(N218&lt;&gt;"",O218&lt;&gt;""),"YES","NO")</f>
        <v/>
      </c>
      <c r="W218" s="4">
        <f>IF(HOUR(D218)&lt;12,"Morning",IF(HOUR(D218)&lt;17,"Afternoon","Evening"))</f>
        <v/>
      </c>
      <c r="X218" s="4" t="n">
        <v>6</v>
      </c>
      <c r="Y218" s="4">
        <f>IF(F218&lt;5,"&lt;5 min",IF(F218&lt;15,"5-15 min",IF(F218&lt;30,"15-30 min","30+ min")))</f>
        <v/>
      </c>
    </row>
    <row r="219">
      <c r="A219" s="3" t="n">
        <v>45995</v>
      </c>
      <c r="B219" s="4" t="inlineStr">
        <is>
          <t>Thursday</t>
        </is>
      </c>
      <c r="C219" s="4" t="inlineStr">
        <is>
          <t>Dec 25</t>
        </is>
      </c>
      <c r="D219" s="4" t="inlineStr">
        <is>
          <t>04/12/2025, 6:35 pm</t>
        </is>
      </c>
      <c r="E219" s="4" t="inlineStr">
        <is>
          <t>04/12/2025, 6:39 pm</t>
        </is>
      </c>
      <c r="F219" s="4">
        <f>(E219-D219)*24*60</f>
        <v/>
      </c>
      <c r="G219" s="4" t="inlineStr">
        <is>
          <t>Mahesh mahto</t>
        </is>
      </c>
      <c r="H219" s="4" t="inlineStr">
        <is>
          <t>001fw00000EVenXAAT</t>
        </is>
      </c>
      <c r="I219" s="4" t="n">
        <v>833102</v>
      </c>
      <c r="J219" s="4" t="inlineStr">
        <is>
          <t>WEST SINGHBHUM</t>
        </is>
      </c>
      <c r="K219" s="4" t="inlineStr"/>
      <c r="L219" s="4" t="inlineStr">
        <is>
          <t>Influencer</t>
        </is>
      </c>
      <c r="M219" s="4" t="inlineStr">
        <is>
          <t>Got future date</t>
        </is>
      </c>
      <c r="N219" s="4" t="inlineStr">
        <is>
          <t>Contractor of ihb projects . Using tiscon and rungta tmt and srmb in his projects .</t>
        </is>
      </c>
      <c r="O219" s="4" t="inlineStr">
        <is>
          <t>Will be giving us direct inquiry as will be communicating to his ihb customers. Rates given 56000 landed to him through distributor godown .</t>
        </is>
      </c>
      <c r="P219" s="4" t="inlineStr">
        <is>
          <t>Contractor of ihb projects . Using tiscon and rungta tmt and srmb in his projects . | Will be giving us direct inquiry as will be communicating to his ihb customers. Rates given 56000 landed to him through distributor godown .</t>
        </is>
      </c>
      <c r="Q219" s="4">
        <f>LEN(TRIM(P219))-LEN(SUBSTITUTE(P219," ",""))+1</f>
        <v/>
      </c>
      <c r="R219" s="4" t="n">
        <v>22.7120501</v>
      </c>
      <c r="S219" s="4" t="n">
        <v>85.5314498</v>
      </c>
      <c r="T219" s="4">
        <f>COUNTIF($G$2:G219,G219)</f>
        <v/>
      </c>
      <c r="U219" s="4">
        <f>IF(F219&lt;5,"YES","NO")</f>
        <v/>
      </c>
      <c r="V219" s="4">
        <f>IF(AND(N219&lt;&gt;"",O219&lt;&gt;""),"YES","NO")</f>
        <v/>
      </c>
      <c r="W219" s="4">
        <f>IF(HOUR(D219)&lt;12,"Morning",IF(HOUR(D219)&lt;17,"Afternoon","Evening"))</f>
        <v/>
      </c>
      <c r="X219" s="4" t="n">
        <v>6</v>
      </c>
      <c r="Y219" s="4">
        <f>IF(F219&lt;5,"&lt;5 min",IF(F219&lt;15,"5-15 min",IF(F219&lt;30,"15-30 min","30+ min")))</f>
        <v/>
      </c>
    </row>
    <row r="220">
      <c r="A220" s="3" t="n">
        <v>45966</v>
      </c>
      <c r="B220" s="4" t="inlineStr">
        <is>
          <t>Wednesday</t>
        </is>
      </c>
      <c r="C220" s="4" t="inlineStr">
        <is>
          <t>Nov 25</t>
        </is>
      </c>
      <c r="D220" s="4" t="inlineStr">
        <is>
          <t>05/11/2025, 6:20 pm</t>
        </is>
      </c>
      <c r="E220" s="4" t="inlineStr">
        <is>
          <t>05/11/2025, 6:21 pm</t>
        </is>
      </c>
      <c r="F220" s="4">
        <f>(E220-D220)*24*60</f>
        <v/>
      </c>
      <c r="G220" s="4" t="inlineStr">
        <is>
          <t>Mi construction</t>
        </is>
      </c>
      <c r="H220" s="4" t="inlineStr">
        <is>
          <t>001fw000007w7y9AAA</t>
        </is>
      </c>
      <c r="I220" s="4" t="n">
        <v>831006</v>
      </c>
      <c r="J220" s="4" t="inlineStr">
        <is>
          <t>EAST SINGHBUM</t>
        </is>
      </c>
      <c r="K220" s="4" t="inlineStr"/>
      <c r="L220" s="4" t="inlineStr">
        <is>
          <t>Influencer</t>
        </is>
      </c>
      <c r="M220" s="4" t="inlineStr">
        <is>
          <t>Got future date</t>
        </is>
      </c>
      <c r="N220" s="4" t="inlineStr">
        <is>
          <t>Contractor of ihb projects . Using tiscon and shyam steel . Rates given 46000 basic to the customer. Will connect us</t>
        </is>
      </c>
      <c r="O220" s="4" t="inlineStr">
        <is>
          <t>Will connect us later with an inquiry as he receives from end customer.</t>
        </is>
      </c>
      <c r="P220" s="4" t="inlineStr">
        <is>
          <t>Contractor of ihb projects . Using tiscon and shyam steel . Rates given 46000 basic to the customer. Will connect us | Will connect us later with an inquiry as he receives from end customer.</t>
        </is>
      </c>
      <c r="Q220" s="4">
        <f>LEN(TRIM(P220))-LEN(SUBSTITUTE(P220," ",""))+1</f>
        <v/>
      </c>
      <c r="R220" s="4" t="n">
        <v>22.8075464</v>
      </c>
      <c r="S220" s="4" t="n">
        <v>86.22181019999999</v>
      </c>
      <c r="T220" s="4">
        <f>COUNTIF($G$2:G220,G220)</f>
        <v/>
      </c>
      <c r="U220" s="4">
        <f>IF(F220&lt;5,"YES","NO")</f>
        <v/>
      </c>
      <c r="V220" s="4">
        <f>IF(AND(N220&lt;&gt;"",O220&lt;&gt;""),"YES","NO")</f>
        <v/>
      </c>
      <c r="W220" s="4">
        <f>IF(HOUR(D220)&lt;12,"Morning",IF(HOUR(D220)&lt;17,"Afternoon","Evening"))</f>
        <v/>
      </c>
      <c r="X220" s="4" t="n">
        <v>6</v>
      </c>
      <c r="Y220" s="4">
        <f>IF(F220&lt;5,"&lt;5 min",IF(F220&lt;15,"5-15 min",IF(F220&lt;30,"15-30 min","30+ min")))</f>
        <v/>
      </c>
    </row>
    <row r="221">
      <c r="A221" s="3" t="n">
        <v>45982</v>
      </c>
      <c r="B221" s="4" t="inlineStr">
        <is>
          <t>Friday</t>
        </is>
      </c>
      <c r="C221" s="4" t="inlineStr">
        <is>
          <t>Nov 25</t>
        </is>
      </c>
      <c r="D221" s="4" t="inlineStr">
        <is>
          <t>21/11/2025, 11:39 am</t>
        </is>
      </c>
      <c r="E221" s="4" t="inlineStr">
        <is>
          <t>21/11/2025, 11:41 am</t>
        </is>
      </c>
      <c r="F221" s="4">
        <f>(E221-D221)*24*60</f>
        <v/>
      </c>
      <c r="G221" s="4" t="inlineStr">
        <is>
          <t>Mi construction</t>
        </is>
      </c>
      <c r="H221" s="4" t="inlineStr">
        <is>
          <t>001fw000007w7y9AAA</t>
        </is>
      </c>
      <c r="I221" s="4" t="n">
        <v>831006</v>
      </c>
      <c r="J221" s="4" t="inlineStr">
        <is>
          <t>EAST SINGHBUM</t>
        </is>
      </c>
      <c r="K221" s="4" t="inlineStr"/>
      <c r="L221" s="4" t="inlineStr">
        <is>
          <t>Influencer</t>
        </is>
      </c>
      <c r="M221" s="4" t="inlineStr">
        <is>
          <t>Got future date</t>
        </is>
      </c>
      <c r="N221" s="4" t="inlineStr">
        <is>
          <t>Contractor of ihb and commercial projects. Using rungta , shyam and kamdhenu tmt . Rates given 54000 landed to the customer.</t>
        </is>
      </c>
      <c r="O221" s="4" t="inlineStr">
        <is>
          <t>Will share inquiry to the customer when next demand come</t>
        </is>
      </c>
      <c r="P221" s="4" t="inlineStr">
        <is>
          <t>Contractor of ihb and commercial projects. Using rungta , shyam and kamdhenu tmt . Rates given 54000 landed to the customer. | Will share inquiry to the customer when next demand come</t>
        </is>
      </c>
      <c r="Q221" s="4">
        <f>LEN(TRIM(P221))-LEN(SUBSTITUTE(P221," ",""))+1</f>
        <v/>
      </c>
      <c r="R221" s="4" t="n">
        <v>22.8060663</v>
      </c>
      <c r="S221" s="4" t="n">
        <v>86.22336730000001</v>
      </c>
      <c r="T221" s="4">
        <f>COUNTIF($G$2:G221,G221)</f>
        <v/>
      </c>
      <c r="U221" s="4">
        <f>IF(F221&lt;5,"YES","NO")</f>
        <v/>
      </c>
      <c r="V221" s="4">
        <f>IF(AND(N221&lt;&gt;"",O221&lt;&gt;""),"YES","NO")</f>
        <v/>
      </c>
      <c r="W221" s="4">
        <f>IF(HOUR(D221)&lt;12,"Morning",IF(HOUR(D221)&lt;17,"Afternoon","Evening"))</f>
        <v/>
      </c>
      <c r="X221" s="4" t="n">
        <v>5</v>
      </c>
      <c r="Y221" s="4">
        <f>IF(F221&lt;5,"&lt;5 min",IF(F221&lt;15,"5-15 min",IF(F221&lt;30,"15-30 min","30+ min")))</f>
        <v/>
      </c>
    </row>
    <row r="222">
      <c r="A222" s="3" t="n">
        <v>46001</v>
      </c>
      <c r="B222" s="4" t="inlineStr">
        <is>
          <t>Wednesday</t>
        </is>
      </c>
      <c r="C222" s="4" t="inlineStr">
        <is>
          <t>Dec 25</t>
        </is>
      </c>
      <c r="D222" s="4" t="inlineStr">
        <is>
          <t>10/12/2025, 5:43 pm</t>
        </is>
      </c>
      <c r="E222" s="4" t="inlineStr">
        <is>
          <t>10/12/2025, 5:46 pm</t>
        </is>
      </c>
      <c r="F222" s="4">
        <f>(E222-D222)*24*60</f>
        <v/>
      </c>
      <c r="G222" s="4" t="inlineStr">
        <is>
          <t>Mi construction</t>
        </is>
      </c>
      <c r="H222" s="4" t="inlineStr">
        <is>
          <t>001fw000007w7y9AAA</t>
        </is>
      </c>
      <c r="I222" s="4" t="n">
        <v>831006</v>
      </c>
      <c r="J222" s="4" t="inlineStr">
        <is>
          <t>EAST SINGHBUM</t>
        </is>
      </c>
      <c r="K222" s="4" t="inlineStr"/>
      <c r="L222" s="4" t="inlineStr">
        <is>
          <t>Influencer</t>
        </is>
      </c>
      <c r="M222" s="4" t="inlineStr">
        <is>
          <t>Got future date</t>
        </is>
      </c>
      <c r="N222" s="4" t="inlineStr">
        <is>
          <t>Contractor of ihb and commercial projects. Using rungta , kamdhenu steel for projects. Rates given 56000 landed to the dealer . Need time</t>
        </is>
      </c>
      <c r="O222" s="4" t="inlineStr">
        <is>
          <t>Will communicate with us once inquiry received from custumer.</t>
        </is>
      </c>
      <c r="P222" s="4" t="inlineStr">
        <is>
          <t>Contractor of ihb and commercial projects. Using rungta , kamdhenu steel for projects. Rates given 56000 landed to the dealer . Need time | Will communicate with us once inquiry received from custumer.</t>
        </is>
      </c>
      <c r="Q222" s="4">
        <f>LEN(TRIM(P222))-LEN(SUBSTITUTE(P222," ",""))+1</f>
        <v/>
      </c>
      <c r="R222" s="4" t="n">
        <v>22.807965</v>
      </c>
      <c r="S222" s="4" t="n">
        <v>86.2215246</v>
      </c>
      <c r="T222" s="4">
        <f>COUNTIF($G$2:G222,G222)</f>
        <v/>
      </c>
      <c r="U222" s="4">
        <f>IF(F222&lt;5,"YES","NO")</f>
        <v/>
      </c>
      <c r="V222" s="4">
        <f>IF(AND(N222&lt;&gt;"",O222&lt;&gt;""),"YES","NO")</f>
        <v/>
      </c>
      <c r="W222" s="4">
        <f>IF(HOUR(D222)&lt;12,"Morning",IF(HOUR(D222)&lt;17,"Afternoon","Evening"))</f>
        <v/>
      </c>
      <c r="X222" s="4" t="n">
        <v>7</v>
      </c>
      <c r="Y222" s="4">
        <f>IF(F222&lt;5,"&lt;5 min",IF(F222&lt;15,"5-15 min",IF(F222&lt;30,"15-30 min","30+ min")))</f>
        <v/>
      </c>
    </row>
    <row r="223">
      <c r="A223" s="3" t="n">
        <v>46042</v>
      </c>
      <c r="B223" s="4" t="inlineStr">
        <is>
          <t>Tuesday</t>
        </is>
      </c>
      <c r="C223" s="4" t="inlineStr">
        <is>
          <t>Jan 26</t>
        </is>
      </c>
      <c r="D223" s="4" t="inlineStr">
        <is>
          <t>20/01/2026, 6:48 pm</t>
        </is>
      </c>
      <c r="E223" s="4" t="inlineStr">
        <is>
          <t>20/01/2026, 6:49 pm</t>
        </is>
      </c>
      <c r="F223" s="4">
        <f>(E223-D223)*24*60</f>
        <v/>
      </c>
      <c r="G223" s="4" t="inlineStr">
        <is>
          <t>Mi construction</t>
        </is>
      </c>
      <c r="H223" s="4" t="inlineStr">
        <is>
          <t>001fw000007w7y9AAA</t>
        </is>
      </c>
      <c r="I223" s="4" t="n">
        <v>831006</v>
      </c>
      <c r="J223" s="4" t="inlineStr">
        <is>
          <t>EAST SINGHBUM</t>
        </is>
      </c>
      <c r="K223" s="4" t="inlineStr"/>
      <c r="L223" s="4" t="inlineStr">
        <is>
          <t>Influencer</t>
        </is>
      </c>
      <c r="M223" s="4" t="inlineStr">
        <is>
          <t>Got future date</t>
        </is>
      </c>
      <c r="N223" s="4" t="inlineStr">
        <is>
          <t>IHB CONTRACTOR USING RUNGTA TMT, srmb and Tata tiscon. Rates given 62500 landed</t>
        </is>
      </c>
      <c r="O223" s="4" t="inlineStr">
        <is>
          <t>Will connect us on inquiry received from end CUSTUMER. Need time. Last purchase Tata tiscon @63 landed.</t>
        </is>
      </c>
      <c r="P223" s="4" t="inlineStr">
        <is>
          <t>IHB CONTRACTOR USING RUNGTA TMT, srmb and Tata tiscon. Rates given 62500 landed | Will connect us on inquiry received from end CUSTUMER. Need time. Last purchase Tata tiscon @63 landed.</t>
        </is>
      </c>
      <c r="Q223" s="4">
        <f>LEN(TRIM(P223))-LEN(SUBSTITUTE(P223," ",""))+1</f>
        <v/>
      </c>
      <c r="R223" s="4" t="n">
        <v>22.812159</v>
      </c>
      <c r="S223" s="4" t="n">
        <v>86.21517470000001</v>
      </c>
      <c r="T223" s="4">
        <f>COUNTIF($G$2:G223,G223)</f>
        <v/>
      </c>
      <c r="U223" s="4">
        <f>IF(F223&lt;5,"YES","NO")</f>
        <v/>
      </c>
      <c r="V223" s="4">
        <f>IF(AND(N223&lt;&gt;"",O223&lt;&gt;""),"YES","NO")</f>
        <v/>
      </c>
      <c r="W223" s="4">
        <f>IF(HOUR(D223)&lt;12,"Morning",IF(HOUR(D223)&lt;17,"Afternoon","Evening"))</f>
        <v/>
      </c>
      <c r="X223" s="4" t="n">
        <v>6</v>
      </c>
      <c r="Y223" s="4">
        <f>IF(F223&lt;5,"&lt;5 min",IF(F223&lt;15,"5-15 min",IF(F223&lt;30,"15-30 min","30+ min")))</f>
        <v/>
      </c>
    </row>
    <row r="224">
      <c r="A224" s="3" t="n">
        <v>45980</v>
      </c>
      <c r="B224" s="4" t="inlineStr">
        <is>
          <t>Wednesday</t>
        </is>
      </c>
      <c r="C224" s="4" t="inlineStr">
        <is>
          <t>Nov 25</t>
        </is>
      </c>
      <c r="D224" s="4" t="inlineStr">
        <is>
          <t>19/11/2025, 1:48 pm</t>
        </is>
      </c>
      <c r="E224" s="4" t="inlineStr">
        <is>
          <t>19/11/2025, 1:50 pm</t>
        </is>
      </c>
      <c r="F224" s="4">
        <f>(E224-D224)*24*60</f>
        <v/>
      </c>
      <c r="G224" s="4" t="inlineStr">
        <is>
          <t>P S SRIJAN HEIGHT DEVELOPERS</t>
        </is>
      </c>
      <c r="H224" s="4" t="inlineStr">
        <is>
          <t>001J100000Vo6hDIAR</t>
        </is>
      </c>
      <c r="I224" s="4" t="n">
        <v>700020</v>
      </c>
      <c r="J224" s="4" t="inlineStr">
        <is>
          <t>KOLKATA</t>
        </is>
      </c>
      <c r="K224" s="4" t="inlineStr"/>
      <c r="L224" s="4" t="inlineStr">
        <is>
          <t>Retailer PB</t>
        </is>
      </c>
      <c r="M224" s="4" t="inlineStr">
        <is>
          <t>Got future date</t>
        </is>
      </c>
      <c r="N224" s="4" t="inlineStr">
        <is>
          <t>Contractor and archeitect of real estate and commercial projects. Rates given 54000 landed to the customer.</t>
        </is>
      </c>
      <c r="O224" s="4" t="inlineStr">
        <is>
          <t>Will share inquiry soon . Will connect us later.</t>
        </is>
      </c>
      <c r="P224" s="4" t="inlineStr">
        <is>
          <t>Contractor and archeitect of real estate and commercial projects. Rates given 54000 landed to the customer. | Will share inquiry soon . Will connect us later.</t>
        </is>
      </c>
      <c r="Q224" s="4">
        <f>LEN(TRIM(P224))-LEN(SUBSTITUTE(P224," ",""))+1</f>
        <v/>
      </c>
      <c r="R224" s="4" t="n">
        <v>22.8540928</v>
      </c>
      <c r="S224" s="4" t="n">
        <v>86.1645254</v>
      </c>
      <c r="T224" s="4">
        <f>COUNTIF($G$2:G224,G224)</f>
        <v/>
      </c>
      <c r="U224" s="4">
        <f>IF(F224&lt;5,"YES","NO")</f>
        <v/>
      </c>
      <c r="V224" s="4">
        <f>IF(AND(N224&lt;&gt;"",O224&lt;&gt;""),"YES","NO")</f>
        <v/>
      </c>
      <c r="W224" s="4">
        <f>IF(HOUR(D224)&lt;12,"Morning",IF(HOUR(D224)&lt;17,"Afternoon","Evening"))</f>
        <v/>
      </c>
      <c r="X224" s="4" t="n">
        <v>6</v>
      </c>
      <c r="Y224" s="4">
        <f>IF(F224&lt;5,"&lt;5 min",IF(F224&lt;15,"5-15 min",IF(F224&lt;30,"15-30 min","30+ min")))</f>
        <v/>
      </c>
    </row>
    <row r="225">
      <c r="A225" s="3" t="n">
        <v>45987</v>
      </c>
      <c r="B225" s="4" t="inlineStr">
        <is>
          <t>Wednesday</t>
        </is>
      </c>
      <c r="C225" s="4" t="inlineStr">
        <is>
          <t>Nov 25</t>
        </is>
      </c>
      <c r="D225" s="4" t="inlineStr">
        <is>
          <t>26/11/2025, 1:13 pm</t>
        </is>
      </c>
      <c r="E225" s="4" t="inlineStr">
        <is>
          <t>26/11/2025, 1:13 pm</t>
        </is>
      </c>
      <c r="F225" s="4">
        <f>(E225-D225)*24*60</f>
        <v/>
      </c>
      <c r="G225" s="4" t="inlineStr">
        <is>
          <t>P S SRIJAN HEIGHT DEVELOPERS</t>
        </is>
      </c>
      <c r="H225" s="4" t="inlineStr">
        <is>
          <t>001J100000Vo6hDIAR</t>
        </is>
      </c>
      <c r="I225" s="4" t="n">
        <v>700020</v>
      </c>
      <c r="J225" s="4" t="inlineStr">
        <is>
          <t>KOLKATA</t>
        </is>
      </c>
      <c r="K225" s="4" t="inlineStr"/>
      <c r="L225" s="4" t="inlineStr">
        <is>
          <t>Retailer PB</t>
        </is>
      </c>
      <c r="M225" s="4" t="inlineStr">
        <is>
          <t>Got future date</t>
        </is>
      </c>
      <c r="N225" s="4" t="inlineStr">
        <is>
          <t>Contractor of real estate projects. Using tiscon and rungta . Inquiry received rates given 54000 landed</t>
        </is>
      </c>
      <c r="O225" s="4" t="inlineStr">
        <is>
          <t>Will connect us later after confirmation and other brands rates. Working on it</t>
        </is>
      </c>
      <c r="P225" s="4" t="inlineStr">
        <is>
          <t>Contractor of real estate projects. Using tiscon and rungta . Inquiry received rates given 54000 landed | Will connect us later after confirmation and other brands rates. Working on it</t>
        </is>
      </c>
      <c r="Q225" s="4">
        <f>LEN(TRIM(P225))-LEN(SUBSTITUTE(P225," ",""))+1</f>
        <v/>
      </c>
      <c r="R225" s="4" t="n">
        <v>22.8494468</v>
      </c>
      <c r="S225" s="4" t="n">
        <v>86.1695191</v>
      </c>
      <c r="T225" s="4">
        <f>COUNTIF($G$2:G225,G225)</f>
        <v/>
      </c>
      <c r="U225" s="4">
        <f>IF(F225&lt;5,"YES","NO")</f>
        <v/>
      </c>
      <c r="V225" s="4">
        <f>IF(AND(N225&lt;&gt;"",O225&lt;&gt;""),"YES","NO")</f>
        <v/>
      </c>
      <c r="W225" s="4">
        <f>IF(HOUR(D225)&lt;12,"Morning",IF(HOUR(D225)&lt;17,"Afternoon","Evening"))</f>
        <v/>
      </c>
      <c r="X225" s="4" t="n">
        <v>4</v>
      </c>
      <c r="Y225" s="4">
        <f>IF(F225&lt;5,"&lt;5 min",IF(F225&lt;15,"5-15 min",IF(F225&lt;30,"15-30 min","30+ min")))</f>
        <v/>
      </c>
    </row>
    <row r="226">
      <c r="A226" s="3" t="n">
        <v>46007</v>
      </c>
      <c r="B226" s="4" t="inlineStr">
        <is>
          <t>Tuesday</t>
        </is>
      </c>
      <c r="C226" s="4" t="inlineStr">
        <is>
          <t>Dec 25</t>
        </is>
      </c>
      <c r="D226" s="4" t="inlineStr">
        <is>
          <t>16/12/2025, 5:39 pm</t>
        </is>
      </c>
      <c r="E226" s="4" t="inlineStr">
        <is>
          <t>16/12/2025, 5:42 pm</t>
        </is>
      </c>
      <c r="F226" s="4">
        <f>(E226-D226)*24*60</f>
        <v/>
      </c>
      <c r="G226" s="4" t="inlineStr">
        <is>
          <t>P S SRIJAN HEIGHT DEVELOPERS</t>
        </is>
      </c>
      <c r="H226" s="4" t="inlineStr">
        <is>
          <t>001J100000Vo6hDIAR</t>
        </is>
      </c>
      <c r="I226" s="4" t="n">
        <v>700020</v>
      </c>
      <c r="J226" s="4" t="inlineStr">
        <is>
          <t>KOLKATA</t>
        </is>
      </c>
      <c r="K226" s="4" t="inlineStr"/>
      <c r="L226" s="4" t="inlineStr">
        <is>
          <t>Retailer PB</t>
        </is>
      </c>
      <c r="M226" s="4" t="inlineStr">
        <is>
          <t>Got future date</t>
        </is>
      </c>
      <c r="N226" s="4" t="inlineStr">
        <is>
          <t>Contractor of ihb and commercial projects.using Panther rungta and Tata tiscon . Rates given 56500 to custumer.</t>
        </is>
      </c>
      <c r="O226" s="4" t="inlineStr">
        <is>
          <t>Will share inquiry in 2 days. Waiting for site to sent an indent.</t>
        </is>
      </c>
      <c r="P226" s="4" t="inlineStr">
        <is>
          <t>Contractor of ihb and commercial projects.using Panther rungta and Tata tiscon . Rates given 56500 to custumer. | Will share inquiry in 2 days. Waiting for site to sent an indent.</t>
        </is>
      </c>
      <c r="Q226" s="4">
        <f>LEN(TRIM(P226))-LEN(SUBSTITUTE(P226," ",""))+1</f>
        <v/>
      </c>
      <c r="R226" s="4" t="n">
        <v>22.849522</v>
      </c>
      <c r="S226" s="4" t="n">
        <v>86.1696286</v>
      </c>
      <c r="T226" s="4">
        <f>COUNTIF($G$2:G226,G226)</f>
        <v/>
      </c>
      <c r="U226" s="4">
        <f>IF(F226&lt;5,"YES","NO")</f>
        <v/>
      </c>
      <c r="V226" s="4">
        <f>IF(AND(N226&lt;&gt;"",O226&lt;&gt;""),"YES","NO")</f>
        <v/>
      </c>
      <c r="W226" s="4">
        <f>IF(HOUR(D226)&lt;12,"Morning",IF(HOUR(D226)&lt;17,"Afternoon","Evening"))</f>
        <v/>
      </c>
      <c r="X226" s="4" t="n">
        <v>7</v>
      </c>
      <c r="Y226" s="4">
        <f>IF(F226&lt;5,"&lt;5 min",IF(F226&lt;15,"5-15 min",IF(F226&lt;30,"15-30 min","30+ min")))</f>
        <v/>
      </c>
    </row>
    <row r="227">
      <c r="A227" s="3" t="n">
        <v>46022</v>
      </c>
      <c r="B227" s="4" t="inlineStr">
        <is>
          <t>Wednesday</t>
        </is>
      </c>
      <c r="C227" s="4" t="inlineStr">
        <is>
          <t>Dec 25</t>
        </is>
      </c>
      <c r="D227" s="4" t="inlineStr">
        <is>
          <t>31/12/2025, 1:45 pm</t>
        </is>
      </c>
      <c r="E227" s="4" t="inlineStr">
        <is>
          <t>31/12/2025, 1:50 pm</t>
        </is>
      </c>
      <c r="F227" s="4">
        <f>(E227-D227)*24*60</f>
        <v/>
      </c>
      <c r="G227" s="4" t="inlineStr">
        <is>
          <t>P S SRIJAN HEIGHT DEVELOPERS</t>
        </is>
      </c>
      <c r="H227" s="4" t="inlineStr">
        <is>
          <t>001J100000Vo6hDIAR</t>
        </is>
      </c>
      <c r="I227" s="4" t="n">
        <v>700020</v>
      </c>
      <c r="J227" s="4" t="inlineStr">
        <is>
          <t>KOLKATA</t>
        </is>
      </c>
      <c r="K227" s="4" t="inlineStr"/>
      <c r="L227" s="4" t="inlineStr">
        <is>
          <t>Retailer PB</t>
        </is>
      </c>
      <c r="M227" s="4" t="inlineStr">
        <is>
          <t>Got future date</t>
        </is>
      </c>
      <c r="N227" s="4" t="inlineStr">
        <is>
          <t>IHB and commercial real estate projects contactor. Using tiscon and RUNGTA TMT. RATES given 58500 landed to the CUSTUMER.</t>
        </is>
      </c>
      <c r="O227" s="4" t="inlineStr">
        <is>
          <t>Will connect us on inquiry received from site need time.</t>
        </is>
      </c>
      <c r="P227" s="4" t="inlineStr">
        <is>
          <t>IHB and commercial real estate projects contactor. Using tiscon and RUNGTA TMT. RATES given 58500 landed to the CUSTUMER. | Will connect us on inquiry received from site need time.</t>
        </is>
      </c>
      <c r="Q227" s="4">
        <f>LEN(TRIM(P227))-LEN(SUBSTITUTE(P227," ",""))+1</f>
        <v/>
      </c>
      <c r="R227" s="4" t="n">
        <v>22.8460873</v>
      </c>
      <c r="S227" s="4" t="n">
        <v>86.17120749999999</v>
      </c>
      <c r="T227" s="4">
        <f>COUNTIF($G$2:G227,G227)</f>
        <v/>
      </c>
      <c r="U227" s="4">
        <f>IF(F227&lt;5,"YES","NO")</f>
        <v/>
      </c>
      <c r="V227" s="4">
        <f>IF(AND(N227&lt;&gt;"",O227&lt;&gt;""),"YES","NO")</f>
        <v/>
      </c>
      <c r="W227" s="4">
        <f>IF(HOUR(D227)&lt;12,"Morning",IF(HOUR(D227)&lt;17,"Afternoon","Evening"))</f>
        <v/>
      </c>
      <c r="X227" s="4" t="n">
        <v>6</v>
      </c>
      <c r="Y227" s="4">
        <f>IF(F227&lt;5,"&lt;5 min",IF(F227&lt;15,"5-15 min",IF(F227&lt;30,"15-30 min","30+ min")))</f>
        <v/>
      </c>
    </row>
    <row r="228">
      <c r="A228" s="3" t="n">
        <v>45993</v>
      </c>
      <c r="B228" s="4" t="inlineStr">
        <is>
          <t>Tuesday</t>
        </is>
      </c>
      <c r="C228" s="4" t="inlineStr">
        <is>
          <t>Dec 25</t>
        </is>
      </c>
      <c r="D228" s="4" t="inlineStr">
        <is>
          <t>02/12/2025, 6:18 pm</t>
        </is>
      </c>
      <c r="E228" s="4" t="inlineStr">
        <is>
          <t>02/12/2025, 6:19 pm</t>
        </is>
      </c>
      <c r="F228" s="4">
        <f>(E228-D228)*24*60</f>
        <v/>
      </c>
      <c r="G228" s="4" t="inlineStr">
        <is>
          <t>PRAGATI BUILDCON</t>
        </is>
      </c>
      <c r="H228" s="4" t="inlineStr">
        <is>
          <t>001fw000006Tu9qAAC</t>
        </is>
      </c>
      <c r="I228" s="4" t="n">
        <v>832108</v>
      </c>
      <c r="J228" s="4" t="inlineStr">
        <is>
          <t>SARAIKELA KHARSAWAN</t>
        </is>
      </c>
      <c r="K228" s="4" t="inlineStr"/>
      <c r="L228" s="4" t="inlineStr">
        <is>
          <t>Retailer PB</t>
        </is>
      </c>
      <c r="M228" s="4" t="inlineStr">
        <is>
          <t>Got future date</t>
        </is>
      </c>
      <c r="N228" s="4" t="inlineStr">
        <is>
          <t>Dealer of panther and rungta tmt. Rates given 55000 landed to the dealer . No inquiry now.</t>
        </is>
      </c>
      <c r="O228" s="4" t="inlineStr">
        <is>
          <t>Will connect us as inquiry comes to him . Need time .</t>
        </is>
      </c>
      <c r="P228" s="4" t="inlineStr">
        <is>
          <t>Dealer of panther and rungta tmt. Rates given 55000 landed to the dealer . No inquiry now. | Will connect us as inquiry comes to him . Need time .</t>
        </is>
      </c>
      <c r="Q228" s="4">
        <f>LEN(TRIM(P228))-LEN(SUBSTITUTE(P228," ",""))+1</f>
        <v/>
      </c>
      <c r="R228" s="4" t="n">
        <v>22.823506</v>
      </c>
      <c r="S228" s="4" t="n">
        <v>86.0916105</v>
      </c>
      <c r="T228" s="4">
        <f>COUNTIF($G$2:G228,G228)</f>
        <v/>
      </c>
      <c r="U228" s="4">
        <f>IF(F228&lt;5,"YES","NO")</f>
        <v/>
      </c>
      <c r="V228" s="4">
        <f>IF(AND(N228&lt;&gt;"",O228&lt;&gt;""),"YES","NO")</f>
        <v/>
      </c>
      <c r="W228" s="4">
        <f>IF(HOUR(D228)&lt;12,"Morning",IF(HOUR(D228)&lt;17,"Afternoon","Evening"))</f>
        <v/>
      </c>
      <c r="X228" s="4" t="n">
        <v>7</v>
      </c>
      <c r="Y228" s="4">
        <f>IF(F228&lt;5,"&lt;5 min",IF(F228&lt;15,"5-15 min",IF(F228&lt;30,"15-30 min","30+ min")))</f>
        <v/>
      </c>
    </row>
    <row r="229">
      <c r="A229" s="3" t="n">
        <v>46037</v>
      </c>
      <c r="B229" s="4" t="inlineStr">
        <is>
          <t>Thursday</t>
        </is>
      </c>
      <c r="C229" s="4" t="inlineStr">
        <is>
          <t>Jan 26</t>
        </is>
      </c>
      <c r="D229" s="4" t="inlineStr">
        <is>
          <t>15/01/2026, 7:12 pm</t>
        </is>
      </c>
      <c r="E229" s="4" t="inlineStr">
        <is>
          <t>15/01/2026, 7:17 pm</t>
        </is>
      </c>
      <c r="F229" s="4">
        <f>(E229-D229)*24*60</f>
        <v/>
      </c>
      <c r="G229" s="4" t="inlineStr">
        <is>
          <t>PRAGATI BUILDCON</t>
        </is>
      </c>
      <c r="H229" s="4" t="inlineStr">
        <is>
          <t>001fw000006Tu9qAAC</t>
        </is>
      </c>
      <c r="I229" s="4" t="n">
        <v>832108</v>
      </c>
      <c r="J229" s="4" t="inlineStr">
        <is>
          <t>SARAIKELA KHARSAWAN</t>
        </is>
      </c>
      <c r="K229" s="4" t="inlineStr"/>
      <c r="L229" s="4" t="inlineStr">
        <is>
          <t>Retailer PB</t>
        </is>
      </c>
      <c r="M229" s="4" t="inlineStr">
        <is>
          <t>Got future date</t>
        </is>
      </c>
      <c r="N229" s="4" t="inlineStr">
        <is>
          <t>Dealer of panther TMT and RUNGTA TMT. Rates given 61500 landed to the CUSTUMER. Need time for sharing inquiry.</t>
        </is>
      </c>
      <c r="O229" s="4" t="inlineStr">
        <is>
          <t>Will connect us and co ordinate with us for getting inquiry and let us know.</t>
        </is>
      </c>
      <c r="P229" s="4" t="inlineStr">
        <is>
          <t>Dealer of panther TMT and RUNGTA TMT. Rates given 61500 landed to the CUSTUMER. Need time for sharing inquiry. | Will connect us and co ordinate with us for getting inquiry and let us know.</t>
        </is>
      </c>
      <c r="Q229" s="4">
        <f>LEN(TRIM(P229))-LEN(SUBSTITUTE(P229," ",""))+1</f>
        <v/>
      </c>
      <c r="R229" s="4" t="n">
        <v>22.8234542</v>
      </c>
      <c r="S229" s="4" t="n">
        <v>86.0917285</v>
      </c>
      <c r="T229" s="4">
        <f>COUNTIF($G$2:G229,G229)</f>
        <v/>
      </c>
      <c r="U229" s="4">
        <f>IF(F229&lt;5,"YES","NO")</f>
        <v/>
      </c>
      <c r="V229" s="4">
        <f>IF(AND(N229&lt;&gt;"",O229&lt;&gt;""),"YES","NO")</f>
        <v/>
      </c>
      <c r="W229" s="4">
        <f>IF(HOUR(D229)&lt;12,"Morning",IF(HOUR(D229)&lt;17,"Afternoon","Evening"))</f>
        <v/>
      </c>
      <c r="X229" s="4" t="n">
        <v>6</v>
      </c>
      <c r="Y229" s="4">
        <f>IF(F229&lt;5,"&lt;5 min",IF(F229&lt;15,"5-15 min",IF(F229&lt;30,"15-30 min","30+ min")))</f>
        <v/>
      </c>
    </row>
    <row r="230">
      <c r="A230" s="3" t="n">
        <v>46051</v>
      </c>
      <c r="B230" s="4" t="inlineStr">
        <is>
          <t>Thursday</t>
        </is>
      </c>
      <c r="C230" s="4" t="inlineStr">
        <is>
          <t>Jan 26</t>
        </is>
      </c>
      <c r="D230" s="4" t="inlineStr">
        <is>
          <t>29/01/2026, 1:24 pm</t>
        </is>
      </c>
      <c r="E230" s="4" t="inlineStr">
        <is>
          <t>29/01/2026, 1:25 pm</t>
        </is>
      </c>
      <c r="F230" s="4">
        <f>(E230-D230)*24*60</f>
        <v/>
      </c>
      <c r="G230" s="4" t="inlineStr">
        <is>
          <t>PRAGATI BUILDCON</t>
        </is>
      </c>
      <c r="H230" s="4" t="inlineStr">
        <is>
          <t>001fw000006Tu9qAAC</t>
        </is>
      </c>
      <c r="I230" s="4" t="n">
        <v>832108</v>
      </c>
      <c r="J230" s="4" t="inlineStr">
        <is>
          <t>SARAIKELA KHARSAWAN</t>
        </is>
      </c>
      <c r="K230" s="4" t="inlineStr"/>
      <c r="L230" s="4" t="inlineStr">
        <is>
          <t>Retailer PB</t>
        </is>
      </c>
      <c r="M230" s="4" t="inlineStr">
        <is>
          <t>Opportunity generated</t>
        </is>
      </c>
      <c r="N230" s="4" t="inlineStr">
        <is>
          <t>Dealer of panther and RUNGTA TMT. Rates given 64500 landed.. Selling panther @67 landed to customer. Will connect us.</t>
        </is>
      </c>
      <c r="O230" s="4" t="inlineStr">
        <is>
          <t>Rates given for site. Will confirm after custumer confirmation. Need time.</t>
        </is>
      </c>
      <c r="P230" s="4" t="inlineStr">
        <is>
          <t>Dealer of panther and RUNGTA TMT. Rates given 64500 landed.. Selling panther @67 landed to customer. Will connect us. | Rates given for site. Will confirm after custumer confirmation. Need time.</t>
        </is>
      </c>
      <c r="Q230" s="4">
        <f>LEN(TRIM(P230))-LEN(SUBSTITUTE(P230," ",""))+1</f>
        <v/>
      </c>
      <c r="R230" s="4" t="n">
        <v>22.8235606</v>
      </c>
      <c r="S230" s="4" t="n">
        <v>86.09150529999999</v>
      </c>
      <c r="T230" s="4">
        <f>COUNTIF($G$2:G230,G230)</f>
        <v/>
      </c>
      <c r="U230" s="4">
        <f>IF(F230&lt;5,"YES","NO")</f>
        <v/>
      </c>
      <c r="V230" s="4">
        <f>IF(AND(N230&lt;&gt;"",O230&lt;&gt;""),"YES","NO")</f>
        <v/>
      </c>
      <c r="W230" s="4">
        <f>IF(HOUR(D230)&lt;12,"Morning",IF(HOUR(D230)&lt;17,"Afternoon","Evening"))</f>
        <v/>
      </c>
      <c r="X230" s="4" t="n">
        <v>6</v>
      </c>
      <c r="Y230" s="4">
        <f>IF(F230&lt;5,"&lt;5 min",IF(F230&lt;15,"5-15 min",IF(F230&lt;30,"15-30 min","30+ min")))</f>
        <v/>
      </c>
    </row>
    <row r="231">
      <c r="A231" s="3" t="n">
        <v>45971</v>
      </c>
      <c r="B231" s="4" t="inlineStr">
        <is>
          <t>Monday</t>
        </is>
      </c>
      <c r="C231" s="4" t="inlineStr">
        <is>
          <t>Nov 25</t>
        </is>
      </c>
      <c r="D231" s="4" t="inlineStr">
        <is>
          <t>10/11/2025, 6:54 pm</t>
        </is>
      </c>
      <c r="E231" s="4" t="inlineStr">
        <is>
          <t>10/11/2025, 6:57 pm</t>
        </is>
      </c>
      <c r="F231" s="4">
        <f>(E231-D231)*24*60</f>
        <v/>
      </c>
      <c r="G231" s="4" t="inlineStr">
        <is>
          <t>RADHA TRADERS</t>
        </is>
      </c>
      <c r="H231" s="4" t="inlineStr">
        <is>
          <t>001fw00000BlD58AAF</t>
        </is>
      </c>
      <c r="I231" s="4" t="n">
        <v>814112</v>
      </c>
      <c r="J231" s="4" t="inlineStr">
        <is>
          <t>DEOGHAR</t>
        </is>
      </c>
      <c r="K231" s="4" t="inlineStr"/>
      <c r="L231" s="4" t="inlineStr">
        <is>
          <t>Retailer PB</t>
        </is>
      </c>
      <c r="M231" s="4" t="inlineStr">
        <is>
          <t>Account created</t>
        </is>
      </c>
      <c r="N231" s="4" t="inlineStr">
        <is>
          <t>Dealer of Tata tiscon and runta tmt . Rates given 58000 landed to the dealer . Need time.</t>
        </is>
      </c>
      <c r="O231" s="4" t="inlineStr">
        <is>
          <t>Product knowledge and product specifications discussed. Will let us know .</t>
        </is>
      </c>
      <c r="P231" s="4" t="inlineStr">
        <is>
          <t>Dealer of Tata tiscon and runta tmt . Rates given 58000 landed to the dealer . Need time. | Product knowledge and product specifications discussed. Will let us know .</t>
        </is>
      </c>
      <c r="Q231" s="4">
        <f>LEN(TRIM(P231))-LEN(SUBSTITUTE(P231," ",""))+1</f>
        <v/>
      </c>
      <c r="R231" s="4" t="n">
        <v>24.4890646</v>
      </c>
      <c r="S231" s="4" t="n">
        <v>86.6969764</v>
      </c>
      <c r="T231" s="4">
        <f>COUNTIF($G$2:G231,G231)</f>
        <v/>
      </c>
      <c r="U231" s="4">
        <f>IF(F231&lt;5,"YES","NO")</f>
        <v/>
      </c>
      <c r="V231" s="4">
        <f>IF(AND(N231&lt;&gt;"",O231&lt;&gt;""),"YES","NO")</f>
        <v/>
      </c>
      <c r="W231" s="4">
        <f>IF(HOUR(D231)&lt;12,"Morning",IF(HOUR(D231)&lt;17,"Afternoon","Evening"))</f>
        <v/>
      </c>
      <c r="X231" s="4" t="n">
        <v>4</v>
      </c>
      <c r="Y231" s="4">
        <f>IF(F231&lt;5,"&lt;5 min",IF(F231&lt;15,"5-15 min",IF(F231&lt;30,"15-30 min","30+ min")))</f>
        <v/>
      </c>
    </row>
    <row r="232">
      <c r="A232" s="3" t="n">
        <v>45973</v>
      </c>
      <c r="B232" s="4" t="inlineStr">
        <is>
          <t>Wednesday</t>
        </is>
      </c>
      <c r="C232" s="4" t="inlineStr">
        <is>
          <t>Nov 25</t>
        </is>
      </c>
      <c r="D232" s="4" t="inlineStr">
        <is>
          <t>12/11/2025, 1:45 pm</t>
        </is>
      </c>
      <c r="E232" s="4" t="inlineStr">
        <is>
          <t>12/11/2025, 1:47 pm</t>
        </is>
      </c>
      <c r="F232" s="4">
        <f>(E232-D232)*24*60</f>
        <v/>
      </c>
      <c r="G232" s="4" t="inlineStr">
        <is>
          <t>ROYAL TRADERS</t>
        </is>
      </c>
      <c r="H232" s="4" t="inlineStr">
        <is>
          <t>001J100000VnqLvIAJ</t>
        </is>
      </c>
      <c r="I232" s="4" t="n">
        <v>832110</v>
      </c>
      <c r="J232" s="4" t="inlineStr">
        <is>
          <t>East Singhbhum</t>
        </is>
      </c>
      <c r="K232" s="4" t="inlineStr"/>
      <c r="L232" s="4" t="inlineStr">
        <is>
          <t>Retailer PB</t>
        </is>
      </c>
      <c r="M232" s="4" t="inlineStr">
        <is>
          <t>Got future date</t>
        </is>
      </c>
      <c r="N232" s="4" t="inlineStr">
        <is>
          <t>Dealer of rungta tmt and local isi . Rates given 57 delivered to counter. Will share inquiry soon</t>
        </is>
      </c>
      <c r="O232" s="4" t="inlineStr">
        <is>
          <t>Will connect on call when inquiry comes by .</t>
        </is>
      </c>
      <c r="P232" s="4" t="inlineStr">
        <is>
          <t>Dealer of rungta tmt and local isi . Rates given 57 delivered to counter. Will share inquiry soon | Will connect on call when inquiry comes by .</t>
        </is>
      </c>
      <c r="Q232" s="4">
        <f>LEN(TRIM(P232))-LEN(SUBSTITUTE(P232," ",""))+1</f>
        <v/>
      </c>
      <c r="R232" s="4" t="n">
        <v>22.8523337</v>
      </c>
      <c r="S232" s="4" t="n">
        <v>86.2041095</v>
      </c>
      <c r="T232" s="4">
        <f>COUNTIF($G$2:G232,G232)</f>
        <v/>
      </c>
      <c r="U232" s="4">
        <f>IF(F232&lt;5,"YES","NO")</f>
        <v/>
      </c>
      <c r="V232" s="4">
        <f>IF(AND(N232&lt;&gt;"",O232&lt;&gt;""),"YES","NO")</f>
        <v/>
      </c>
      <c r="W232" s="4">
        <f>IF(HOUR(D232)&lt;12,"Morning",IF(HOUR(D232)&lt;17,"Afternoon","Evening"))</f>
        <v/>
      </c>
      <c r="X232" s="4" t="n">
        <v>8</v>
      </c>
      <c r="Y232" s="4">
        <f>IF(F232&lt;5,"&lt;5 min",IF(F232&lt;15,"5-15 min",IF(F232&lt;30,"15-30 min","30+ min")))</f>
        <v/>
      </c>
    </row>
    <row r="233">
      <c r="A233" s="3" t="n">
        <v>45992</v>
      </c>
      <c r="B233" s="4" t="inlineStr">
        <is>
          <t>Monday</t>
        </is>
      </c>
      <c r="C233" s="4" t="inlineStr">
        <is>
          <t>Dec 25</t>
        </is>
      </c>
      <c r="D233" s="4" t="inlineStr">
        <is>
          <t>01/12/2025, 7:19 pm</t>
        </is>
      </c>
      <c r="E233" s="4" t="inlineStr">
        <is>
          <t>01/12/2025, 7:20 pm</t>
        </is>
      </c>
      <c r="F233" s="4">
        <f>(E233-D233)*24*60</f>
        <v/>
      </c>
      <c r="G233" s="4" t="inlineStr">
        <is>
          <t>ROYAL TRADERS</t>
        </is>
      </c>
      <c r="H233" s="4" t="inlineStr">
        <is>
          <t>001J100000VnqLvIAJ</t>
        </is>
      </c>
      <c r="I233" s="4" t="n">
        <v>832110</v>
      </c>
      <c r="J233" s="4" t="inlineStr">
        <is>
          <t>East Singhbhum</t>
        </is>
      </c>
      <c r="K233" s="4" t="inlineStr"/>
      <c r="L233" s="4" t="inlineStr">
        <is>
          <t>Retailer PB</t>
        </is>
      </c>
      <c r="M233" s="4" t="inlineStr">
        <is>
          <t>Got future date</t>
        </is>
      </c>
      <c r="N233" s="4" t="inlineStr">
        <is>
          <t>Dealer of rungta tmt and govinda tmt. Rates 12 mm given 55500 landed to the dealer. Need time for sharing inquiry</t>
        </is>
      </c>
      <c r="O233" s="4" t="inlineStr">
        <is>
          <t>Asking to connect in this weekend for inquiry . Selling rungta @47 landed to custumer.</t>
        </is>
      </c>
      <c r="P233" s="4" t="inlineStr">
        <is>
          <t>Dealer of rungta tmt and govinda tmt. Rates 12 mm given 55500 landed to the dealer. Need time for sharing inquiry | Asking to connect in this weekend for inquiry . Selling rungta @47 landed to custumer.</t>
        </is>
      </c>
      <c r="Q233" s="4">
        <f>LEN(TRIM(P233))-LEN(SUBSTITUTE(P233," ",""))+1</f>
        <v/>
      </c>
      <c r="R233" s="4" t="n">
        <v>22.85212</v>
      </c>
      <c r="S233" s="4" t="n">
        <v>86.2053737</v>
      </c>
      <c r="T233" s="4">
        <f>COUNTIF($G$2:G233,G233)</f>
        <v/>
      </c>
      <c r="U233" s="4">
        <f>IF(F233&lt;5,"YES","NO")</f>
        <v/>
      </c>
      <c r="V233" s="4">
        <f>IF(AND(N233&lt;&gt;"",O233&lt;&gt;""),"YES","NO")</f>
        <v/>
      </c>
      <c r="W233" s="4">
        <f>IF(HOUR(D233)&lt;12,"Morning",IF(HOUR(D233)&lt;17,"Afternoon","Evening"))</f>
        <v/>
      </c>
      <c r="X233" s="4" t="n">
        <v>6</v>
      </c>
      <c r="Y233" s="4">
        <f>IF(F233&lt;5,"&lt;5 min",IF(F233&lt;15,"5-15 min",IF(F233&lt;30,"15-30 min","30+ min")))</f>
        <v/>
      </c>
    </row>
    <row r="234">
      <c r="A234" s="3" t="n">
        <v>46020</v>
      </c>
      <c r="B234" s="4" t="inlineStr">
        <is>
          <t>Monday</t>
        </is>
      </c>
      <c r="C234" s="4" t="inlineStr">
        <is>
          <t>Dec 25</t>
        </is>
      </c>
      <c r="D234" s="4" t="inlineStr">
        <is>
          <t>29/12/2025, 5:56 pm</t>
        </is>
      </c>
      <c r="E234" s="4" t="inlineStr">
        <is>
          <t>29/12/2025, 5:57 pm</t>
        </is>
      </c>
      <c r="F234" s="4">
        <f>(E234-D234)*24*60</f>
        <v/>
      </c>
      <c r="G234" s="4" t="inlineStr">
        <is>
          <t>ROYAL TRADERS</t>
        </is>
      </c>
      <c r="H234" s="4" t="inlineStr">
        <is>
          <t>001J100000VnqLvIAJ</t>
        </is>
      </c>
      <c r="I234" s="4" t="n">
        <v>832110</v>
      </c>
      <c r="J234" s="4" t="inlineStr">
        <is>
          <t>East Singhbhum</t>
        </is>
      </c>
      <c r="K234" s="4" t="inlineStr"/>
      <c r="L234" s="4" t="inlineStr">
        <is>
          <t>Retailer PB</t>
        </is>
      </c>
      <c r="M234" s="4" t="inlineStr">
        <is>
          <t>Got future date</t>
        </is>
      </c>
      <c r="N234" s="4" t="inlineStr">
        <is>
          <t>Dealer of rungta tmt and local isi. Rates given 57000 to the dealer.</t>
        </is>
      </c>
      <c r="O234" s="4" t="inlineStr">
        <is>
          <t>Will connect on inquiry need time for the same.</t>
        </is>
      </c>
      <c r="P234" s="4" t="inlineStr">
        <is>
          <t>Dealer of rungta tmt and local isi. Rates given 57000 to the dealer. | Will connect on inquiry need time for the same.</t>
        </is>
      </c>
      <c r="Q234" s="4">
        <f>LEN(TRIM(P234))-LEN(SUBSTITUTE(P234," ",""))+1</f>
        <v/>
      </c>
      <c r="R234" s="4" t="n">
        <v>22.8523632</v>
      </c>
      <c r="S234" s="4" t="n">
        <v>86.2041401</v>
      </c>
      <c r="T234" s="4">
        <f>COUNTIF($G$2:G234,G234)</f>
        <v/>
      </c>
      <c r="U234" s="4">
        <f>IF(F234&lt;5,"YES","NO")</f>
        <v/>
      </c>
      <c r="V234" s="4">
        <f>IF(AND(N234&lt;&gt;"",O234&lt;&gt;""),"YES","NO")</f>
        <v/>
      </c>
      <c r="W234" s="4">
        <f>IF(HOUR(D234)&lt;12,"Morning",IF(HOUR(D234)&lt;17,"Afternoon","Evening"))</f>
        <v/>
      </c>
      <c r="X234" s="4" t="n">
        <v>6</v>
      </c>
      <c r="Y234" s="4">
        <f>IF(F234&lt;5,"&lt;5 min",IF(F234&lt;15,"5-15 min",IF(F234&lt;30,"15-30 min","30+ min")))</f>
        <v/>
      </c>
    </row>
    <row r="235">
      <c r="A235" s="3" t="n">
        <v>46030</v>
      </c>
      <c r="B235" s="4" t="inlineStr">
        <is>
          <t>Thursday</t>
        </is>
      </c>
      <c r="C235" s="4" t="inlineStr">
        <is>
          <t>Jan 26</t>
        </is>
      </c>
      <c r="D235" s="4" t="inlineStr">
        <is>
          <t>08/01/2026, 6:55 pm</t>
        </is>
      </c>
      <c r="E235" s="4" t="inlineStr">
        <is>
          <t>08/01/2026, 6:58 pm</t>
        </is>
      </c>
      <c r="F235" s="4">
        <f>(E235-D235)*24*60</f>
        <v/>
      </c>
      <c r="G235" s="4" t="inlineStr">
        <is>
          <t>ROYAL TRADERS</t>
        </is>
      </c>
      <c r="H235" s="4" t="inlineStr">
        <is>
          <t>001J100000VnqLvIAJ</t>
        </is>
      </c>
      <c r="I235" s="4" t="n">
        <v>832110</v>
      </c>
      <c r="J235" s="4" t="inlineStr">
        <is>
          <t>East Singhbhum</t>
        </is>
      </c>
      <c r="K235" s="4" t="inlineStr"/>
      <c r="L235" s="4" t="inlineStr">
        <is>
          <t>Retailer PB</t>
        </is>
      </c>
      <c r="M235" s="4" t="inlineStr">
        <is>
          <t>Got future date</t>
        </is>
      </c>
      <c r="N235" s="4" t="inlineStr">
        <is>
          <t>Dealer of RUNGTA and govinda tmt. Rates given 59500 landed to the CUSTUMER.</t>
        </is>
      </c>
      <c r="O235" s="4" t="inlineStr">
        <is>
          <t>Will share inquiries in next week. Will connect us on inquiry.</t>
        </is>
      </c>
      <c r="P235" s="4" t="inlineStr">
        <is>
          <t>Dealer of RUNGTA and govinda tmt. Rates given 59500 landed to the CUSTUMER. | Will share inquiries in next week. Will connect us on inquiry.</t>
        </is>
      </c>
      <c r="Q235" s="4">
        <f>LEN(TRIM(P235))-LEN(SUBSTITUTE(P235," ",""))+1</f>
        <v/>
      </c>
      <c r="R235" s="4" t="n">
        <v>22.8523698</v>
      </c>
      <c r="S235" s="4" t="n">
        <v>86.2040514</v>
      </c>
      <c r="T235" s="4">
        <f>COUNTIF($G$2:G235,G235)</f>
        <v/>
      </c>
      <c r="U235" s="4">
        <f>IF(F235&lt;5,"YES","NO")</f>
        <v/>
      </c>
      <c r="V235" s="4">
        <f>IF(AND(N235&lt;&gt;"",O235&lt;&gt;""),"YES","NO")</f>
        <v/>
      </c>
      <c r="W235" s="4">
        <f>IF(HOUR(D235)&lt;12,"Morning",IF(HOUR(D235)&lt;17,"Afternoon","Evening"))</f>
        <v/>
      </c>
      <c r="X235" s="4" t="n">
        <v>7</v>
      </c>
      <c r="Y235" s="4">
        <f>IF(F235&lt;5,"&lt;5 min",IF(F235&lt;15,"5-15 min",IF(F235&lt;30,"15-30 min","30+ min")))</f>
        <v/>
      </c>
    </row>
    <row r="236">
      <c r="A236" s="3" t="n">
        <v>45965</v>
      </c>
      <c r="B236" s="4" t="inlineStr">
        <is>
          <t>Tuesday</t>
        </is>
      </c>
      <c r="C236" s="4" t="inlineStr">
        <is>
          <t>Nov 25</t>
        </is>
      </c>
      <c r="D236" s="4" t="inlineStr">
        <is>
          <t>04/11/2025, 5:25 pm</t>
        </is>
      </c>
      <c r="E236" s="4" t="inlineStr">
        <is>
          <t>04/11/2025, 5:26 pm</t>
        </is>
      </c>
      <c r="F236" s="4">
        <f>(E236-D236)*24*60</f>
        <v/>
      </c>
      <c r="G236" s="4" t="inlineStr">
        <is>
          <t>Radius tech</t>
        </is>
      </c>
      <c r="H236" s="4" t="inlineStr">
        <is>
          <t>001fw000009adqYAAQ</t>
        </is>
      </c>
      <c r="I236" s="4" t="n">
        <v>831011</v>
      </c>
      <c r="J236" s="4" t="inlineStr">
        <is>
          <t>EAST SINGHBUM</t>
        </is>
      </c>
      <c r="K236" s="4" t="inlineStr"/>
      <c r="L236" s="4" t="inlineStr">
        <is>
          <t>Influencer</t>
        </is>
      </c>
      <c r="M236" s="4" t="inlineStr">
        <is>
          <t>Got future date</t>
        </is>
      </c>
      <c r="N236" s="4" t="inlineStr">
        <is>
          <t>Influencer and architect of ihb projects. Rates given 46000 basic ex gst delivered. Need inquiry from sutures.</t>
        </is>
      </c>
      <c r="O236" s="4" t="inlineStr">
        <is>
          <t>No inquiry now will give inquiry soon once received from customer.</t>
        </is>
      </c>
      <c r="P236" s="4" t="inlineStr">
        <is>
          <t>Influencer and architect of ihb projects. Rates given 46000 basic ex gst delivered. Need inquiry from sutures. | No inquiry now will give inquiry soon once received from customer.</t>
        </is>
      </c>
      <c r="Q236" s="4">
        <f>LEN(TRIM(P236))-LEN(SUBSTITUTE(P236," ",""))+1</f>
        <v/>
      </c>
      <c r="R236" s="4" t="n">
        <v>22.8073762</v>
      </c>
      <c r="S236" s="4" t="n">
        <v>86.2220483</v>
      </c>
      <c r="T236" s="4">
        <f>COUNTIF($G$2:G236,G236)</f>
        <v/>
      </c>
      <c r="U236" s="4">
        <f>IF(F236&lt;5,"YES","NO")</f>
        <v/>
      </c>
      <c r="V236" s="4">
        <f>IF(AND(N236&lt;&gt;"",O236&lt;&gt;""),"YES","NO")</f>
        <v/>
      </c>
      <c r="W236" s="4">
        <f>IF(HOUR(D236)&lt;12,"Morning",IF(HOUR(D236)&lt;17,"Afternoon","Evening"))</f>
        <v/>
      </c>
      <c r="X236" s="4" t="n">
        <v>7</v>
      </c>
      <c r="Y236" s="4">
        <f>IF(F236&lt;5,"&lt;5 min",IF(F236&lt;15,"5-15 min",IF(F236&lt;30,"15-30 min","30+ min")))</f>
        <v/>
      </c>
    </row>
    <row r="237">
      <c r="A237" s="3" t="n">
        <v>45969</v>
      </c>
      <c r="B237" s="4" t="inlineStr">
        <is>
          <t>Saturday</t>
        </is>
      </c>
      <c r="C237" s="4" t="inlineStr">
        <is>
          <t>Nov 25</t>
        </is>
      </c>
      <c r="D237" s="4" t="inlineStr">
        <is>
          <t>08/11/2025, 6:47 pm</t>
        </is>
      </c>
      <c r="E237" s="4" t="inlineStr">
        <is>
          <t>08/11/2025, 6:50 pm</t>
        </is>
      </c>
      <c r="F237" s="4">
        <f>(E237-D237)*24*60</f>
        <v/>
      </c>
      <c r="G237" s="4" t="inlineStr">
        <is>
          <t>Radius tech</t>
        </is>
      </c>
      <c r="H237" s="4" t="inlineStr">
        <is>
          <t>001fw000009adqYAAQ</t>
        </is>
      </c>
      <c r="I237" s="4" t="n">
        <v>831011</v>
      </c>
      <c r="J237" s="4" t="inlineStr">
        <is>
          <t>EAST SINGHBUM</t>
        </is>
      </c>
      <c r="K237" s="4" t="inlineStr"/>
      <c r="L237" s="4" t="inlineStr">
        <is>
          <t>Influencer</t>
        </is>
      </c>
      <c r="M237" s="4" t="inlineStr">
        <is>
          <t>Got future date</t>
        </is>
      </c>
      <c r="N237" s="4" t="inlineStr">
        <is>
          <t>Contractor and engineer of ihb and commercial projects.  Tata steel and rungta tmt .</t>
        </is>
      </c>
      <c r="O237" s="4" t="inlineStr">
        <is>
          <t>Rates given 57000 landed to the customer. Will pass us the inquiry when it comes.</t>
        </is>
      </c>
      <c r="P237" s="4" t="inlineStr">
        <is>
          <t>Contractor and engineer of ihb and commercial projects.  Tata steel and rungta tmt . | Rates given 57000 landed to the customer. Will pass us the inquiry when it comes.</t>
        </is>
      </c>
      <c r="Q237" s="4">
        <f>LEN(TRIM(P237))-LEN(SUBSTITUTE(P237," ",""))+1</f>
        <v/>
      </c>
      <c r="R237" s="4" t="n">
        <v>22.8067624</v>
      </c>
      <c r="S237" s="4" t="n">
        <v>86.2223214</v>
      </c>
      <c r="T237" s="4">
        <f>COUNTIF($G$2:G237,G237)</f>
        <v/>
      </c>
      <c r="U237" s="4">
        <f>IF(F237&lt;5,"YES","NO")</f>
        <v/>
      </c>
      <c r="V237" s="4">
        <f>IF(AND(N237&lt;&gt;"",O237&lt;&gt;""),"YES","NO")</f>
        <v/>
      </c>
      <c r="W237" s="4">
        <f>IF(HOUR(D237)&lt;12,"Morning",IF(HOUR(D237)&lt;17,"Afternoon","Evening"))</f>
        <v/>
      </c>
      <c r="X237" s="4" t="n">
        <v>5</v>
      </c>
      <c r="Y237" s="4">
        <f>IF(F237&lt;5,"&lt;5 min",IF(F237&lt;15,"5-15 min",IF(F237&lt;30,"15-30 min","30+ min")))</f>
        <v/>
      </c>
    </row>
    <row r="238">
      <c r="A238" s="3" t="n">
        <v>45981</v>
      </c>
      <c r="B238" s="4" t="inlineStr">
        <is>
          <t>Thursday</t>
        </is>
      </c>
      <c r="C238" s="4" t="inlineStr">
        <is>
          <t>Nov 25</t>
        </is>
      </c>
      <c r="D238" s="4" t="inlineStr">
        <is>
          <t>20/11/2025, 5:21 pm</t>
        </is>
      </c>
      <c r="E238" s="4" t="inlineStr">
        <is>
          <t>20/11/2025, 5:21 pm</t>
        </is>
      </c>
      <c r="F238" s="4">
        <f>(E238-D238)*24*60</f>
        <v/>
      </c>
      <c r="G238" s="4" t="inlineStr">
        <is>
          <t>Radius tech</t>
        </is>
      </c>
      <c r="H238" s="4" t="inlineStr">
        <is>
          <t>001fw000009adqYAAQ</t>
        </is>
      </c>
      <c r="I238" s="4" t="n">
        <v>831011</v>
      </c>
      <c r="J238" s="4" t="inlineStr">
        <is>
          <t>EAST SINGHBUM</t>
        </is>
      </c>
      <c r="K238" s="4" t="inlineStr"/>
      <c r="L238" s="4" t="inlineStr">
        <is>
          <t>Influencer</t>
        </is>
      </c>
      <c r="M238" s="4" t="inlineStr">
        <is>
          <t>Got future date</t>
        </is>
      </c>
      <c r="N238" s="4" t="inlineStr">
        <is>
          <t>Contractor and archietect of commercial and ihb projects . Using tiscon and rungta. Rates given 54000 landed to the dealer.</t>
        </is>
      </c>
      <c r="O238" s="4" t="inlineStr">
        <is>
          <t>Need time to share inquiry . Will connect us later.</t>
        </is>
      </c>
      <c r="P238" s="4" t="inlineStr">
        <is>
          <t>Contractor and archietect of commercial and ihb projects . Using tiscon and rungta. Rates given 54000 landed to the dealer. | Need time to share inquiry . Will connect us later.</t>
        </is>
      </c>
      <c r="Q238" s="4">
        <f>LEN(TRIM(P238))-LEN(SUBSTITUTE(P238," ",""))+1</f>
        <v/>
      </c>
      <c r="R238" s="4" t="n">
        <v>22.8107224</v>
      </c>
      <c r="S238" s="4" t="n">
        <v>86.2184463</v>
      </c>
      <c r="T238" s="4">
        <f>COUNTIF($G$2:G238,G238)</f>
        <v/>
      </c>
      <c r="U238" s="4">
        <f>IF(F238&lt;5,"YES","NO")</f>
        <v/>
      </c>
      <c r="V238" s="4">
        <f>IF(AND(N238&lt;&gt;"",O238&lt;&gt;""),"YES","NO")</f>
        <v/>
      </c>
      <c r="W238" s="4">
        <f>IF(HOUR(D238)&lt;12,"Morning",IF(HOUR(D238)&lt;17,"Afternoon","Evening"))</f>
        <v/>
      </c>
      <c r="X238" s="4" t="n">
        <v>6</v>
      </c>
      <c r="Y238" s="4">
        <f>IF(F238&lt;5,"&lt;5 min",IF(F238&lt;15,"5-15 min",IF(F238&lt;30,"15-30 min","30+ min")))</f>
        <v/>
      </c>
    </row>
    <row r="239">
      <c r="A239" s="3" t="n">
        <v>46010</v>
      </c>
      <c r="B239" s="4" t="inlineStr">
        <is>
          <t>Friday</t>
        </is>
      </c>
      <c r="C239" s="4" t="inlineStr">
        <is>
          <t>Dec 25</t>
        </is>
      </c>
      <c r="D239" s="4" t="inlineStr">
        <is>
          <t>19/12/2025, 3:50 pm</t>
        </is>
      </c>
      <c r="E239" s="4" t="inlineStr">
        <is>
          <t>19/12/2025, 3:53 pm</t>
        </is>
      </c>
      <c r="F239" s="4">
        <f>(E239-D239)*24*60</f>
        <v/>
      </c>
      <c r="G239" s="4" t="inlineStr">
        <is>
          <t>Radius tech</t>
        </is>
      </c>
      <c r="H239" s="4" t="inlineStr">
        <is>
          <t>001fw000009adqYAAQ</t>
        </is>
      </c>
      <c r="I239" s="4" t="n">
        <v>831011</v>
      </c>
      <c r="J239" s="4" t="inlineStr">
        <is>
          <t>EAST SINGHBUM</t>
        </is>
      </c>
      <c r="K239" s="4" t="inlineStr"/>
      <c r="L239" s="4" t="inlineStr">
        <is>
          <t>Influencer</t>
        </is>
      </c>
      <c r="M239" s="4" t="inlineStr">
        <is>
          <t>Got future date</t>
        </is>
      </c>
      <c r="N239" s="4" t="inlineStr">
        <is>
          <t>Ihb contractor using rungta and shyam steel. Will connect us. Rates given 57000 landed to the custumer .</t>
        </is>
      </c>
      <c r="O239" s="4" t="inlineStr">
        <is>
          <t>Will connect us when demand comes by to them .</t>
        </is>
      </c>
      <c r="P239" s="4" t="inlineStr">
        <is>
          <t>Ihb contractor using rungta and shyam steel. Will connect us. Rates given 57000 landed to the custumer . | Will connect us when demand comes by to them .</t>
        </is>
      </c>
      <c r="Q239" s="4">
        <f>LEN(TRIM(P239))-LEN(SUBSTITUTE(P239," ",""))+1</f>
        <v/>
      </c>
      <c r="R239" s="4" t="n">
        <v>22.8071893</v>
      </c>
      <c r="S239" s="4" t="n">
        <v>86.2224532</v>
      </c>
      <c r="T239" s="4">
        <f>COUNTIF($G$2:G239,G239)</f>
        <v/>
      </c>
      <c r="U239" s="4">
        <f>IF(F239&lt;5,"YES","NO")</f>
        <v/>
      </c>
      <c r="V239" s="4">
        <f>IF(AND(N239&lt;&gt;"",O239&lt;&gt;""),"YES","NO")</f>
        <v/>
      </c>
      <c r="W239" s="4">
        <f>IF(HOUR(D239)&lt;12,"Morning",IF(HOUR(D239)&lt;17,"Afternoon","Evening"))</f>
        <v/>
      </c>
      <c r="X239" s="4" t="n">
        <v>7</v>
      </c>
      <c r="Y239" s="4">
        <f>IF(F239&lt;5,"&lt;5 min",IF(F239&lt;15,"5-15 min",IF(F239&lt;30,"15-30 min","30+ min")))</f>
        <v/>
      </c>
    </row>
    <row r="240">
      <c r="A240" s="3" t="n">
        <v>46036</v>
      </c>
      <c r="B240" s="4" t="inlineStr">
        <is>
          <t>Wednesday</t>
        </is>
      </c>
      <c r="C240" s="4" t="inlineStr">
        <is>
          <t>Jan 26</t>
        </is>
      </c>
      <c r="D240" s="4" t="inlineStr">
        <is>
          <t>14/01/2026, 7:45 pm</t>
        </is>
      </c>
      <c r="E240" s="4" t="inlineStr">
        <is>
          <t>14/01/2026, 7:49 pm</t>
        </is>
      </c>
      <c r="F240" s="4">
        <f>(E240-D240)*24*60</f>
        <v/>
      </c>
      <c r="G240" s="4" t="inlineStr">
        <is>
          <t>Radius tech</t>
        </is>
      </c>
      <c r="H240" s="4" t="inlineStr">
        <is>
          <t>001fw000009adqYAAQ</t>
        </is>
      </c>
      <c r="I240" s="4" t="n">
        <v>831011</v>
      </c>
      <c r="J240" s="4" t="inlineStr">
        <is>
          <t>EAST SINGHBUM</t>
        </is>
      </c>
      <c r="K240" s="4" t="inlineStr"/>
      <c r="L240" s="4" t="inlineStr">
        <is>
          <t>Influencer</t>
        </is>
      </c>
      <c r="M240" s="4" t="inlineStr">
        <is>
          <t>Got future date</t>
        </is>
      </c>
      <c r="N240" s="4" t="inlineStr">
        <is>
          <t>IHB CONTRACTOR USING RUNGTA TMT and shyam steel. Rates given 61500 landed to him. Will connect us.</t>
        </is>
      </c>
      <c r="O240" s="4" t="inlineStr">
        <is>
          <t>Will connect us on inquiry received from end of customer within this month.</t>
        </is>
      </c>
      <c r="P240" s="4" t="inlineStr">
        <is>
          <t>IHB CONTRACTOR USING RUNGTA TMT and shyam steel. Rates given 61500 landed to him. Will connect us. | Will connect us on inquiry received from end of customer within this month.</t>
        </is>
      </c>
      <c r="Q240" s="4">
        <f>LEN(TRIM(P240))-LEN(SUBSTITUTE(P240," ",""))+1</f>
        <v/>
      </c>
      <c r="R240" s="4" t="n">
        <v>22.8121289</v>
      </c>
      <c r="S240" s="4" t="n">
        <v>86.21513710000001</v>
      </c>
      <c r="T240" s="4">
        <f>COUNTIF($G$2:G240,G240)</f>
        <v/>
      </c>
      <c r="U240" s="4">
        <f>IF(F240&lt;5,"YES","NO")</f>
        <v/>
      </c>
      <c r="V240" s="4">
        <f>IF(AND(N240&lt;&gt;"",O240&lt;&gt;""),"YES","NO")</f>
        <v/>
      </c>
      <c r="W240" s="4">
        <f>IF(HOUR(D240)&lt;12,"Morning",IF(HOUR(D240)&lt;17,"Afternoon","Evening"))</f>
        <v/>
      </c>
      <c r="X240" s="4" t="n">
        <v>6</v>
      </c>
      <c r="Y240" s="4">
        <f>IF(F240&lt;5,"&lt;5 min",IF(F240&lt;15,"5-15 min",IF(F240&lt;30,"15-30 min","30+ min")))</f>
        <v/>
      </c>
    </row>
    <row r="241">
      <c r="A241" s="3" t="n">
        <v>46038</v>
      </c>
      <c r="B241" s="4" t="inlineStr">
        <is>
          <t>Friday</t>
        </is>
      </c>
      <c r="C241" s="4" t="inlineStr">
        <is>
          <t>Jan 26</t>
        </is>
      </c>
      <c r="D241" s="4" t="inlineStr">
        <is>
          <t>16/01/2026, 3:52 pm</t>
        </is>
      </c>
      <c r="E241" s="4" t="inlineStr">
        <is>
          <t>16/01/2026, 3:53 pm</t>
        </is>
      </c>
      <c r="F241" s="4">
        <f>(E241-D241)*24*60</f>
        <v/>
      </c>
      <c r="G241" s="4" t="inlineStr">
        <is>
          <t>Radius tech</t>
        </is>
      </c>
      <c r="H241" s="4" t="inlineStr">
        <is>
          <t>001fw000009adqYAAQ</t>
        </is>
      </c>
      <c r="I241" s="4" t="n">
        <v>831011</v>
      </c>
      <c r="J241" s="4" t="inlineStr">
        <is>
          <t>EAST SINGHBUM</t>
        </is>
      </c>
      <c r="K241" s="4" t="inlineStr"/>
      <c r="L241" s="4" t="inlineStr">
        <is>
          <t>Influencer</t>
        </is>
      </c>
      <c r="M241" s="4" t="inlineStr">
        <is>
          <t>Got future date</t>
        </is>
      </c>
      <c r="N241" s="4" t="inlineStr">
        <is>
          <t>IHB CONTRACTOR USING RUNGTA TMT and shyam steel. Rates given 61500 landed to the CUSTUMER.</t>
        </is>
      </c>
      <c r="O241" s="4" t="inlineStr">
        <is>
          <t>Will connect us on inquiry. Purchasing rungta @ 43000 basic. Need time.</t>
        </is>
      </c>
      <c r="P241" s="4" t="inlineStr">
        <is>
          <t>IHB CONTRACTOR USING RUNGTA TMT and shyam steel. Rates given 61500 landed to the CUSTUMER. | Will connect us on inquiry. Purchasing rungta @ 43000 basic. Need time.</t>
        </is>
      </c>
      <c r="Q241" s="4">
        <f>LEN(TRIM(P241))-LEN(SUBSTITUTE(P241," ",""))+1</f>
        <v/>
      </c>
      <c r="R241" s="4" t="n">
        <v>22.812173</v>
      </c>
      <c r="S241" s="4" t="n">
        <v>86.2151887</v>
      </c>
      <c r="T241" s="4">
        <f>COUNTIF($G$2:G241,G241)</f>
        <v/>
      </c>
      <c r="U241" s="4">
        <f>IF(F241&lt;5,"YES","NO")</f>
        <v/>
      </c>
      <c r="V241" s="4">
        <f>IF(AND(N241&lt;&gt;"",O241&lt;&gt;""),"YES","NO")</f>
        <v/>
      </c>
      <c r="W241" s="4">
        <f>IF(HOUR(D241)&lt;12,"Morning",IF(HOUR(D241)&lt;17,"Afternoon","Evening"))</f>
        <v/>
      </c>
      <c r="X241" s="4" t="n">
        <v>6</v>
      </c>
      <c r="Y241" s="4">
        <f>IF(F241&lt;5,"&lt;5 min",IF(F241&lt;15,"5-15 min",IF(F241&lt;30,"15-30 min","30+ min")))</f>
        <v/>
      </c>
    </row>
    <row r="242">
      <c r="A242" s="3" t="n">
        <v>46052</v>
      </c>
      <c r="B242" s="4" t="inlineStr">
        <is>
          <t>Friday</t>
        </is>
      </c>
      <c r="C242" s="4" t="inlineStr">
        <is>
          <t>Jan 26</t>
        </is>
      </c>
      <c r="D242" s="4" t="inlineStr">
        <is>
          <t>30/01/2026, 4:37 pm</t>
        </is>
      </c>
      <c r="E242" s="4" t="inlineStr">
        <is>
          <t>30/01/2026, 4:39 pm</t>
        </is>
      </c>
      <c r="F242" s="4">
        <f>(E242-D242)*24*60</f>
        <v/>
      </c>
      <c r="G242" s="4" t="inlineStr">
        <is>
          <t>Radius tech</t>
        </is>
      </c>
      <c r="H242" s="4" t="inlineStr">
        <is>
          <t>001fw000009adqYAAQ</t>
        </is>
      </c>
      <c r="I242" s="4" t="n">
        <v>831011</v>
      </c>
      <c r="J242" s="4" t="inlineStr">
        <is>
          <t>EAST SINGHBUM</t>
        </is>
      </c>
      <c r="K242" s="4" t="inlineStr"/>
      <c r="L242" s="4" t="inlineStr">
        <is>
          <t>Influencer</t>
        </is>
      </c>
      <c r="M242" s="4" t="inlineStr">
        <is>
          <t>Opportunity generated</t>
        </is>
      </c>
      <c r="N242" s="4" t="inlineStr">
        <is>
          <t>IHB CONTRACTOR USING RUNGTA TMT and kamdhenu TMT. Rates given 64500 landed. Will Co ordinate with his on site custumer.</t>
        </is>
      </c>
      <c r="O242" s="4" t="inlineStr">
        <is>
          <t>Will share inquiries with us. Co ordinate on site will let us know.</t>
        </is>
      </c>
      <c r="P242" s="4" t="inlineStr">
        <is>
          <t>IHB CONTRACTOR USING RUNGTA TMT and kamdhenu TMT. Rates given 64500 landed. Will Co ordinate with his on site custumer. | Will share inquiries with us. Co ordinate on site will let us know.</t>
        </is>
      </c>
      <c r="Q242" s="4">
        <f>LEN(TRIM(P242))-LEN(SUBSTITUTE(P242," ",""))+1</f>
        <v/>
      </c>
      <c r="R242" s="4" t="n">
        <v>22.8121134</v>
      </c>
      <c r="S242" s="4" t="n">
        <v>86.2151276</v>
      </c>
      <c r="T242" s="4">
        <f>COUNTIF($G$2:G242,G242)</f>
        <v/>
      </c>
      <c r="U242" s="4">
        <f>IF(F242&lt;5,"YES","NO")</f>
        <v/>
      </c>
      <c r="V242" s="4">
        <f>IF(AND(N242&lt;&gt;"",O242&lt;&gt;""),"YES","NO")</f>
        <v/>
      </c>
      <c r="W242" s="4">
        <f>IF(HOUR(D242)&lt;12,"Morning",IF(HOUR(D242)&lt;17,"Afternoon","Evening"))</f>
        <v/>
      </c>
      <c r="X242" s="4" t="n">
        <v>6</v>
      </c>
      <c r="Y242" s="4">
        <f>IF(F242&lt;5,"&lt;5 min",IF(F242&lt;15,"5-15 min",IF(F242&lt;30,"15-30 min","30+ min")))</f>
        <v/>
      </c>
    </row>
    <row r="243">
      <c r="A243" s="3" t="n">
        <v>46031</v>
      </c>
      <c r="B243" s="4" t="inlineStr">
        <is>
          <t>Friday</t>
        </is>
      </c>
      <c r="C243" s="4" t="inlineStr">
        <is>
          <t>Jan 26</t>
        </is>
      </c>
      <c r="D243" s="4" t="inlineStr">
        <is>
          <t>09/01/2026, 3:25 pm</t>
        </is>
      </c>
      <c r="E243" s="4" t="inlineStr">
        <is>
          <t>09/01/2026, 3:27 pm</t>
        </is>
      </c>
      <c r="F243" s="4">
        <f>(E243-D243)*24*60</f>
        <v/>
      </c>
      <c r="G243" s="4" t="inlineStr">
        <is>
          <t>Real india engineers and contractors</t>
        </is>
      </c>
      <c r="H243" s="4" t="inlineStr">
        <is>
          <t>001fw000007qJkEAAU</t>
        </is>
      </c>
      <c r="I243" s="4" t="n">
        <v>832109</v>
      </c>
      <c r="J243" s="4" t="inlineStr">
        <is>
          <t>SARAIKELA KHARSAWAN</t>
        </is>
      </c>
      <c r="K243" s="4" t="inlineStr"/>
      <c r="L243" s="4" t="inlineStr">
        <is>
          <t>Influencer</t>
        </is>
      </c>
      <c r="M243" s="4" t="inlineStr">
        <is>
          <t>Got future date</t>
        </is>
      </c>
      <c r="N243" s="4" t="inlineStr">
        <is>
          <t>IHB CONTRACTOR USING RUNGTA TMT and kamdhenu TMT. Rates given 59500 landed to the CUSTUMER.</t>
        </is>
      </c>
      <c r="O243" s="4" t="inlineStr">
        <is>
          <t>For tmt he will connect us. Rates given will be discussing quality with customers and inform us.</t>
        </is>
      </c>
      <c r="P243" s="4" t="inlineStr">
        <is>
          <t>IHB CONTRACTOR USING RUNGTA TMT and kamdhenu TMT. Rates given 59500 landed to the CUSTUMER. | For tmt he will connect us. Rates given will be discussing quality with customers and inform us.</t>
        </is>
      </c>
      <c r="Q243" s="4">
        <f>LEN(TRIM(P243))-LEN(SUBSTITUTE(P243," ",""))+1</f>
        <v/>
      </c>
      <c r="R243" s="4" t="n">
        <v>22.8101317</v>
      </c>
      <c r="S243" s="4" t="n">
        <v>86.21888559999999</v>
      </c>
      <c r="T243" s="4">
        <f>COUNTIF($G$2:G243,G243)</f>
        <v/>
      </c>
      <c r="U243" s="4">
        <f>IF(F243&lt;5,"YES","NO")</f>
        <v/>
      </c>
      <c r="V243" s="4">
        <f>IF(AND(N243&lt;&gt;"",O243&lt;&gt;""),"YES","NO")</f>
        <v/>
      </c>
      <c r="W243" s="4">
        <f>IF(HOUR(D243)&lt;12,"Morning",IF(HOUR(D243)&lt;17,"Afternoon","Evening"))</f>
        <v/>
      </c>
      <c r="X243" s="4" t="n">
        <v>6</v>
      </c>
      <c r="Y243" s="4">
        <f>IF(F243&lt;5,"&lt;5 min",IF(F243&lt;15,"5-15 min",IF(F243&lt;30,"15-30 min","30+ min")))</f>
        <v/>
      </c>
    </row>
    <row r="244">
      <c r="A244" s="3" t="n">
        <v>46035</v>
      </c>
      <c r="B244" s="4" t="inlineStr">
        <is>
          <t>Tuesday</t>
        </is>
      </c>
      <c r="C244" s="4" t="inlineStr">
        <is>
          <t>Jan 26</t>
        </is>
      </c>
      <c r="D244" s="4" t="inlineStr">
        <is>
          <t>13/01/2026, 7:28 pm</t>
        </is>
      </c>
      <c r="E244" s="4" t="inlineStr">
        <is>
          <t>13/01/2026, 7:29 pm</t>
        </is>
      </c>
      <c r="F244" s="4">
        <f>(E244-D244)*24*60</f>
        <v/>
      </c>
      <c r="G244" s="4" t="inlineStr">
        <is>
          <t>Real india engineers and contractors</t>
        </is>
      </c>
      <c r="H244" s="4" t="inlineStr">
        <is>
          <t>001fw000007qJkEAAU</t>
        </is>
      </c>
      <c r="I244" s="4" t="n">
        <v>832109</v>
      </c>
      <c r="J244" s="4" t="inlineStr">
        <is>
          <t>SARAIKELA KHARSAWAN</t>
        </is>
      </c>
      <c r="K244" s="4" t="inlineStr"/>
      <c r="L244" s="4" t="inlineStr">
        <is>
          <t>Influencer</t>
        </is>
      </c>
      <c r="M244" s="4" t="inlineStr">
        <is>
          <t>Got future date</t>
        </is>
      </c>
      <c r="N244" s="4" t="inlineStr">
        <is>
          <t>IHB and commercial project contractor. Using panther rungta tmt. Rates given 61500 landed to the CUSTUMER.</t>
        </is>
      </c>
      <c r="O244" s="4" t="inlineStr">
        <is>
          <t>Will connect us on inquiry. Need time for sharing inquiry to us.</t>
        </is>
      </c>
      <c r="P244" s="4" t="inlineStr">
        <is>
          <t>IHB and commercial project contractor. Using panther rungta tmt. Rates given 61500 landed to the CUSTUMER. | Will connect us on inquiry. Need time for sharing inquiry to us.</t>
        </is>
      </c>
      <c r="Q244" s="4">
        <f>LEN(TRIM(P244))-LEN(SUBSTITUTE(P244," ",""))+1</f>
        <v/>
      </c>
      <c r="R244" s="4" t="n">
        <v>22.8122757</v>
      </c>
      <c r="S244" s="4" t="n">
        <v>86.2155312</v>
      </c>
      <c r="T244" s="4">
        <f>COUNTIF($G$2:G244,G244)</f>
        <v/>
      </c>
      <c r="U244" s="4">
        <f>IF(F244&lt;5,"YES","NO")</f>
        <v/>
      </c>
      <c r="V244" s="4">
        <f>IF(AND(N244&lt;&gt;"",O244&lt;&gt;""),"YES","NO")</f>
        <v/>
      </c>
      <c r="W244" s="4">
        <f>IF(HOUR(D244)&lt;12,"Morning",IF(HOUR(D244)&lt;17,"Afternoon","Evening"))</f>
        <v/>
      </c>
      <c r="X244" s="4" t="n">
        <v>6</v>
      </c>
      <c r="Y244" s="4">
        <f>IF(F244&lt;5,"&lt;5 min",IF(F244&lt;15,"5-15 min",IF(F244&lt;30,"15-30 min","30+ min")))</f>
        <v/>
      </c>
    </row>
    <row r="245">
      <c r="A245" s="3" t="n">
        <v>45973</v>
      </c>
      <c r="B245" s="4" t="inlineStr">
        <is>
          <t>Wednesday</t>
        </is>
      </c>
      <c r="C245" s="4" t="inlineStr">
        <is>
          <t>Nov 25</t>
        </is>
      </c>
      <c r="D245" s="4" t="inlineStr">
        <is>
          <t>12/11/2025, 1:37 pm</t>
        </is>
      </c>
      <c r="E245" s="4" t="inlineStr">
        <is>
          <t>12/11/2025, 1:38 pm</t>
        </is>
      </c>
      <c r="F245" s="4">
        <f>(E245-D245)*24*60</f>
        <v/>
      </c>
      <c r="G245" s="4" t="inlineStr">
        <is>
          <t>S T C ASSOCIATES</t>
        </is>
      </c>
      <c r="H245" s="4" t="inlineStr">
        <is>
          <t>001fw000005QMdEAAW</t>
        </is>
      </c>
      <c r="I245" s="4" t="n">
        <v>832110</v>
      </c>
      <c r="J245" s="4" t="inlineStr">
        <is>
          <t>East Singhbhum</t>
        </is>
      </c>
      <c r="K245" s="4" t="inlineStr"/>
      <c r="L245" s="4" t="inlineStr">
        <is>
          <t>Retailer PB</t>
        </is>
      </c>
      <c r="M245" s="4" t="inlineStr">
        <is>
          <t>Got future date</t>
        </is>
      </c>
      <c r="N245" s="4" t="inlineStr">
        <is>
          <t>Dealer of rungta tmt and local is. Rates given 57 landed to the dealer. No inquiry now demand slow.</t>
        </is>
      </c>
      <c r="O245" s="4" t="inlineStr">
        <is>
          <t>Will given inquiry as soon as possible. Need time.</t>
        </is>
      </c>
      <c r="P245" s="4" t="inlineStr">
        <is>
          <t>Dealer of rungta tmt and local is. Rates given 57 landed to the dealer. No inquiry now demand slow. | Will given inquiry as soon as possible. Need time.</t>
        </is>
      </c>
      <c r="Q245" s="4">
        <f>LEN(TRIM(P245))-LEN(SUBSTITUTE(P245," ",""))+1</f>
        <v/>
      </c>
      <c r="R245" s="4" t="n">
        <v>22.8489366</v>
      </c>
      <c r="S245" s="4" t="n">
        <v>86.2089982</v>
      </c>
      <c r="T245" s="4">
        <f>COUNTIF($G$2:G245,G245)</f>
        <v/>
      </c>
      <c r="U245" s="4">
        <f>IF(F245&lt;5,"YES","NO")</f>
        <v/>
      </c>
      <c r="V245" s="4">
        <f>IF(AND(N245&lt;&gt;"",O245&lt;&gt;""),"YES","NO")</f>
        <v/>
      </c>
      <c r="W245" s="4">
        <f>IF(HOUR(D245)&lt;12,"Morning",IF(HOUR(D245)&lt;17,"Afternoon","Evening"))</f>
        <v/>
      </c>
      <c r="X245" s="4" t="n">
        <v>8</v>
      </c>
      <c r="Y245" s="4">
        <f>IF(F245&lt;5,"&lt;5 min",IF(F245&lt;15,"5-15 min",IF(F245&lt;30,"15-30 min","30+ min")))</f>
        <v/>
      </c>
    </row>
    <row r="246">
      <c r="A246" s="3" t="n">
        <v>46015</v>
      </c>
      <c r="B246" s="4" t="inlineStr">
        <is>
          <t>Wednesday</t>
        </is>
      </c>
      <c r="C246" s="4" t="inlineStr">
        <is>
          <t>Dec 25</t>
        </is>
      </c>
      <c r="D246" s="4" t="inlineStr">
        <is>
          <t>24/12/2025, 5:29 pm</t>
        </is>
      </c>
      <c r="E246" s="4" t="inlineStr">
        <is>
          <t>24/12/2025, 5:31 pm</t>
        </is>
      </c>
      <c r="F246" s="4">
        <f>(E246-D246)*24*60</f>
        <v/>
      </c>
      <c r="G246" s="4" t="inlineStr">
        <is>
          <t>S T C ASSOCIATES</t>
        </is>
      </c>
      <c r="H246" s="4" t="inlineStr">
        <is>
          <t>001fw000005QMdEAAW</t>
        </is>
      </c>
      <c r="I246" s="4" t="n">
        <v>832110</v>
      </c>
      <c r="J246" s="4" t="inlineStr">
        <is>
          <t>East Singhbhum</t>
        </is>
      </c>
      <c r="K246" s="4" t="inlineStr"/>
      <c r="L246" s="4" t="inlineStr">
        <is>
          <t>Retailer PB</t>
        </is>
      </c>
      <c r="M246" s="4" t="inlineStr">
        <is>
          <t>Got future date</t>
        </is>
      </c>
      <c r="N246" s="4" t="inlineStr">
        <is>
          <t>Dealer of rungta tmt and Tata tiscon . Rates given 57000 landed to dealer.</t>
        </is>
      </c>
      <c r="O246" s="4" t="inlineStr">
        <is>
          <t>Will connect us as demand comes by the dealer. Need time.</t>
        </is>
      </c>
      <c r="P246" s="4" t="inlineStr">
        <is>
          <t>Dealer of rungta tmt and Tata tiscon . Rates given 57000 landed to dealer. | Will connect us as demand comes by the dealer. Need time.</t>
        </is>
      </c>
      <c r="Q246" s="4">
        <f>LEN(TRIM(P246))-LEN(SUBSTITUTE(P246," ",""))+1</f>
        <v/>
      </c>
      <c r="R246" s="4" t="n">
        <v>22.8511262</v>
      </c>
      <c r="S246" s="4" t="n">
        <v>86.2064677</v>
      </c>
      <c r="T246" s="4">
        <f>COUNTIF($G$2:G246,G246)</f>
        <v/>
      </c>
      <c r="U246" s="4">
        <f>IF(F246&lt;5,"YES","NO")</f>
        <v/>
      </c>
      <c r="V246" s="4">
        <f>IF(AND(N246&lt;&gt;"",O246&lt;&gt;""),"YES","NO")</f>
        <v/>
      </c>
      <c r="W246" s="4">
        <f>IF(HOUR(D246)&lt;12,"Morning",IF(HOUR(D246)&lt;17,"Afternoon","Evening"))</f>
        <v/>
      </c>
      <c r="X246" s="4" t="n">
        <v>8</v>
      </c>
      <c r="Y246" s="4">
        <f>IF(F246&lt;5,"&lt;5 min",IF(F246&lt;15,"5-15 min",IF(F246&lt;30,"15-30 min","30+ min")))</f>
        <v/>
      </c>
    </row>
    <row r="247">
      <c r="A247" s="3" t="n">
        <v>46044</v>
      </c>
      <c r="B247" s="4" t="inlineStr">
        <is>
          <t>Thursday</t>
        </is>
      </c>
      <c r="C247" s="4" t="inlineStr">
        <is>
          <t>Jan 26</t>
        </is>
      </c>
      <c r="D247" s="4" t="inlineStr">
        <is>
          <t>22/01/2026, 3:55 pm</t>
        </is>
      </c>
      <c r="E247" s="4" t="inlineStr">
        <is>
          <t>22/01/2026, 3:56 pm</t>
        </is>
      </c>
      <c r="F247" s="4">
        <f>(E247-D247)*24*60</f>
        <v/>
      </c>
      <c r="G247" s="4" t="inlineStr">
        <is>
          <t>S T C ASSOCIATES</t>
        </is>
      </c>
      <c r="H247" s="4" t="inlineStr">
        <is>
          <t>001fw000005QMdEAAW</t>
        </is>
      </c>
      <c r="I247" s="4" t="n">
        <v>832110</v>
      </c>
      <c r="J247" s="4" t="inlineStr">
        <is>
          <t>East Singhbhum</t>
        </is>
      </c>
      <c r="K247" s="4" t="inlineStr"/>
      <c r="L247" s="4" t="inlineStr">
        <is>
          <t>Retailer PB</t>
        </is>
      </c>
      <c r="M247" s="4" t="inlineStr">
        <is>
          <t>Got future date</t>
        </is>
      </c>
      <c r="N247" s="4" t="inlineStr">
        <is>
          <t>Dealer of panther TMT and RUNGTA TMT. Rates given 63000 landed. Last purchase rungta @ 52000 landed.</t>
        </is>
      </c>
      <c r="O247" s="4" t="inlineStr">
        <is>
          <t>Will connect us on inquiry received. Need time to coordinate with IHB CUSTUMER.</t>
        </is>
      </c>
      <c r="P247" s="4" t="inlineStr">
        <is>
          <t>Dealer of panther TMT and RUNGTA TMT. Rates given 63000 landed. Last purchase rungta @ 52000 landed. | Will connect us on inquiry received. Need time to coordinate with IHB CUSTUMER.</t>
        </is>
      </c>
      <c r="Q247" s="4">
        <f>LEN(TRIM(P247))-LEN(SUBSTITUTE(P247," ",""))+1</f>
        <v/>
      </c>
      <c r="R247" s="4" t="n">
        <v>22.8490789</v>
      </c>
      <c r="S247" s="4" t="n">
        <v>86.2091988</v>
      </c>
      <c r="T247" s="4">
        <f>COUNTIF($G$2:G247,G247)</f>
        <v/>
      </c>
      <c r="U247" s="4">
        <f>IF(F247&lt;5,"YES","NO")</f>
        <v/>
      </c>
      <c r="V247" s="4">
        <f>IF(AND(N247&lt;&gt;"",O247&lt;&gt;""),"YES","NO")</f>
        <v/>
      </c>
      <c r="W247" s="4">
        <f>IF(HOUR(D247)&lt;12,"Morning",IF(HOUR(D247)&lt;17,"Afternoon","Evening"))</f>
        <v/>
      </c>
      <c r="X247" s="4" t="n">
        <v>6</v>
      </c>
      <c r="Y247" s="4">
        <f>IF(F247&lt;5,"&lt;5 min",IF(F247&lt;15,"5-15 min",IF(F247&lt;30,"15-30 min","30+ min")))</f>
        <v/>
      </c>
    </row>
    <row r="248">
      <c r="A248" s="3" t="n">
        <v>45975</v>
      </c>
      <c r="B248" s="4" t="inlineStr">
        <is>
          <t>Friday</t>
        </is>
      </c>
      <c r="C248" s="4" t="inlineStr">
        <is>
          <t>Nov 25</t>
        </is>
      </c>
      <c r="D248" s="4" t="inlineStr">
        <is>
          <t>14/11/2025, 2:57 pm</t>
        </is>
      </c>
      <c r="E248" s="4" t="inlineStr">
        <is>
          <t>14/11/2025, 2:59 pm</t>
        </is>
      </c>
      <c r="F248" s="4">
        <f>(E248-D248)*24*60</f>
        <v/>
      </c>
      <c r="G248" s="4" t="inlineStr">
        <is>
          <t>SAMAY CONSTRUCTION PRIVATE LIMITED</t>
        </is>
      </c>
      <c r="H248" s="4" t="inlineStr">
        <is>
          <t>001J100000Vo6g9IAB</t>
        </is>
      </c>
      <c r="I248" s="4" t="n">
        <v>831013</v>
      </c>
      <c r="J248" s="4" t="inlineStr">
        <is>
          <t>SARAIKELA KHARSAWAN</t>
        </is>
      </c>
      <c r="K248" s="4" t="inlineStr"/>
      <c r="L248" s="4" t="inlineStr">
        <is>
          <t>Retailer PB</t>
        </is>
      </c>
      <c r="M248" s="4" t="inlineStr">
        <is>
          <t>Got future date</t>
        </is>
      </c>
      <c r="N248" s="4" t="inlineStr">
        <is>
          <t>Contractor and engineer of commercial and real estate projects. Rates given 57 landed to the retailer. Will connect with inquiry</t>
        </is>
      </c>
      <c r="O248" s="4" t="inlineStr">
        <is>
          <t>No inquiry now will connect us later when received from site.</t>
        </is>
      </c>
      <c r="P248" s="4" t="inlineStr">
        <is>
          <t>Contractor and engineer of commercial and real estate projects. Rates given 57 landed to the retailer. Will connect with inquiry | No inquiry now will connect us later when received from site.</t>
        </is>
      </c>
      <c r="Q248" s="4">
        <f>LEN(TRIM(P248))-LEN(SUBSTITUTE(P248," ",""))+1</f>
        <v/>
      </c>
      <c r="R248" s="4" t="n">
        <v>22.8096287</v>
      </c>
      <c r="S248" s="4" t="n">
        <v>86.20203050000001</v>
      </c>
      <c r="T248" s="4">
        <f>COUNTIF($G$2:G248,G248)</f>
        <v/>
      </c>
      <c r="U248" s="4">
        <f>IF(F248&lt;5,"YES","NO")</f>
        <v/>
      </c>
      <c r="V248" s="4">
        <f>IF(AND(N248&lt;&gt;"",O248&lt;&gt;""),"YES","NO")</f>
        <v/>
      </c>
      <c r="W248" s="4">
        <f>IF(HOUR(D248)&lt;12,"Morning",IF(HOUR(D248)&lt;17,"Afternoon","Evening"))</f>
        <v/>
      </c>
      <c r="X248" s="4" t="n">
        <v>5</v>
      </c>
      <c r="Y248" s="4">
        <f>IF(F248&lt;5,"&lt;5 min",IF(F248&lt;15,"5-15 min",IF(F248&lt;30,"15-30 min","30+ min")))</f>
        <v/>
      </c>
    </row>
    <row r="249">
      <c r="A249" s="3" t="n">
        <v>45986</v>
      </c>
      <c r="B249" s="4" t="inlineStr">
        <is>
          <t>Tuesday</t>
        </is>
      </c>
      <c r="C249" s="4" t="inlineStr">
        <is>
          <t>Nov 25</t>
        </is>
      </c>
      <c r="D249" s="4" t="inlineStr">
        <is>
          <t>25/11/2025, 5:00 pm</t>
        </is>
      </c>
      <c r="E249" s="4" t="inlineStr">
        <is>
          <t>25/11/2025, 5:03 pm</t>
        </is>
      </c>
      <c r="F249" s="4">
        <f>(E249-D249)*24*60</f>
        <v/>
      </c>
      <c r="G249" s="4" t="inlineStr">
        <is>
          <t>SAMAY CONSTRUCTION PRIVATE LIMITED</t>
        </is>
      </c>
      <c r="H249" s="4" t="inlineStr">
        <is>
          <t>001J100000Vo6g9IAB</t>
        </is>
      </c>
      <c r="I249" s="4" t="n">
        <v>831013</v>
      </c>
      <c r="J249" s="4" t="inlineStr">
        <is>
          <t>SARAIKELA KHARSAWAN</t>
        </is>
      </c>
      <c r="K249" s="4" t="inlineStr"/>
      <c r="L249" s="4" t="inlineStr">
        <is>
          <t>Retailer PB</t>
        </is>
      </c>
      <c r="M249" s="4" t="inlineStr">
        <is>
          <t>Got future date</t>
        </is>
      </c>
      <c r="N249" s="4" t="inlineStr">
        <is>
          <t>Contractor and architect of ihb and commercial projects . Using tiscon and panther and rungta. Rates given 53500 landed .</t>
        </is>
      </c>
      <c r="O249" s="4" t="inlineStr">
        <is>
          <t>Will share inquiry as received from site. Will coordinate and let us know</t>
        </is>
      </c>
      <c r="P249" s="4" t="inlineStr">
        <is>
          <t>Contractor and architect of ihb and commercial projects . Using tiscon and panther and rungta. Rates given 53500 landed . | Will share inquiry as received from site. Will coordinate and let us know</t>
        </is>
      </c>
      <c r="Q249" s="4">
        <f>LEN(TRIM(P249))-LEN(SUBSTITUTE(P249," ",""))+1</f>
        <v/>
      </c>
      <c r="R249" s="4" t="n">
        <v>22.8095491</v>
      </c>
      <c r="S249" s="4" t="n">
        <v>86.20266890000001</v>
      </c>
      <c r="T249" s="4">
        <f>COUNTIF($G$2:G249,G249)</f>
        <v/>
      </c>
      <c r="U249" s="4">
        <f>IF(F249&lt;5,"YES","NO")</f>
        <v/>
      </c>
      <c r="V249" s="4">
        <f>IF(AND(N249&lt;&gt;"",O249&lt;&gt;""),"YES","NO")</f>
        <v/>
      </c>
      <c r="W249" s="4">
        <f>IF(HOUR(D249)&lt;12,"Morning",IF(HOUR(D249)&lt;17,"Afternoon","Evening"))</f>
        <v/>
      </c>
      <c r="X249" s="4" t="n">
        <v>7</v>
      </c>
      <c r="Y249" s="4">
        <f>IF(F249&lt;5,"&lt;5 min",IF(F249&lt;15,"5-15 min",IF(F249&lt;30,"15-30 min","30+ min")))</f>
        <v/>
      </c>
    </row>
    <row r="250">
      <c r="A250" s="3" t="n">
        <v>46007</v>
      </c>
      <c r="B250" s="4" t="inlineStr">
        <is>
          <t>Tuesday</t>
        </is>
      </c>
      <c r="C250" s="4" t="inlineStr">
        <is>
          <t>Dec 25</t>
        </is>
      </c>
      <c r="D250" s="4" t="inlineStr">
        <is>
          <t>16/12/2025, 12:29 pm</t>
        </is>
      </c>
      <c r="E250" s="4" t="inlineStr">
        <is>
          <t>16/12/2025, 12:31 pm</t>
        </is>
      </c>
      <c r="F250" s="4">
        <f>(E250-D250)*24*60</f>
        <v/>
      </c>
      <c r="G250" s="4" t="inlineStr">
        <is>
          <t>SAMAY CONSTRUCTION PRIVATE LIMITED</t>
        </is>
      </c>
      <c r="H250" s="4" t="inlineStr">
        <is>
          <t>001J100000Vo6g9IAB</t>
        </is>
      </c>
      <c r="I250" s="4" t="n">
        <v>831013</v>
      </c>
      <c r="J250" s="4" t="inlineStr">
        <is>
          <t>SARAIKELA KHARSAWAN</t>
        </is>
      </c>
      <c r="K250" s="4" t="inlineStr"/>
      <c r="L250" s="4" t="inlineStr">
        <is>
          <t>Retailer PB</t>
        </is>
      </c>
      <c r="M250" s="4" t="inlineStr">
        <is>
          <t>Got future date</t>
        </is>
      </c>
      <c r="N250" s="4" t="inlineStr">
        <is>
          <t>Contractor of commercial and residential projects. Rates given 56500 landed to the custumer. Need to do branding .</t>
        </is>
      </c>
      <c r="O250" s="4" t="inlineStr">
        <is>
          <t>Will share inquiry as soon as possible. Will pass us demand .</t>
        </is>
      </c>
      <c r="P250" s="4" t="inlineStr">
        <is>
          <t>Contractor of commercial and residential projects. Rates given 56500 landed to the custumer. Need to do branding . | Will share inquiry as soon as possible. Will pass us demand .</t>
        </is>
      </c>
      <c r="Q250" s="4">
        <f>LEN(TRIM(P250))-LEN(SUBSTITUTE(P250," ",""))+1</f>
        <v/>
      </c>
      <c r="R250" s="4" t="n">
        <v>22.8095065</v>
      </c>
      <c r="S250" s="4" t="n">
        <v>86.20256430000001</v>
      </c>
      <c r="T250" s="4">
        <f>COUNTIF($G$2:G250,G250)</f>
        <v/>
      </c>
      <c r="U250" s="4">
        <f>IF(F250&lt;5,"YES","NO")</f>
        <v/>
      </c>
      <c r="V250" s="4">
        <f>IF(AND(N250&lt;&gt;"",O250&lt;&gt;""),"YES","NO")</f>
        <v/>
      </c>
      <c r="W250" s="4">
        <f>IF(HOUR(D250)&lt;12,"Morning",IF(HOUR(D250)&lt;17,"Afternoon","Evening"))</f>
        <v/>
      </c>
      <c r="X250" s="4" t="n">
        <v>7</v>
      </c>
      <c r="Y250" s="4">
        <f>IF(F250&lt;5,"&lt;5 min",IF(F250&lt;15,"5-15 min",IF(F250&lt;30,"15-30 min","30+ min")))</f>
        <v/>
      </c>
    </row>
    <row r="251">
      <c r="A251" s="3" t="n">
        <v>46030</v>
      </c>
      <c r="B251" s="4" t="inlineStr">
        <is>
          <t>Thursday</t>
        </is>
      </c>
      <c r="C251" s="4" t="inlineStr">
        <is>
          <t>Jan 26</t>
        </is>
      </c>
      <c r="D251" s="4" t="inlineStr">
        <is>
          <t>08/01/2026, 1:20 pm</t>
        </is>
      </c>
      <c r="E251" s="4" t="inlineStr">
        <is>
          <t>08/01/2026, 1:25 pm</t>
        </is>
      </c>
      <c r="F251" s="4">
        <f>(E251-D251)*24*60</f>
        <v/>
      </c>
      <c r="G251" s="4" t="inlineStr">
        <is>
          <t>SAMAY CONSTRUCTION PRIVATE LIMITED</t>
        </is>
      </c>
      <c r="H251" s="4" t="inlineStr">
        <is>
          <t>001J100000Vo6g9IAB</t>
        </is>
      </c>
      <c r="I251" s="4" t="n">
        <v>831013</v>
      </c>
      <c r="J251" s="4" t="inlineStr">
        <is>
          <t>SARAIKELA KHARSAWAN</t>
        </is>
      </c>
      <c r="K251" s="4" t="inlineStr"/>
      <c r="L251" s="4" t="inlineStr">
        <is>
          <t>Retailer PB</t>
        </is>
      </c>
      <c r="M251" s="4" t="inlineStr">
        <is>
          <t>Got future date</t>
        </is>
      </c>
      <c r="N251" s="4" t="inlineStr">
        <is>
          <t>Commercial and real estate projects contactor. Using panther, Jindal and RUNGTA TMT. RATES given 59500 landed to the CUSTUMER.</t>
        </is>
      </c>
      <c r="O251" s="4" t="inlineStr">
        <is>
          <t>Will connect us on inquiry. Purchasing panther @58 landed till site. Need approval from structural engineer.</t>
        </is>
      </c>
      <c r="P251" s="4" t="inlineStr">
        <is>
          <t>Commercial and real estate projects contactor. Using panther, Jindal and RUNGTA TMT. RATES given 59500 landed to the CUSTUMER. | Will connect us on inquiry. Purchasing panther @58 landed till site. Need approval from structural engineer.</t>
        </is>
      </c>
      <c r="Q251" s="4">
        <f>LEN(TRIM(P251))-LEN(SUBSTITUTE(P251," ",""))+1</f>
        <v/>
      </c>
      <c r="R251" s="4" t="n">
        <v>22.809467</v>
      </c>
      <c r="S251" s="4" t="n">
        <v>86.2024557</v>
      </c>
      <c r="T251" s="4">
        <f>COUNTIF($G$2:G251,G251)</f>
        <v/>
      </c>
      <c r="U251" s="4">
        <f>IF(F251&lt;5,"YES","NO")</f>
        <v/>
      </c>
      <c r="V251" s="4">
        <f>IF(AND(N251&lt;&gt;"",O251&lt;&gt;""),"YES","NO")</f>
        <v/>
      </c>
      <c r="W251" s="4">
        <f>IF(HOUR(D251)&lt;12,"Morning",IF(HOUR(D251)&lt;17,"Afternoon","Evening"))</f>
        <v/>
      </c>
      <c r="X251" s="4" t="n">
        <v>7</v>
      </c>
      <c r="Y251" s="4">
        <f>IF(F251&lt;5,"&lt;5 min",IF(F251&lt;15,"5-15 min",IF(F251&lt;30,"15-30 min","30+ min")))</f>
        <v/>
      </c>
    </row>
    <row r="252">
      <c r="A252" s="3" t="n">
        <v>46049</v>
      </c>
      <c r="B252" s="4" t="inlineStr">
        <is>
          <t>Tuesday</t>
        </is>
      </c>
      <c r="C252" s="4" t="inlineStr">
        <is>
          <t>Jan 26</t>
        </is>
      </c>
      <c r="D252" s="4" t="inlineStr">
        <is>
          <t>27/01/2026, 4:35 pm</t>
        </is>
      </c>
      <c r="E252" s="4" t="inlineStr">
        <is>
          <t>27/01/2026, 4:36 pm</t>
        </is>
      </c>
      <c r="F252" s="4">
        <f>(E252-D252)*24*60</f>
        <v/>
      </c>
      <c r="G252" s="4" t="inlineStr">
        <is>
          <t>SAMAY CONSTRUCTION PRIVATE LIMITED</t>
        </is>
      </c>
      <c r="H252" s="4" t="inlineStr">
        <is>
          <t>001J100000Vo6g9IAB</t>
        </is>
      </c>
      <c r="I252" s="4" t="n">
        <v>831013</v>
      </c>
      <c r="J252" s="4" t="inlineStr">
        <is>
          <t>SARAIKELA KHARSAWAN</t>
        </is>
      </c>
      <c r="K252" s="4" t="inlineStr"/>
      <c r="L252" s="4" t="inlineStr">
        <is>
          <t>Retailer PB</t>
        </is>
      </c>
      <c r="M252" s="4" t="inlineStr">
        <is>
          <t>Got future date</t>
        </is>
      </c>
      <c r="N252" s="4" t="inlineStr">
        <is>
          <t>Contractor of commercial and real estate projects. Using panther tiscon and jsw one. Asking for cut and bend material. Rates given 63000 landed.</t>
        </is>
      </c>
      <c r="O252" s="4" t="inlineStr">
        <is>
          <t>Last purchase tiscon @ 62 landed. Will share inquiry as soon indent received from site.</t>
        </is>
      </c>
      <c r="P252" s="4" t="inlineStr">
        <is>
          <t>Contractor of commercial and real estate projects. Using panther tiscon and jsw one. Asking for cut and bend material. Rates given 63000 landed. | Last purchase tiscon @ 62 landed. Will share inquiry as soon indent received from site.</t>
        </is>
      </c>
      <c r="Q252" s="4">
        <f>LEN(TRIM(P252))-LEN(SUBSTITUTE(P252," ",""))+1</f>
        <v/>
      </c>
      <c r="R252" s="4" t="n">
        <v>22.8087482</v>
      </c>
      <c r="S252" s="4" t="n">
        <v>86.20605260000001</v>
      </c>
      <c r="T252" s="4">
        <f>COUNTIF($G$2:G252,G252)</f>
        <v/>
      </c>
      <c r="U252" s="4">
        <f>IF(F252&lt;5,"YES","NO")</f>
        <v/>
      </c>
      <c r="V252" s="4">
        <f>IF(AND(N252&lt;&gt;"",O252&lt;&gt;""),"YES","NO")</f>
        <v/>
      </c>
      <c r="W252" s="4">
        <f>IF(HOUR(D252)&lt;12,"Morning",IF(HOUR(D252)&lt;17,"Afternoon","Evening"))</f>
        <v/>
      </c>
      <c r="X252" s="4" t="n">
        <v>6</v>
      </c>
      <c r="Y252" s="4">
        <f>IF(F252&lt;5,"&lt;5 min",IF(F252&lt;15,"5-15 min",IF(F252&lt;30,"15-30 min","30+ min")))</f>
        <v/>
      </c>
    </row>
    <row r="253">
      <c r="A253" s="3" t="n">
        <v>45973</v>
      </c>
      <c r="B253" s="4" t="inlineStr">
        <is>
          <t>Wednesday</t>
        </is>
      </c>
      <c r="C253" s="4" t="inlineStr">
        <is>
          <t>Nov 25</t>
        </is>
      </c>
      <c r="D253" s="4" t="inlineStr">
        <is>
          <t>12/11/2025, 2:37 pm</t>
        </is>
      </c>
      <c r="E253" s="4" t="inlineStr">
        <is>
          <t>12/11/2025, 2:38 pm</t>
        </is>
      </c>
      <c r="F253" s="4">
        <f>(E253-D253)*24*60</f>
        <v/>
      </c>
      <c r="G253" s="4" t="inlineStr">
        <is>
          <t>SHIVAM ENTERPRISES</t>
        </is>
      </c>
      <c r="H253" s="4" t="inlineStr">
        <is>
          <t>001J100000VnqFsIAJ</t>
        </is>
      </c>
      <c r="I253" s="4" t="n">
        <v>831012</v>
      </c>
      <c r="J253" s="4" t="inlineStr">
        <is>
          <t>EAST SINGHBUM</t>
        </is>
      </c>
      <c r="K253" s="4" t="inlineStr"/>
      <c r="L253" s="4" t="inlineStr">
        <is>
          <t>Retailer PB</t>
        </is>
      </c>
      <c r="M253" s="4" t="inlineStr">
        <is>
          <t>Got future date</t>
        </is>
      </c>
      <c r="N253" s="4" t="inlineStr">
        <is>
          <t>Dealer of jspl panther and rungta tmt. Rates given 58 landed to customer. Need time for inquiry.</t>
        </is>
      </c>
      <c r="O253" s="4" t="inlineStr">
        <is>
          <t>Will share inquiry as soon as possible. Need time.</t>
        </is>
      </c>
      <c r="P253" s="4" t="inlineStr">
        <is>
          <t>Dealer of jspl panther and rungta tmt. Rates given 58 landed to customer. Need time for inquiry. | Will share inquiry as soon as possible. Need time.</t>
        </is>
      </c>
      <c r="Q253" s="4">
        <f>LEN(TRIM(P253))-LEN(SUBSTITUTE(P253," ",""))+1</f>
        <v/>
      </c>
      <c r="R253" s="4" t="n">
        <v>22.8213929</v>
      </c>
      <c r="S253" s="4" t="n">
        <v>86.2071138</v>
      </c>
      <c r="T253" s="4">
        <f>COUNTIF($G$2:G253,G253)</f>
        <v/>
      </c>
      <c r="U253" s="4">
        <f>IF(F253&lt;5,"YES","NO")</f>
        <v/>
      </c>
      <c r="V253" s="4">
        <f>IF(AND(N253&lt;&gt;"",O253&lt;&gt;""),"YES","NO")</f>
        <v/>
      </c>
      <c r="W253" s="4">
        <f>IF(HOUR(D253)&lt;12,"Morning",IF(HOUR(D253)&lt;17,"Afternoon","Evening"))</f>
        <v/>
      </c>
      <c r="X253" s="4" t="n">
        <v>8</v>
      </c>
      <c r="Y253" s="4">
        <f>IF(F253&lt;5,"&lt;5 min",IF(F253&lt;15,"5-15 min",IF(F253&lt;30,"15-30 min","30+ min")))</f>
        <v/>
      </c>
    </row>
    <row r="254">
      <c r="A254" s="3" t="n">
        <v>45986</v>
      </c>
      <c r="B254" s="4" t="inlineStr">
        <is>
          <t>Tuesday</t>
        </is>
      </c>
      <c r="C254" s="4" t="inlineStr">
        <is>
          <t>Nov 25</t>
        </is>
      </c>
      <c r="D254" s="4" t="inlineStr">
        <is>
          <t>25/11/2025, 1:13 pm</t>
        </is>
      </c>
      <c r="E254" s="4" t="inlineStr">
        <is>
          <t>25/11/2025, 1:14 pm</t>
        </is>
      </c>
      <c r="F254" s="4">
        <f>(E254-D254)*24*60</f>
        <v/>
      </c>
      <c r="G254" s="4" t="inlineStr">
        <is>
          <t>SHIVAM ENTERPRISES</t>
        </is>
      </c>
      <c r="H254" s="4" t="inlineStr">
        <is>
          <t>001J100000VnqFsIAJ</t>
        </is>
      </c>
      <c r="I254" s="4" t="n">
        <v>831012</v>
      </c>
      <c r="J254" s="4" t="inlineStr">
        <is>
          <t>EAST SINGHBUM</t>
        </is>
      </c>
      <c r="K254" s="4" t="inlineStr"/>
      <c r="L254" s="4" t="inlineStr">
        <is>
          <t>Retailer PB</t>
        </is>
      </c>
      <c r="M254" s="4" t="inlineStr">
        <is>
          <t>Got future date</t>
        </is>
      </c>
      <c r="N254" s="4" t="inlineStr">
        <is>
          <t>Dealer of Jindal panther and rungta tmt . Rates given 54500 landed to customer. No inquiry. Will connect in a week</t>
        </is>
      </c>
      <c r="O254" s="4" t="inlineStr">
        <is>
          <t>Will connect us later in sometime . Will give us inquiry.</t>
        </is>
      </c>
      <c r="P254" s="4" t="inlineStr">
        <is>
          <t>Dealer of Jindal panther and rungta tmt . Rates given 54500 landed to customer. No inquiry. Will connect in a week | Will connect us later in sometime . Will give us inquiry.</t>
        </is>
      </c>
      <c r="Q254" s="4">
        <f>LEN(TRIM(P254))-LEN(SUBSTITUTE(P254," ",""))+1</f>
        <v/>
      </c>
      <c r="R254" s="4" t="n">
        <v>22.821413</v>
      </c>
      <c r="S254" s="4" t="n">
        <v>86.207157</v>
      </c>
      <c r="T254" s="4">
        <f>COUNTIF($G$2:G254,G254)</f>
        <v/>
      </c>
      <c r="U254" s="4">
        <f>IF(F254&lt;5,"YES","NO")</f>
        <v/>
      </c>
      <c r="V254" s="4">
        <f>IF(AND(N254&lt;&gt;"",O254&lt;&gt;""),"YES","NO")</f>
        <v/>
      </c>
      <c r="W254" s="4">
        <f>IF(HOUR(D254)&lt;12,"Morning",IF(HOUR(D254)&lt;17,"Afternoon","Evening"))</f>
        <v/>
      </c>
      <c r="X254" s="4" t="n">
        <v>7</v>
      </c>
      <c r="Y254" s="4">
        <f>IF(F254&lt;5,"&lt;5 min",IF(F254&lt;15,"5-15 min",IF(F254&lt;30,"15-30 min","30+ min")))</f>
        <v/>
      </c>
    </row>
    <row r="255">
      <c r="A255" s="3" t="n">
        <v>46002</v>
      </c>
      <c r="B255" s="4" t="inlineStr">
        <is>
          <t>Thursday</t>
        </is>
      </c>
      <c r="C255" s="4" t="inlineStr">
        <is>
          <t>Dec 25</t>
        </is>
      </c>
      <c r="D255" s="4" t="inlineStr">
        <is>
          <t>11/12/2025, 5:26 pm</t>
        </is>
      </c>
      <c r="E255" s="4" t="inlineStr">
        <is>
          <t>11/12/2025, 5:27 pm</t>
        </is>
      </c>
      <c r="F255" s="4">
        <f>(E255-D255)*24*60</f>
        <v/>
      </c>
      <c r="G255" s="4" t="inlineStr">
        <is>
          <t>SHIVAM ENTERPRISES</t>
        </is>
      </c>
      <c r="H255" s="4" t="inlineStr">
        <is>
          <t>001J100000VnqFsIAJ</t>
        </is>
      </c>
      <c r="I255" s="4" t="n">
        <v>831012</v>
      </c>
      <c r="J255" s="4" t="inlineStr">
        <is>
          <t>EAST SINGHBUM</t>
        </is>
      </c>
      <c r="K255" s="4" t="inlineStr"/>
      <c r="L255" s="4" t="inlineStr">
        <is>
          <t>Retailer PB</t>
        </is>
      </c>
      <c r="M255" s="4" t="inlineStr">
        <is>
          <t>Got future date</t>
        </is>
      </c>
      <c r="N255" s="4" t="inlineStr">
        <is>
          <t>Dealer of panther and rungta tmt. Rates given 56000 to dealer landed to outlet. Will let us know for inquiry comes.</t>
        </is>
      </c>
      <c r="O255" s="4" t="inlineStr">
        <is>
          <t>Will let us know when demand comes from end user end. .</t>
        </is>
      </c>
      <c r="P255" s="4" t="inlineStr">
        <is>
          <t>Dealer of panther and rungta tmt. Rates given 56000 to dealer landed to outlet. Will let us know for inquiry comes. | Will let us know when demand comes from end user end. .</t>
        </is>
      </c>
      <c r="Q255" s="4">
        <f>LEN(TRIM(P255))-LEN(SUBSTITUTE(P255," ",""))+1</f>
        <v/>
      </c>
      <c r="R255" s="4" t="n">
        <v>22.8213692</v>
      </c>
      <c r="S255" s="4" t="n">
        <v>86.20683440000001</v>
      </c>
      <c r="T255" s="4">
        <f>COUNTIF($G$2:G255,G255)</f>
        <v/>
      </c>
      <c r="U255" s="4">
        <f>IF(F255&lt;5,"YES","NO")</f>
        <v/>
      </c>
      <c r="V255" s="4">
        <f>IF(AND(N255&lt;&gt;"",O255&lt;&gt;""),"YES","NO")</f>
        <v/>
      </c>
      <c r="W255" s="4">
        <f>IF(HOUR(D255)&lt;12,"Morning",IF(HOUR(D255)&lt;17,"Afternoon","Evening"))</f>
        <v/>
      </c>
      <c r="X255" s="4" t="n">
        <v>6</v>
      </c>
      <c r="Y255" s="4">
        <f>IF(F255&lt;5,"&lt;5 min",IF(F255&lt;15,"5-15 min",IF(F255&lt;30,"15-30 min","30+ min")))</f>
        <v/>
      </c>
    </row>
    <row r="256">
      <c r="A256" s="3" t="n">
        <v>46036</v>
      </c>
      <c r="B256" s="4" t="inlineStr">
        <is>
          <t>Wednesday</t>
        </is>
      </c>
      <c r="C256" s="4" t="inlineStr">
        <is>
          <t>Jan 26</t>
        </is>
      </c>
      <c r="D256" s="4" t="inlineStr">
        <is>
          <t>14/01/2026, 4:54 pm</t>
        </is>
      </c>
      <c r="E256" s="4" t="inlineStr">
        <is>
          <t>14/01/2026, 4:56 pm</t>
        </is>
      </c>
      <c r="F256" s="4">
        <f>(E256-D256)*24*60</f>
        <v/>
      </c>
      <c r="G256" s="4" t="inlineStr">
        <is>
          <t>SHIVAM ENTERPRISES</t>
        </is>
      </c>
      <c r="H256" s="4" t="inlineStr">
        <is>
          <t>001J100000VnqFsIAJ</t>
        </is>
      </c>
      <c r="I256" s="4" t="n">
        <v>831012</v>
      </c>
      <c r="J256" s="4" t="inlineStr">
        <is>
          <t>EAST SINGHBUM</t>
        </is>
      </c>
      <c r="K256" s="4" t="inlineStr"/>
      <c r="L256" s="4" t="inlineStr">
        <is>
          <t>Retailer PB</t>
        </is>
      </c>
      <c r="M256" s="4" t="inlineStr">
        <is>
          <t>Got future date</t>
        </is>
      </c>
      <c r="N256" s="4" t="inlineStr">
        <is>
          <t>Dealer of panther rungta and local isi. Rates given 61500 landed to the CUSTUMER.</t>
        </is>
      </c>
      <c r="O256" s="4" t="inlineStr">
        <is>
          <t>Will connect us on inquiry. Need time for sharing inquiry. Waiting for customer demand.</t>
        </is>
      </c>
      <c r="P256" s="4" t="inlineStr">
        <is>
          <t>Dealer of panther rungta and local isi. Rates given 61500 landed to the CUSTUMER. | Will connect us on inquiry. Need time for sharing inquiry. Waiting for customer demand.</t>
        </is>
      </c>
      <c r="Q256" s="4">
        <f>LEN(TRIM(P256))-LEN(SUBSTITUTE(P256," ",""))+1</f>
        <v/>
      </c>
      <c r="R256" s="4" t="n">
        <v>22.8213773</v>
      </c>
      <c r="S256" s="4" t="n">
        <v>86.2069336</v>
      </c>
      <c r="T256" s="4">
        <f>COUNTIF($G$2:G256,G256)</f>
        <v/>
      </c>
      <c r="U256" s="4">
        <f>IF(F256&lt;5,"YES","NO")</f>
        <v/>
      </c>
      <c r="V256" s="4">
        <f>IF(AND(N256&lt;&gt;"",O256&lt;&gt;""),"YES","NO")</f>
        <v/>
      </c>
      <c r="W256" s="4">
        <f>IF(HOUR(D256)&lt;12,"Morning",IF(HOUR(D256)&lt;17,"Afternoon","Evening"))</f>
        <v/>
      </c>
      <c r="X256" s="4" t="n">
        <v>6</v>
      </c>
      <c r="Y256" s="4">
        <f>IF(F256&lt;5,"&lt;5 min",IF(F256&lt;15,"5-15 min",IF(F256&lt;30,"15-30 min","30+ min")))</f>
        <v/>
      </c>
    </row>
    <row r="257">
      <c r="A257" s="3" t="n">
        <v>45971</v>
      </c>
      <c r="B257" s="4" t="inlineStr">
        <is>
          <t>Monday</t>
        </is>
      </c>
      <c r="C257" s="4" t="inlineStr">
        <is>
          <t>Nov 25</t>
        </is>
      </c>
      <c r="D257" s="4" t="inlineStr">
        <is>
          <t>10/11/2025, 9:50 am</t>
        </is>
      </c>
      <c r="E257" s="4" t="inlineStr">
        <is>
          <t>10/11/2025, 9:51 am</t>
        </is>
      </c>
      <c r="F257" s="4">
        <f>(E257-D257)*24*60</f>
        <v/>
      </c>
      <c r="G257" s="4" t="inlineStr">
        <is>
          <t>SHREE BALAJI INFRASTRUCTURE AND TRADING CO</t>
        </is>
      </c>
      <c r="H257" s="4" t="inlineStr">
        <is>
          <t>001fw00000BhLFmAAN</t>
        </is>
      </c>
      <c r="I257" s="4" t="n">
        <v>828134</v>
      </c>
      <c r="J257" s="4" t="inlineStr">
        <is>
          <t>BOKARO</t>
        </is>
      </c>
      <c r="K257" s="4" t="inlineStr"/>
      <c r="L257" s="4" t="inlineStr">
        <is>
          <t>Retailer PB</t>
        </is>
      </c>
      <c r="M257" s="4" t="inlineStr">
        <is>
          <t>Account created</t>
        </is>
      </c>
      <c r="N257" s="4" t="inlineStr">
        <is>
          <t>Dealer of captain eqr and mongia tmt. Potential of 70 mt. Rates given 58000 landed to customer</t>
        </is>
      </c>
      <c r="O257" s="4" t="inlineStr">
        <is>
          <t>Product description and product knowledge given to the customer. Will connect us .</t>
        </is>
      </c>
      <c r="P257" s="4" t="inlineStr">
        <is>
          <t>Dealer of captain eqr and mongia tmt. Potential of 70 mt. Rates given 58000 landed to customer | Product description and product knowledge given to the customer. Will connect us .</t>
        </is>
      </c>
      <c r="Q257" s="4">
        <f>LEN(TRIM(P257))-LEN(SUBSTITUTE(P257," ",""))+1</f>
        <v/>
      </c>
      <c r="R257" s="4" t="n">
        <v>23.4521063</v>
      </c>
      <c r="S257" s="4" t="n">
        <v>86.30189129999999</v>
      </c>
      <c r="T257" s="4">
        <f>COUNTIF($G$2:G257,G257)</f>
        <v/>
      </c>
      <c r="U257" s="4">
        <f>IF(F257&lt;5,"YES","NO")</f>
        <v/>
      </c>
      <c r="V257" s="4">
        <f>IF(AND(N257&lt;&gt;"",O257&lt;&gt;""),"YES","NO")</f>
        <v/>
      </c>
      <c r="W257" s="4">
        <f>IF(HOUR(D257)&lt;12,"Morning",IF(HOUR(D257)&lt;17,"Afternoon","Evening"))</f>
        <v/>
      </c>
      <c r="X257" s="4" t="n">
        <v>4</v>
      </c>
      <c r="Y257" s="4">
        <f>IF(F257&lt;5,"&lt;5 min",IF(F257&lt;15,"5-15 min",IF(F257&lt;30,"15-30 min","30+ min")))</f>
        <v/>
      </c>
    </row>
    <row r="258">
      <c r="A258" s="3" t="n">
        <v>45974</v>
      </c>
      <c r="B258" s="4" t="inlineStr">
        <is>
          <t>Thursday</t>
        </is>
      </c>
      <c r="C258" s="4" t="inlineStr">
        <is>
          <t>Nov 25</t>
        </is>
      </c>
      <c r="D258" s="4" t="inlineStr">
        <is>
          <t>13/11/2025, 11:36 am</t>
        </is>
      </c>
      <c r="E258" s="4" t="inlineStr">
        <is>
          <t>13/11/2025, 11:37 am</t>
        </is>
      </c>
      <c r="F258" s="4">
        <f>(E258-D258)*24*60</f>
        <v/>
      </c>
      <c r="G258" s="4" t="inlineStr">
        <is>
          <t>SOIL TO SKY PROJECTS PRIVATE LIMITED</t>
        </is>
      </c>
      <c r="H258" s="4" t="inlineStr">
        <is>
          <t>001fw000004W8jPAAS</t>
        </is>
      </c>
      <c r="I258" s="4" t="n">
        <v>751019</v>
      </c>
      <c r="J258" s="4" t="inlineStr">
        <is>
          <t>KHORDHA</t>
        </is>
      </c>
      <c r="K258" s="4" t="inlineStr"/>
      <c r="L258" s="4" t="inlineStr">
        <is>
          <t>Retailer PB</t>
        </is>
      </c>
      <c r="M258" s="4" t="inlineStr">
        <is>
          <t>Got future date</t>
        </is>
      </c>
      <c r="N258" s="4" t="inlineStr">
        <is>
          <t>Contractor and architect of commercial projects . Using Tata tiscon . Rates given 58 landed to him .</t>
        </is>
      </c>
      <c r="O258" s="4" t="inlineStr">
        <is>
          <t>Will connect us when inquiry float from site. Need time.</t>
        </is>
      </c>
      <c r="P258" s="4" t="inlineStr">
        <is>
          <t>Contractor and architect of commercial projects . Using Tata tiscon . Rates given 58 landed to him . | Will connect us when inquiry float from site. Need time.</t>
        </is>
      </c>
      <c r="Q258" s="4">
        <f>LEN(TRIM(P258))-LEN(SUBSTITUTE(P258," ",""))+1</f>
        <v/>
      </c>
      <c r="R258" s="4" t="n">
        <v>22.8121109</v>
      </c>
      <c r="S258" s="4" t="n">
        <v>86.2151965</v>
      </c>
      <c r="T258" s="4">
        <f>COUNTIF($G$2:G258,G258)</f>
        <v/>
      </c>
      <c r="U258" s="4">
        <f>IF(F258&lt;5,"YES","NO")</f>
        <v/>
      </c>
      <c r="V258" s="4">
        <f>IF(AND(N258&lt;&gt;"",O258&lt;&gt;""),"YES","NO")</f>
        <v/>
      </c>
      <c r="W258" s="4">
        <f>IF(HOUR(D258)&lt;12,"Morning",IF(HOUR(D258)&lt;17,"Afternoon","Evening"))</f>
        <v/>
      </c>
      <c r="X258" s="4" t="n">
        <v>7</v>
      </c>
      <c r="Y258" s="4">
        <f>IF(F258&lt;5,"&lt;5 min",IF(F258&lt;15,"5-15 min",IF(F258&lt;30,"15-30 min","30+ min")))</f>
        <v/>
      </c>
    </row>
    <row r="259">
      <c r="A259" s="3" t="n">
        <v>45996</v>
      </c>
      <c r="B259" s="4" t="inlineStr">
        <is>
          <t>Friday</t>
        </is>
      </c>
      <c r="C259" s="4" t="inlineStr">
        <is>
          <t>Dec 25</t>
        </is>
      </c>
      <c r="D259" s="4" t="inlineStr">
        <is>
          <t>05/12/2025, 10:40 am</t>
        </is>
      </c>
      <c r="E259" s="4" t="inlineStr">
        <is>
          <t>05/12/2025, 10:41 am</t>
        </is>
      </c>
      <c r="F259" s="4">
        <f>(E259-D259)*24*60</f>
        <v/>
      </c>
      <c r="G259" s="4" t="inlineStr">
        <is>
          <t>SOIL TO SKY PROJECTS PRIVATE LIMITED</t>
        </is>
      </c>
      <c r="H259" s="4" t="inlineStr">
        <is>
          <t>001fw000004W8jPAAS</t>
        </is>
      </c>
      <c r="I259" s="4" t="n">
        <v>751019</v>
      </c>
      <c r="J259" s="4" t="inlineStr">
        <is>
          <t>KHORDHA</t>
        </is>
      </c>
      <c r="K259" s="4" t="inlineStr"/>
      <c r="L259" s="4" t="inlineStr">
        <is>
          <t>Retailer PB</t>
        </is>
      </c>
      <c r="M259" s="4" t="inlineStr">
        <is>
          <t>Got future date</t>
        </is>
      </c>
      <c r="N259" s="4" t="inlineStr">
        <is>
          <t>Contractor of real estate and commercial projects . Asking to connect to site for inquiry . Rates given 55600 landed to site. Will connect later</t>
        </is>
      </c>
      <c r="O259" s="4" t="inlineStr">
        <is>
          <t>Using tiscon . Will compare rates and discuss with quality team and share inquiry .</t>
        </is>
      </c>
      <c r="P259" s="4" t="inlineStr">
        <is>
          <t>Contractor of real estate and commercial projects . Asking to connect to site for inquiry . Rates given 55600 landed to site. Will connect later | Using tiscon . Will compare rates and discuss with quality team and share inquiry .</t>
        </is>
      </c>
      <c r="Q259" s="4">
        <f>LEN(TRIM(P259))-LEN(SUBSTITUTE(P259," ",""))+1</f>
        <v/>
      </c>
      <c r="R259" s="4" t="n">
        <v>22.8119801</v>
      </c>
      <c r="S259" s="4" t="n">
        <v>86.215191</v>
      </c>
      <c r="T259" s="4">
        <f>COUNTIF($G$2:G259,G259)</f>
        <v/>
      </c>
      <c r="U259" s="4">
        <f>IF(F259&lt;5,"YES","NO")</f>
        <v/>
      </c>
      <c r="V259" s="4">
        <f>IF(AND(N259&lt;&gt;"",O259&lt;&gt;""),"YES","NO")</f>
        <v/>
      </c>
      <c r="W259" s="4">
        <f>IF(HOUR(D259)&lt;12,"Morning",IF(HOUR(D259)&lt;17,"Afternoon","Evening"))</f>
        <v/>
      </c>
      <c r="X259" s="4" t="n">
        <v>6</v>
      </c>
      <c r="Y259" s="4">
        <f>IF(F259&lt;5,"&lt;5 min",IF(F259&lt;15,"5-15 min",IF(F259&lt;30,"15-30 min","30+ min")))</f>
        <v/>
      </c>
    </row>
    <row r="260">
      <c r="A260" s="3" t="n">
        <v>46001</v>
      </c>
      <c r="B260" s="4" t="inlineStr">
        <is>
          <t>Wednesday</t>
        </is>
      </c>
      <c r="C260" s="4" t="inlineStr">
        <is>
          <t>Dec 25</t>
        </is>
      </c>
      <c r="D260" s="4" t="inlineStr">
        <is>
          <t>10/12/2025, 11:43 am</t>
        </is>
      </c>
      <c r="E260" s="4" t="inlineStr">
        <is>
          <t>10/12/2025, 11:44 am</t>
        </is>
      </c>
      <c r="F260" s="4">
        <f>(E260-D260)*24*60</f>
        <v/>
      </c>
      <c r="G260" s="4" t="inlineStr">
        <is>
          <t>SOIL TO SKY PROJECTS PRIVATE LIMITED</t>
        </is>
      </c>
      <c r="H260" s="4" t="inlineStr">
        <is>
          <t>001fw000004W8jPAAS</t>
        </is>
      </c>
      <c r="I260" s="4" t="n">
        <v>751019</v>
      </c>
      <c r="J260" s="4" t="inlineStr">
        <is>
          <t>KHORDHA</t>
        </is>
      </c>
      <c r="K260" s="4" t="inlineStr"/>
      <c r="L260" s="4" t="inlineStr">
        <is>
          <t>Retailer PB</t>
        </is>
      </c>
      <c r="M260" s="4" t="inlineStr">
        <is>
          <t>Got future date</t>
        </is>
      </c>
      <c r="N260" s="4" t="inlineStr">
        <is>
          <t>Contractor of commercial and real estate projects. Rates given 56000 landed to the custumer. Will connect us.</t>
        </is>
      </c>
      <c r="O260" s="4" t="inlineStr">
        <is>
          <t>Will connect us when inquiry comes . Need time as site will release requirement .</t>
        </is>
      </c>
      <c r="P260" s="4" t="inlineStr">
        <is>
          <t>Contractor of commercial and real estate projects. Rates given 56000 landed to the custumer. Will connect us. | Will connect us when inquiry comes . Need time as site will release requirement .</t>
        </is>
      </c>
      <c r="Q260" s="4">
        <f>LEN(TRIM(P260))-LEN(SUBSTITUTE(P260," ",""))+1</f>
        <v/>
      </c>
      <c r="R260" s="4" t="n">
        <v>22.8119939</v>
      </c>
      <c r="S260" s="4" t="n">
        <v>86.2152018</v>
      </c>
      <c r="T260" s="4">
        <f>COUNTIF($G$2:G260,G260)</f>
        <v/>
      </c>
      <c r="U260" s="4">
        <f>IF(F260&lt;5,"YES","NO")</f>
        <v/>
      </c>
      <c r="V260" s="4">
        <f>IF(AND(N260&lt;&gt;"",O260&lt;&gt;""),"YES","NO")</f>
        <v/>
      </c>
      <c r="W260" s="4">
        <f>IF(HOUR(D260)&lt;12,"Morning",IF(HOUR(D260)&lt;17,"Afternoon","Evening"))</f>
        <v/>
      </c>
      <c r="X260" s="4" t="n">
        <v>7</v>
      </c>
      <c r="Y260" s="4">
        <f>IF(F260&lt;5,"&lt;5 min",IF(F260&lt;15,"5-15 min",IF(F260&lt;30,"15-30 min","30+ min")))</f>
        <v/>
      </c>
    </row>
    <row r="261">
      <c r="A261" s="3" t="n">
        <v>46010</v>
      </c>
      <c r="B261" s="4" t="inlineStr">
        <is>
          <t>Friday</t>
        </is>
      </c>
      <c r="C261" s="4" t="inlineStr">
        <is>
          <t>Dec 25</t>
        </is>
      </c>
      <c r="D261" s="4" t="inlineStr">
        <is>
          <t>19/12/2025, 10:35 am</t>
        </is>
      </c>
      <c r="E261" s="4" t="inlineStr">
        <is>
          <t>19/12/2025, 10:37 am</t>
        </is>
      </c>
      <c r="F261" s="4">
        <f>(E261-D261)*24*60</f>
        <v/>
      </c>
      <c r="G261" s="4" t="inlineStr">
        <is>
          <t>SOIL TO SKY PROJECTS PRIVATE LIMITED</t>
        </is>
      </c>
      <c r="H261" s="4" t="inlineStr">
        <is>
          <t>001fw000004W8jPAAS</t>
        </is>
      </c>
      <c r="I261" s="4" t="n">
        <v>751019</v>
      </c>
      <c r="J261" s="4" t="inlineStr">
        <is>
          <t>KHORDHA</t>
        </is>
      </c>
      <c r="K261" s="4" t="inlineStr"/>
      <c r="L261" s="4" t="inlineStr">
        <is>
          <t>Retailer PB</t>
        </is>
      </c>
      <c r="M261" s="4" t="inlineStr">
        <is>
          <t>Got future date</t>
        </is>
      </c>
      <c r="N261" s="4" t="inlineStr">
        <is>
          <t>Contractor of ihb and commercial projects . Rates given 56000 landed to the customer.</t>
        </is>
      </c>
      <c r="O261" s="4" t="inlineStr">
        <is>
          <t>Will connect us later . Need time to share inquiry from custumer .</t>
        </is>
      </c>
      <c r="P261" s="4" t="inlineStr">
        <is>
          <t>Contractor of ihb and commercial projects . Rates given 56000 landed to the customer. | Will connect us later . Need time to share inquiry from custumer .</t>
        </is>
      </c>
      <c r="Q261" s="4">
        <f>LEN(TRIM(P261))-LEN(SUBSTITUTE(P261," ",""))+1</f>
        <v/>
      </c>
      <c r="R261" s="4" t="n">
        <v>22.8119958</v>
      </c>
      <c r="S261" s="4" t="n">
        <v>86.21519619999999</v>
      </c>
      <c r="T261" s="4">
        <f>COUNTIF($G$2:G261,G261)</f>
        <v/>
      </c>
      <c r="U261" s="4">
        <f>IF(F261&lt;5,"YES","NO")</f>
        <v/>
      </c>
      <c r="V261" s="4">
        <f>IF(AND(N261&lt;&gt;"",O261&lt;&gt;""),"YES","NO")</f>
        <v/>
      </c>
      <c r="W261" s="4">
        <f>IF(HOUR(D261)&lt;12,"Morning",IF(HOUR(D261)&lt;17,"Afternoon","Evening"))</f>
        <v/>
      </c>
      <c r="X261" s="4" t="n">
        <v>7</v>
      </c>
      <c r="Y261" s="4">
        <f>IF(F261&lt;5,"&lt;5 min",IF(F261&lt;15,"5-15 min",IF(F261&lt;30,"15-30 min","30+ min")))</f>
        <v/>
      </c>
    </row>
    <row r="262">
      <c r="A262" s="3" t="n">
        <v>46022</v>
      </c>
      <c r="B262" s="4" t="inlineStr">
        <is>
          <t>Wednesday</t>
        </is>
      </c>
      <c r="C262" s="4" t="inlineStr">
        <is>
          <t>Dec 25</t>
        </is>
      </c>
      <c r="D262" s="4" t="inlineStr">
        <is>
          <t>31/12/2025, 4:24 pm</t>
        </is>
      </c>
      <c r="E262" s="4" t="inlineStr">
        <is>
          <t>31/12/2025, 4:26 pm</t>
        </is>
      </c>
      <c r="F262" s="4">
        <f>(E262-D262)*24*60</f>
        <v/>
      </c>
      <c r="G262" s="4" t="inlineStr">
        <is>
          <t>SOIL TO SKY PROJECTS PRIVATE LIMITED</t>
        </is>
      </c>
      <c r="H262" s="4" t="inlineStr">
        <is>
          <t>001fw000004W8jPAAS</t>
        </is>
      </c>
      <c r="I262" s="4" t="n">
        <v>751019</v>
      </c>
      <c r="J262" s="4" t="inlineStr">
        <is>
          <t>KHORDHA</t>
        </is>
      </c>
      <c r="K262" s="4" t="inlineStr"/>
      <c r="L262" s="4" t="inlineStr">
        <is>
          <t>Retailer PB</t>
        </is>
      </c>
      <c r="M262" s="4" t="inlineStr">
        <is>
          <t>Got future date</t>
        </is>
      </c>
      <c r="N262" s="4" t="inlineStr">
        <is>
          <t>Commercial and real estate projects contactor. Rates given 58000 LANDED to the CUSTUMER.</t>
        </is>
      </c>
      <c r="O262" s="4" t="inlineStr">
        <is>
          <t>Will connect with us on inquiry received from sir. Waiting for indent.</t>
        </is>
      </c>
      <c r="P262" s="4" t="inlineStr">
        <is>
          <t>Commercial and real estate projects contactor. Rates given 58000 LANDED to the CUSTUMER. | Will connect with us on inquiry received from sir. Waiting for indent.</t>
        </is>
      </c>
      <c r="Q262" s="4">
        <f>LEN(TRIM(P262))-LEN(SUBSTITUTE(P262," ",""))+1</f>
        <v/>
      </c>
      <c r="R262" s="4" t="n">
        <v>22.8121218</v>
      </c>
      <c r="S262" s="4" t="n">
        <v>86.2151583</v>
      </c>
      <c r="T262" s="4">
        <f>COUNTIF($G$2:G262,G262)</f>
        <v/>
      </c>
      <c r="U262" s="4">
        <f>IF(F262&lt;5,"YES","NO")</f>
        <v/>
      </c>
      <c r="V262" s="4">
        <f>IF(AND(N262&lt;&gt;"",O262&lt;&gt;""),"YES","NO")</f>
        <v/>
      </c>
      <c r="W262" s="4">
        <f>IF(HOUR(D262)&lt;12,"Morning",IF(HOUR(D262)&lt;17,"Afternoon","Evening"))</f>
        <v/>
      </c>
      <c r="X262" s="4" t="n">
        <v>6</v>
      </c>
      <c r="Y262" s="4">
        <f>IF(F262&lt;5,"&lt;5 min",IF(F262&lt;15,"5-15 min",IF(F262&lt;30,"15-30 min","30+ min")))</f>
        <v/>
      </c>
    </row>
    <row r="263">
      <c r="A263" s="3" t="n">
        <v>46029</v>
      </c>
      <c r="B263" s="4" t="inlineStr">
        <is>
          <t>Wednesday</t>
        </is>
      </c>
      <c r="C263" s="4" t="inlineStr">
        <is>
          <t>Jan 26</t>
        </is>
      </c>
      <c r="D263" s="4" t="inlineStr">
        <is>
          <t>07/01/2026, 6:42 pm</t>
        </is>
      </c>
      <c r="E263" s="4" t="inlineStr">
        <is>
          <t>07/01/2026, 6:42 pm</t>
        </is>
      </c>
      <c r="F263" s="4">
        <f>(E263-D263)*24*60</f>
        <v/>
      </c>
      <c r="G263" s="4" t="inlineStr">
        <is>
          <t>SOIL TO SKY PROJECTS PRIVATE LIMITED</t>
        </is>
      </c>
      <c r="H263" s="4" t="inlineStr">
        <is>
          <t>001fw000004W8jPAAS</t>
        </is>
      </c>
      <c r="I263" s="4" t="n">
        <v>751019</v>
      </c>
      <c r="J263" s="4" t="inlineStr">
        <is>
          <t>KHORDHA</t>
        </is>
      </c>
      <c r="K263" s="4" t="inlineStr"/>
      <c r="L263" s="4" t="inlineStr">
        <is>
          <t>Retailer PB</t>
        </is>
      </c>
      <c r="M263" s="4" t="inlineStr">
        <is>
          <t>Got future date</t>
        </is>
      </c>
      <c r="N263" s="4" t="inlineStr">
        <is>
          <t>IHB , commercial project and real estate projects contactor. Using tiscon panther and RUNGTA. Rates given 59500 landed to the CUSTUMER.</t>
        </is>
      </c>
      <c r="O263" s="4" t="inlineStr">
        <is>
          <t>Will connect us on inquiry received. Waiting for site to share.</t>
        </is>
      </c>
      <c r="P263" s="4" t="inlineStr">
        <is>
          <t>IHB , commercial project and real estate projects contactor. Using tiscon panther and RUNGTA. Rates given 59500 landed to the CUSTUMER. | Will connect us on inquiry received. Waiting for site to share.</t>
        </is>
      </c>
      <c r="Q263" s="4">
        <f>LEN(TRIM(P263))-LEN(SUBSTITUTE(P263," ",""))+1</f>
        <v/>
      </c>
      <c r="R263" s="4" t="n">
        <v>22.8132834</v>
      </c>
      <c r="S263" s="4" t="n">
        <v>86.21505550000001</v>
      </c>
      <c r="T263" s="4">
        <f>COUNTIF($G$2:G263,G263)</f>
        <v/>
      </c>
      <c r="U263" s="4">
        <f>IF(F263&lt;5,"YES","NO")</f>
        <v/>
      </c>
      <c r="V263" s="4">
        <f>IF(AND(N263&lt;&gt;"",O263&lt;&gt;""),"YES","NO")</f>
        <v/>
      </c>
      <c r="W263" s="4">
        <f>IF(HOUR(D263)&lt;12,"Morning",IF(HOUR(D263)&lt;17,"Afternoon","Evening"))</f>
        <v/>
      </c>
      <c r="X263" s="4" t="n">
        <v>6</v>
      </c>
      <c r="Y263" s="4">
        <f>IF(F263&lt;5,"&lt;5 min",IF(F263&lt;15,"5-15 min",IF(F263&lt;30,"15-30 min","30+ min")))</f>
        <v/>
      </c>
    </row>
    <row r="264">
      <c r="A264" s="3" t="n">
        <v>46034</v>
      </c>
      <c r="B264" s="4" t="inlineStr">
        <is>
          <t>Monday</t>
        </is>
      </c>
      <c r="C264" s="4" t="inlineStr">
        <is>
          <t>Jan 26</t>
        </is>
      </c>
      <c r="D264" s="4" t="inlineStr">
        <is>
          <t>12/01/2026, 7:17 pm</t>
        </is>
      </c>
      <c r="E264" s="4" t="inlineStr">
        <is>
          <t>12/01/2026, 7:25 pm</t>
        </is>
      </c>
      <c r="F264" s="4">
        <f>(E264-D264)*24*60</f>
        <v/>
      </c>
      <c r="G264" s="4" t="inlineStr">
        <is>
          <t>SOIL TO SKY PROJECTS PRIVATE LIMITED</t>
        </is>
      </c>
      <c r="H264" s="4" t="inlineStr">
        <is>
          <t>001fw000004W8jPAAS</t>
        </is>
      </c>
      <c r="I264" s="4" t="n">
        <v>751019</v>
      </c>
      <c r="J264" s="4" t="inlineStr">
        <is>
          <t>KHORDHA</t>
        </is>
      </c>
      <c r="K264" s="4" t="inlineStr"/>
      <c r="L264" s="4" t="inlineStr">
        <is>
          <t>Retailer PB</t>
        </is>
      </c>
      <c r="M264" s="4" t="inlineStr">
        <is>
          <t>Got future date</t>
        </is>
      </c>
      <c r="N264" s="4" t="inlineStr">
        <is>
          <t>Commercial and real estate project contractor. Using panther and tiscon . Rates given 61500 landed</t>
        </is>
      </c>
      <c r="O264" s="4" t="inlineStr">
        <is>
          <t>Will connect us on inquiry received from site. Will share as soon indent received from site.</t>
        </is>
      </c>
      <c r="P264" s="4" t="inlineStr">
        <is>
          <t>Commercial and real estate project contractor. Using panther and tiscon . Rates given 61500 landed | Will connect us on inquiry received from site. Will share as soon indent received from site.</t>
        </is>
      </c>
      <c r="Q264" s="4">
        <f>LEN(TRIM(P264))-LEN(SUBSTITUTE(P264," ",""))+1</f>
        <v/>
      </c>
      <c r="R264" s="4" t="n">
        <v>22.8121908</v>
      </c>
      <c r="S264" s="4" t="n">
        <v>86.21535129999999</v>
      </c>
      <c r="T264" s="4">
        <f>COUNTIF($G$2:G264,G264)</f>
        <v/>
      </c>
      <c r="U264" s="4">
        <f>IF(F264&lt;5,"YES","NO")</f>
        <v/>
      </c>
      <c r="V264" s="4">
        <f>IF(AND(N264&lt;&gt;"",O264&lt;&gt;""),"YES","NO")</f>
        <v/>
      </c>
      <c r="W264" s="4">
        <f>IF(HOUR(D264)&lt;12,"Morning",IF(HOUR(D264)&lt;17,"Afternoon","Evening"))</f>
        <v/>
      </c>
      <c r="X264" s="4" t="n">
        <v>6</v>
      </c>
      <c r="Y264" s="4">
        <f>IF(F264&lt;5,"&lt;5 min",IF(F264&lt;15,"5-15 min",IF(F264&lt;30,"15-30 min","30+ min")))</f>
        <v/>
      </c>
    </row>
    <row r="265">
      <c r="A265" s="3" t="n">
        <v>46043</v>
      </c>
      <c r="B265" s="4" t="inlineStr">
        <is>
          <t>Wednesday</t>
        </is>
      </c>
      <c r="C265" s="4" t="inlineStr">
        <is>
          <t>Jan 26</t>
        </is>
      </c>
      <c r="D265" s="4" t="inlineStr">
        <is>
          <t>21/01/2026, 5:10 pm</t>
        </is>
      </c>
      <c r="E265" s="4" t="inlineStr">
        <is>
          <t>21/01/2026, 5:16 pm</t>
        </is>
      </c>
      <c r="F265" s="4">
        <f>(E265-D265)*24*60</f>
        <v/>
      </c>
      <c r="G265" s="4" t="inlineStr">
        <is>
          <t>SOIL TO SKY PROJECTS PRIVATE LIMITED</t>
        </is>
      </c>
      <c r="H265" s="4" t="inlineStr">
        <is>
          <t>001fw000004W8jPAAS</t>
        </is>
      </c>
      <c r="I265" s="4" t="n">
        <v>751019</v>
      </c>
      <c r="J265" s="4" t="inlineStr">
        <is>
          <t>KHORDHA</t>
        </is>
      </c>
      <c r="K265" s="4" t="inlineStr"/>
      <c r="L265" s="4" t="inlineStr">
        <is>
          <t>Retailer PB</t>
        </is>
      </c>
      <c r="M265" s="4" t="inlineStr">
        <is>
          <t>Got future date</t>
        </is>
      </c>
      <c r="N265" s="4" t="inlineStr">
        <is>
          <t>Real estate and commercial project contractor using tiscon and panther. Rates given 62500 landed to the CUSTUMER.</t>
        </is>
      </c>
      <c r="O265" s="4" t="inlineStr">
        <is>
          <t>Will connect us on inquiry received from site. Will share inquiry within this month for rates.</t>
        </is>
      </c>
      <c r="P265" s="4" t="inlineStr">
        <is>
          <t>Real estate and commercial project contractor using tiscon and panther. Rates given 62500 landed to the CUSTUMER. | Will connect us on inquiry received from site. Will share inquiry within this month for rates.</t>
        </is>
      </c>
      <c r="Q265" s="4">
        <f>LEN(TRIM(P265))-LEN(SUBSTITUTE(P265," ",""))+1</f>
        <v/>
      </c>
      <c r="R265" s="4" t="n">
        <v>22.8119051</v>
      </c>
      <c r="S265" s="4" t="n">
        <v>86.2152011</v>
      </c>
      <c r="T265" s="4">
        <f>COUNTIF($G$2:G265,G265)</f>
        <v/>
      </c>
      <c r="U265" s="4">
        <f>IF(F265&lt;5,"YES","NO")</f>
        <v/>
      </c>
      <c r="V265" s="4">
        <f>IF(AND(N265&lt;&gt;"",O265&lt;&gt;""),"YES","NO")</f>
        <v/>
      </c>
      <c r="W265" s="4">
        <f>IF(HOUR(D265)&lt;12,"Morning",IF(HOUR(D265)&lt;17,"Afternoon","Evening"))</f>
        <v/>
      </c>
      <c r="X265" s="4" t="n">
        <v>6</v>
      </c>
      <c r="Y265" s="4">
        <f>IF(F265&lt;5,"&lt;5 min",IF(F265&lt;15,"5-15 min",IF(F265&lt;30,"15-30 min","30+ min")))</f>
        <v/>
      </c>
    </row>
    <row r="266">
      <c r="A266" s="3" t="n">
        <v>46045</v>
      </c>
      <c r="B266" s="4" t="inlineStr">
        <is>
          <t>Friday</t>
        </is>
      </c>
      <c r="C266" s="4" t="inlineStr">
        <is>
          <t>Jan 26</t>
        </is>
      </c>
      <c r="D266" s="4" t="inlineStr">
        <is>
          <t>23/01/2026, 6:06 pm</t>
        </is>
      </c>
      <c r="E266" s="4" t="inlineStr">
        <is>
          <t>23/01/2026, 6:10 pm</t>
        </is>
      </c>
      <c r="F266" s="4">
        <f>(E266-D266)*24*60</f>
        <v/>
      </c>
      <c r="G266" s="4" t="inlineStr">
        <is>
          <t>SOIL TO SKY PROJECTS PRIVATE LIMITED</t>
        </is>
      </c>
      <c r="H266" s="4" t="inlineStr">
        <is>
          <t>001fw000004W8jPAAS</t>
        </is>
      </c>
      <c r="I266" s="4" t="n">
        <v>751019</v>
      </c>
      <c r="J266" s="4" t="inlineStr">
        <is>
          <t>KHORDHA</t>
        </is>
      </c>
      <c r="K266" s="4" t="inlineStr"/>
      <c r="L266" s="4" t="inlineStr">
        <is>
          <t>Retailer PB</t>
        </is>
      </c>
      <c r="M266" s="4" t="inlineStr">
        <is>
          <t>Got future date</t>
        </is>
      </c>
      <c r="N266" s="4" t="inlineStr">
        <is>
          <t>Real estate and commercial project contractor. Rates given 63500 landed to the CUSTUMER.</t>
        </is>
      </c>
      <c r="O266" s="4" t="inlineStr">
        <is>
          <t>Will connect us on inquiry received from site. Need time for tmt same. Last purchase tiscon @ 63 on credit.</t>
        </is>
      </c>
      <c r="P266" s="4" t="inlineStr">
        <is>
          <t>Real estate and commercial project contractor. Rates given 63500 landed to the CUSTUMER. | Will connect us on inquiry received from site. Need time for tmt same. Last purchase tiscon @ 63 on credit.</t>
        </is>
      </c>
      <c r="Q266" s="4">
        <f>LEN(TRIM(P266))-LEN(SUBSTITUTE(P266," ",""))+1</f>
        <v/>
      </c>
      <c r="R266" s="4" t="n">
        <v>22.8122107</v>
      </c>
      <c r="S266" s="4" t="n">
        <v>86.2141469</v>
      </c>
      <c r="T266" s="4">
        <f>COUNTIF($G$2:G266,G266)</f>
        <v/>
      </c>
      <c r="U266" s="4">
        <f>IF(F266&lt;5,"YES","NO")</f>
        <v/>
      </c>
      <c r="V266" s="4">
        <f>IF(AND(N266&lt;&gt;"",O266&lt;&gt;""),"YES","NO")</f>
        <v/>
      </c>
      <c r="W266" s="4">
        <f>IF(HOUR(D266)&lt;12,"Morning",IF(HOUR(D266)&lt;17,"Afternoon","Evening"))</f>
        <v/>
      </c>
      <c r="X266" s="4" t="n">
        <v>5</v>
      </c>
      <c r="Y266" s="4">
        <f>IF(F266&lt;5,"&lt;5 min",IF(F266&lt;15,"5-15 min",IF(F266&lt;30,"15-30 min","30+ min")))</f>
        <v/>
      </c>
    </row>
    <row r="267">
      <c r="A267" s="3" t="n">
        <v>46052</v>
      </c>
      <c r="B267" s="4" t="inlineStr">
        <is>
          <t>Friday</t>
        </is>
      </c>
      <c r="C267" s="4" t="inlineStr">
        <is>
          <t>Jan 26</t>
        </is>
      </c>
      <c r="D267" s="4" t="inlineStr">
        <is>
          <t>30/01/2026, 10:51 am</t>
        </is>
      </c>
      <c r="E267" s="4" t="inlineStr">
        <is>
          <t>30/01/2026, 10:53 am</t>
        </is>
      </c>
      <c r="F267" s="4">
        <f>(E267-D267)*24*60</f>
        <v/>
      </c>
      <c r="G267" s="4" t="inlineStr">
        <is>
          <t>SOIL TO SKY PROJECTS PRIVATE LIMITED</t>
        </is>
      </c>
      <c r="H267" s="4" t="inlineStr">
        <is>
          <t>001fw000004W8jPAAS</t>
        </is>
      </c>
      <c r="I267" s="4" t="n">
        <v>751019</v>
      </c>
      <c r="J267" s="4" t="inlineStr">
        <is>
          <t>KHORDHA</t>
        </is>
      </c>
      <c r="K267" s="4" t="inlineStr"/>
      <c r="L267" s="4" t="inlineStr">
        <is>
          <t>Retailer PB</t>
        </is>
      </c>
      <c r="M267" s="4" t="inlineStr">
        <is>
          <t>Got future date</t>
        </is>
      </c>
      <c r="N267" s="4" t="inlineStr">
        <is>
          <t>Real estate and commercial project contractor. Using tiscon and RUNGTA TMT. Rates given 64000 landed.</t>
        </is>
      </c>
      <c r="O267" s="4" t="inlineStr">
        <is>
          <t>Will connect us on inquiry received from site. Waiting for indent. Will share us.</t>
        </is>
      </c>
      <c r="P267" s="4" t="inlineStr">
        <is>
          <t>Real estate and commercial project contractor. Using tiscon and RUNGTA TMT. Rates given 64000 landed. | Will connect us on inquiry received from site. Waiting for indent. Will share us.</t>
        </is>
      </c>
      <c r="Q267" s="4">
        <f>LEN(TRIM(P267))-LEN(SUBSTITUTE(P267," ",""))+1</f>
        <v/>
      </c>
      <c r="R267" s="4" t="n">
        <v>22.8121232</v>
      </c>
      <c r="S267" s="4" t="n">
        <v>86.2151459</v>
      </c>
      <c r="T267" s="4">
        <f>COUNTIF($G$2:G267,G267)</f>
        <v/>
      </c>
      <c r="U267" s="4">
        <f>IF(F267&lt;5,"YES","NO")</f>
        <v/>
      </c>
      <c r="V267" s="4">
        <f>IF(AND(N267&lt;&gt;"",O267&lt;&gt;""),"YES","NO")</f>
        <v/>
      </c>
      <c r="W267" s="4">
        <f>IF(HOUR(D267)&lt;12,"Morning",IF(HOUR(D267)&lt;17,"Afternoon","Evening"))</f>
        <v/>
      </c>
      <c r="X267" s="4" t="n">
        <v>6</v>
      </c>
      <c r="Y267" s="4">
        <f>IF(F267&lt;5,"&lt;5 min",IF(F267&lt;15,"5-15 min",IF(F267&lt;30,"15-30 min","30+ min")))</f>
        <v/>
      </c>
    </row>
    <row r="268">
      <c r="A268" s="3" t="n">
        <v>45994</v>
      </c>
      <c r="B268" s="4" t="inlineStr">
        <is>
          <t>Wednesday</t>
        </is>
      </c>
      <c r="C268" s="4" t="inlineStr">
        <is>
          <t>Dec 25</t>
        </is>
      </c>
      <c r="D268" s="4" t="inlineStr">
        <is>
          <t>03/12/2025, 5:15 pm</t>
        </is>
      </c>
      <c r="E268" s="4" t="inlineStr">
        <is>
          <t>03/12/2025, 5:16 pm</t>
        </is>
      </c>
      <c r="F268" s="4">
        <f>(E268-D268)*24*60</f>
        <v/>
      </c>
      <c r="G268" s="4" t="inlineStr">
        <is>
          <t>SRI JAGANNATH TRADERS</t>
        </is>
      </c>
      <c r="H268" s="4" t="inlineStr">
        <is>
          <t>001fw00000EPqjLAAT</t>
        </is>
      </c>
      <c r="I268" s="4" t="n">
        <v>832108</v>
      </c>
      <c r="J268" s="4" t="inlineStr">
        <is>
          <t>SARAIKELA KHARSAWAN</t>
        </is>
      </c>
      <c r="K268" s="4" t="inlineStr"/>
      <c r="L268" s="4" t="inlineStr">
        <is>
          <t>Retailer PB</t>
        </is>
      </c>
      <c r="M268" s="4" t="inlineStr">
        <is>
          <t>Got future date</t>
        </is>
      </c>
      <c r="N268" s="4" t="inlineStr">
        <is>
          <t>Dealer of tiscon and rungta. Rates and product knowledge shared with him. Will decide and connect .</t>
        </is>
      </c>
      <c r="O268" s="4" t="inlineStr">
        <is>
          <t>Will connect us once inquiry or such demand comes to him.</t>
        </is>
      </c>
      <c r="P268" s="4" t="inlineStr">
        <is>
          <t>Dealer of tiscon and rungta. Rates and product knowledge shared with him. Will decide and connect . | Will connect us once inquiry or such demand comes to him.</t>
        </is>
      </c>
      <c r="Q268" s="4">
        <f>LEN(TRIM(P268))-LEN(SUBSTITUTE(P268," ",""))+1</f>
        <v/>
      </c>
      <c r="R268" s="4" t="n">
        <v>22.8333094</v>
      </c>
      <c r="S268" s="4" t="n">
        <v>86.0788005</v>
      </c>
      <c r="T268" s="4">
        <f>COUNTIF($G$2:G268,G268)</f>
        <v/>
      </c>
      <c r="U268" s="4">
        <f>IF(F268&lt;5,"YES","NO")</f>
        <v/>
      </c>
      <c r="V268" s="4">
        <f>IF(AND(N268&lt;&gt;"",O268&lt;&gt;""),"YES","NO")</f>
        <v/>
      </c>
      <c r="W268" s="4">
        <f>IF(HOUR(D268)&lt;12,"Morning",IF(HOUR(D268)&lt;17,"Afternoon","Evening"))</f>
        <v/>
      </c>
      <c r="X268" s="4" t="n">
        <v>6</v>
      </c>
      <c r="Y268" s="4">
        <f>IF(F268&lt;5,"&lt;5 min",IF(F268&lt;15,"5-15 min",IF(F268&lt;30,"15-30 min","30+ min")))</f>
        <v/>
      </c>
    </row>
    <row r="269">
      <c r="A269" s="3" t="n">
        <v>46045</v>
      </c>
      <c r="B269" s="4" t="inlineStr">
        <is>
          <t>Friday</t>
        </is>
      </c>
      <c r="C269" s="4" t="inlineStr">
        <is>
          <t>Jan 26</t>
        </is>
      </c>
      <c r="D269" s="4" t="inlineStr">
        <is>
          <t>23/01/2026, 1:45 pm</t>
        </is>
      </c>
      <c r="E269" s="4" t="inlineStr">
        <is>
          <t>23/01/2026, 1:46 pm</t>
        </is>
      </c>
      <c r="F269" s="4">
        <f>(E269-D269)*24*60</f>
        <v/>
      </c>
      <c r="G269" s="4" t="inlineStr">
        <is>
          <t>SRI JAGANNATH TRADERS</t>
        </is>
      </c>
      <c r="H269" s="4" t="inlineStr">
        <is>
          <t>001fw00000EPqjLAAT</t>
        </is>
      </c>
      <c r="I269" s="4" t="n">
        <v>832108</v>
      </c>
      <c r="J269" s="4" t="inlineStr">
        <is>
          <t>SARAIKELA KHARSAWAN</t>
        </is>
      </c>
      <c r="K269" s="4" t="inlineStr"/>
      <c r="L269" s="4" t="inlineStr">
        <is>
          <t>Retailer PB</t>
        </is>
      </c>
      <c r="M269" s="4" t="inlineStr">
        <is>
          <t>Got future date</t>
        </is>
      </c>
      <c r="N269" s="4" t="inlineStr">
        <is>
          <t>Dealer of Tata tiscon and RUNGTA TMT. Rates given 63000 landed. Will connect us on inquiry.</t>
        </is>
      </c>
      <c r="O269" s="4" t="inlineStr">
        <is>
          <t>Last purchase Tata 61000 landed. Will connect us on inquiry received.</t>
        </is>
      </c>
      <c r="P269" s="4" t="inlineStr">
        <is>
          <t>Dealer of Tata tiscon and RUNGTA TMT. Rates given 63000 landed. Will connect us on inquiry. | Last purchase Tata 61000 landed. Will connect us on inquiry received.</t>
        </is>
      </c>
      <c r="Q269" s="4">
        <f>LEN(TRIM(P269))-LEN(SUBSTITUTE(P269," ",""))+1</f>
        <v/>
      </c>
      <c r="R269" s="4" t="n">
        <v>22.8328322</v>
      </c>
      <c r="S269" s="4" t="n">
        <v>86.07911780000001</v>
      </c>
      <c r="T269" s="4">
        <f>COUNTIF($G$2:G269,G269)</f>
        <v/>
      </c>
      <c r="U269" s="4">
        <f>IF(F269&lt;5,"YES","NO")</f>
        <v/>
      </c>
      <c r="V269" s="4">
        <f>IF(AND(N269&lt;&gt;"",O269&lt;&gt;""),"YES","NO")</f>
        <v/>
      </c>
      <c r="W269" s="4">
        <f>IF(HOUR(D269)&lt;12,"Morning",IF(HOUR(D269)&lt;17,"Afternoon","Evening"))</f>
        <v/>
      </c>
      <c r="X269" s="4" t="n">
        <v>5</v>
      </c>
      <c r="Y269" s="4">
        <f>IF(F269&lt;5,"&lt;5 min",IF(F269&lt;15,"5-15 min",IF(F269&lt;30,"15-30 min","30+ min")))</f>
        <v/>
      </c>
    </row>
    <row r="270">
      <c r="A270" s="3" t="n">
        <v>45967</v>
      </c>
      <c r="B270" s="4" t="inlineStr">
        <is>
          <t>Thursday</t>
        </is>
      </c>
      <c r="C270" s="4" t="inlineStr">
        <is>
          <t>Nov 25</t>
        </is>
      </c>
      <c r="D270" s="4" t="inlineStr">
        <is>
          <t>06/11/2025, 11:53 am</t>
        </is>
      </c>
      <c r="E270" s="4" t="inlineStr">
        <is>
          <t>06/11/2025, 11:54 am</t>
        </is>
      </c>
      <c r="F270" s="4">
        <f>(E270-D270)*24*60</f>
        <v/>
      </c>
      <c r="G270" s="4" t="inlineStr">
        <is>
          <t>SRISHTI DESIGNER</t>
        </is>
      </c>
      <c r="H270" s="4" t="inlineStr">
        <is>
          <t>001J100000Vo0eXIAR</t>
        </is>
      </c>
      <c r="I270" s="4" t="n">
        <v>831001</v>
      </c>
      <c r="J270" s="4" t="inlineStr">
        <is>
          <t>EAST SINGHBUM</t>
        </is>
      </c>
      <c r="K270" s="4" t="inlineStr"/>
      <c r="L270" s="4" t="inlineStr">
        <is>
          <t>Retailer PB</t>
        </is>
      </c>
      <c r="M270" s="4" t="inlineStr">
        <is>
          <t>Got future date</t>
        </is>
      </c>
      <c r="N270" s="4" t="inlineStr">
        <is>
          <t>Archietect of commercial real estate and ihb projects . Using tiscon panther and rungta . Rates given 46500 basic to the dealer . Will connect us .</t>
        </is>
      </c>
      <c r="O270" s="4" t="inlineStr">
        <is>
          <t>Last purchased for site panther for 58000 landed from manufacturer. Will connect with inquiry .</t>
        </is>
      </c>
      <c r="P270" s="4" t="inlineStr">
        <is>
          <t>Archietect of commercial real estate and ihb projects . Using tiscon panther and rungta . Rates given 46500 basic to the dealer . Will connect us . | Last purchased for site panther for 58000 landed from manufacturer. Will connect with inquiry .</t>
        </is>
      </c>
      <c r="Q270" s="4">
        <f>LEN(TRIM(P270))-LEN(SUBSTITUTE(P270," ",""))+1</f>
        <v/>
      </c>
      <c r="R270" s="4" t="n">
        <v>22.8119796</v>
      </c>
      <c r="S270" s="4" t="n">
        <v>86.2151789</v>
      </c>
      <c r="T270" s="4">
        <f>COUNTIF($G$2:G270,G270)</f>
        <v/>
      </c>
      <c r="U270" s="4">
        <f>IF(F270&lt;5,"YES","NO")</f>
        <v/>
      </c>
      <c r="V270" s="4">
        <f>IF(AND(N270&lt;&gt;"",O270&lt;&gt;""),"YES","NO")</f>
        <v/>
      </c>
      <c r="W270" s="4">
        <f>IF(HOUR(D270)&lt;12,"Morning",IF(HOUR(D270)&lt;17,"Afternoon","Evening"))</f>
        <v/>
      </c>
      <c r="X270" s="4" t="n">
        <v>6</v>
      </c>
      <c r="Y270" s="4">
        <f>IF(F270&lt;5,"&lt;5 min",IF(F270&lt;15,"5-15 min",IF(F270&lt;30,"15-30 min","30+ min")))</f>
        <v/>
      </c>
    </row>
    <row r="271">
      <c r="A271" s="3" t="n">
        <v>45975</v>
      </c>
      <c r="B271" s="4" t="inlineStr">
        <is>
          <t>Friday</t>
        </is>
      </c>
      <c r="C271" s="4" t="inlineStr">
        <is>
          <t>Nov 25</t>
        </is>
      </c>
      <c r="D271" s="4" t="inlineStr">
        <is>
          <t>14/11/2025, 4:16 pm</t>
        </is>
      </c>
      <c r="E271" s="4" t="inlineStr">
        <is>
          <t>14/11/2025, 4:17 pm</t>
        </is>
      </c>
      <c r="F271" s="4">
        <f>(E271-D271)*24*60</f>
        <v/>
      </c>
      <c r="G271" s="4" t="inlineStr">
        <is>
          <t>SRISHTI DESIGNER</t>
        </is>
      </c>
      <c r="H271" s="4" t="inlineStr">
        <is>
          <t>001J100000Vo0eXIAR</t>
        </is>
      </c>
      <c r="I271" s="4" t="n">
        <v>831001</v>
      </c>
      <c r="J271" s="4" t="inlineStr">
        <is>
          <t>EAST SINGHBUM</t>
        </is>
      </c>
      <c r="K271" s="4" t="inlineStr"/>
      <c r="L271" s="4" t="inlineStr">
        <is>
          <t>Retailer PB</t>
        </is>
      </c>
      <c r="M271" s="4" t="inlineStr">
        <is>
          <t>Got future date</t>
        </is>
      </c>
      <c r="N271" s="4" t="inlineStr">
        <is>
          <t>Archietect and contractor of real estate, commercial projects . Rates shared 57000 landed given to the engineer. Will guide end user and share their inquiries.</t>
        </is>
      </c>
      <c r="O271" s="4" t="inlineStr">
        <is>
          <t>Will connect us as soon as inquiry comes by site or end customer.</t>
        </is>
      </c>
      <c r="P271" s="4" t="inlineStr">
        <is>
          <t>Archietect and contractor of real estate, commercial projects . Rates shared 57000 landed given to the engineer. Will guide end user and share their inquiries. | Will connect us as soon as inquiry comes by site or end customer.</t>
        </is>
      </c>
      <c r="Q271" s="4">
        <f>LEN(TRIM(P271))-LEN(SUBSTITUTE(P271," ",""))+1</f>
        <v/>
      </c>
      <c r="R271" s="4" t="n">
        <v>22.8121236</v>
      </c>
      <c r="S271" s="4" t="n">
        <v>86.21513160000001</v>
      </c>
      <c r="T271" s="4">
        <f>COUNTIF($G$2:G271,G271)</f>
        <v/>
      </c>
      <c r="U271" s="4">
        <f>IF(F271&lt;5,"YES","NO")</f>
        <v/>
      </c>
      <c r="V271" s="4">
        <f>IF(AND(N271&lt;&gt;"",O271&lt;&gt;""),"YES","NO")</f>
        <v/>
      </c>
      <c r="W271" s="4">
        <f>IF(HOUR(D271)&lt;12,"Morning",IF(HOUR(D271)&lt;17,"Afternoon","Evening"))</f>
        <v/>
      </c>
      <c r="X271" s="4" t="n">
        <v>5</v>
      </c>
      <c r="Y271" s="4">
        <f>IF(F271&lt;5,"&lt;5 min",IF(F271&lt;15,"5-15 min",IF(F271&lt;30,"15-30 min","30+ min")))</f>
        <v/>
      </c>
    </row>
    <row r="272">
      <c r="A272" s="3" t="n">
        <v>45982</v>
      </c>
      <c r="B272" s="4" t="inlineStr">
        <is>
          <t>Friday</t>
        </is>
      </c>
      <c r="C272" s="4" t="inlineStr">
        <is>
          <t>Nov 25</t>
        </is>
      </c>
      <c r="D272" s="4" t="inlineStr">
        <is>
          <t>21/11/2025, 3:31 pm</t>
        </is>
      </c>
      <c r="E272" s="4" t="inlineStr">
        <is>
          <t>21/11/2025, 3:32 pm</t>
        </is>
      </c>
      <c r="F272" s="4">
        <f>(E272-D272)*24*60</f>
        <v/>
      </c>
      <c r="G272" s="4" t="inlineStr">
        <is>
          <t>SRISHTI DESIGNER</t>
        </is>
      </c>
      <c r="H272" s="4" t="inlineStr">
        <is>
          <t>001J100000Vo0eXIAR</t>
        </is>
      </c>
      <c r="I272" s="4" t="n">
        <v>831001</v>
      </c>
      <c r="J272" s="4" t="inlineStr">
        <is>
          <t>EAST SINGHBUM</t>
        </is>
      </c>
      <c r="K272" s="4" t="inlineStr"/>
      <c r="L272" s="4" t="inlineStr">
        <is>
          <t>Retailer PB</t>
        </is>
      </c>
      <c r="M272" s="4" t="inlineStr">
        <is>
          <t>Got future date</t>
        </is>
      </c>
      <c r="N272" s="4" t="inlineStr">
        <is>
          <t>Influencer and contractor of projects rates given 54000 landed to the customer. Using panther and rungta .</t>
        </is>
      </c>
      <c r="O272" s="4" t="inlineStr">
        <is>
          <t>Will connect us with an inquiry. Will share us the end user inquiry.</t>
        </is>
      </c>
      <c r="P272" s="4" t="inlineStr">
        <is>
          <t>Influencer and contractor of projects rates given 54000 landed to the customer. Using panther and rungta . | Will connect us with an inquiry. Will share us the end user inquiry.</t>
        </is>
      </c>
      <c r="Q272" s="4">
        <f>LEN(TRIM(P272))-LEN(SUBSTITUTE(P272," ",""))+1</f>
        <v/>
      </c>
      <c r="R272" s="4" t="n">
        <v>22.8121195</v>
      </c>
      <c r="S272" s="4" t="n">
        <v>86.21505689999999</v>
      </c>
      <c r="T272" s="4">
        <f>COUNTIF($G$2:G272,G272)</f>
        <v/>
      </c>
      <c r="U272" s="4">
        <f>IF(F272&lt;5,"YES","NO")</f>
        <v/>
      </c>
      <c r="V272" s="4">
        <f>IF(AND(N272&lt;&gt;"",O272&lt;&gt;""),"YES","NO")</f>
        <v/>
      </c>
      <c r="W272" s="4">
        <f>IF(HOUR(D272)&lt;12,"Morning",IF(HOUR(D272)&lt;17,"Afternoon","Evening"))</f>
        <v/>
      </c>
      <c r="X272" s="4" t="n">
        <v>5</v>
      </c>
      <c r="Y272" s="4">
        <f>IF(F272&lt;5,"&lt;5 min",IF(F272&lt;15,"5-15 min",IF(F272&lt;30,"15-30 min","30+ min")))</f>
        <v/>
      </c>
    </row>
    <row r="273">
      <c r="A273" s="3" t="n">
        <v>46013</v>
      </c>
      <c r="B273" s="4" t="inlineStr">
        <is>
          <t>Monday</t>
        </is>
      </c>
      <c r="C273" s="4" t="inlineStr">
        <is>
          <t>Dec 25</t>
        </is>
      </c>
      <c r="D273" s="4" t="inlineStr">
        <is>
          <t>22/12/2025, 8:06 pm</t>
        </is>
      </c>
      <c r="E273" s="4" t="inlineStr">
        <is>
          <t>22/12/2025, 8:09 pm</t>
        </is>
      </c>
      <c r="F273" s="4">
        <f>(E273-D273)*24*60</f>
        <v/>
      </c>
      <c r="G273" s="4" t="inlineStr">
        <is>
          <t>SRISHTI DESIGNER</t>
        </is>
      </c>
      <c r="H273" s="4" t="inlineStr">
        <is>
          <t>001J100000Vo0eXIAR</t>
        </is>
      </c>
      <c r="I273" s="4" t="n">
        <v>831001</v>
      </c>
      <c r="J273" s="4" t="inlineStr">
        <is>
          <t>EAST SINGHBUM</t>
        </is>
      </c>
      <c r="K273" s="4" t="inlineStr"/>
      <c r="L273" s="4" t="inlineStr">
        <is>
          <t>Retailer PB</t>
        </is>
      </c>
      <c r="M273" s="4" t="inlineStr">
        <is>
          <t>Got future date</t>
        </is>
      </c>
      <c r="N273" s="4" t="inlineStr">
        <is>
          <t>Contractor architect of real estate and commercial projects. Using tiscon rungta and panther as per cudtumer preference. Rates given 57000 landed to the custumer .</t>
        </is>
      </c>
      <c r="O273" s="4" t="inlineStr">
        <is>
          <t>Will connect us . When inquiry received from sites for rates .</t>
        </is>
      </c>
      <c r="P273" s="4" t="inlineStr">
        <is>
          <t>Contractor architect of real estate and commercial projects. Using tiscon rungta and panther as per cudtumer preference. Rates given 57000 landed to the custumer . | Will connect us . When inquiry received from sites for rates .</t>
        </is>
      </c>
      <c r="Q273" s="4">
        <f>LEN(TRIM(P273))-LEN(SUBSTITUTE(P273," ",""))+1</f>
        <v/>
      </c>
      <c r="R273" s="4" t="n">
        <v>22.8119946</v>
      </c>
      <c r="S273" s="4" t="n">
        <v>86.2152103</v>
      </c>
      <c r="T273" s="4">
        <f>COUNTIF($G$2:G273,G273)</f>
        <v/>
      </c>
      <c r="U273" s="4">
        <f>IF(F273&lt;5,"YES","NO")</f>
        <v/>
      </c>
      <c r="V273" s="4">
        <f>IF(AND(N273&lt;&gt;"",O273&lt;&gt;""),"YES","NO")</f>
        <v/>
      </c>
      <c r="W273" s="4">
        <f>IF(HOUR(D273)&lt;12,"Morning",IF(HOUR(D273)&lt;17,"Afternoon","Evening"))</f>
        <v/>
      </c>
      <c r="X273" s="4" t="n">
        <v>7</v>
      </c>
      <c r="Y273" s="4">
        <f>IF(F273&lt;5,"&lt;5 min",IF(F273&lt;15,"5-15 min",IF(F273&lt;30,"15-30 min","30+ min")))</f>
        <v/>
      </c>
    </row>
    <row r="274">
      <c r="A274" s="3" t="n">
        <v>46030</v>
      </c>
      <c r="B274" s="4" t="inlineStr">
        <is>
          <t>Thursday</t>
        </is>
      </c>
      <c r="C274" s="4" t="inlineStr">
        <is>
          <t>Jan 26</t>
        </is>
      </c>
      <c r="D274" s="4" t="inlineStr">
        <is>
          <t>08/01/2026, 5:13 pm</t>
        </is>
      </c>
      <c r="E274" s="4" t="inlineStr">
        <is>
          <t>08/01/2026, 5:15 pm</t>
        </is>
      </c>
      <c r="F274" s="4">
        <f>(E274-D274)*24*60</f>
        <v/>
      </c>
      <c r="G274" s="4" t="inlineStr">
        <is>
          <t>SRISHTI DESIGNER</t>
        </is>
      </c>
      <c r="H274" s="4" t="inlineStr">
        <is>
          <t>001J100000Vo0eXIAR</t>
        </is>
      </c>
      <c r="I274" s="4" t="n">
        <v>831001</v>
      </c>
      <c r="J274" s="4" t="inlineStr">
        <is>
          <t>EAST SINGHBUM</t>
        </is>
      </c>
      <c r="K274" s="4" t="inlineStr"/>
      <c r="L274" s="4" t="inlineStr">
        <is>
          <t>Retailer PB</t>
        </is>
      </c>
      <c r="M274" s="4" t="inlineStr">
        <is>
          <t>Got future date</t>
        </is>
      </c>
      <c r="N274" s="4" t="inlineStr">
        <is>
          <t>IHB commercial and real estate architect and CONTRACTOR. Using panther rungta Tata tiscon. Rates given 59500 landed to the CUSTUMER.</t>
        </is>
      </c>
      <c r="O274" s="4" t="inlineStr">
        <is>
          <t>Will connect us on inquiry received from end CUSTUMER. Will share us to discuss rate on demand. R</t>
        </is>
      </c>
      <c r="P274" s="4" t="inlineStr">
        <is>
          <t>IHB commercial and real estate architect and CONTRACTOR. Using panther rungta Tata tiscon. Rates given 59500 landed to the CUSTUMER. | Will connect us on inquiry received from end CUSTUMER. Will share us to discuss rate on demand. R</t>
        </is>
      </c>
      <c r="Q274" s="4">
        <f>LEN(TRIM(P274))-LEN(SUBSTITUTE(P274," ",""))+1</f>
        <v/>
      </c>
      <c r="R274" s="4" t="n">
        <v>22.8120756</v>
      </c>
      <c r="S274" s="4" t="n">
        <v>86.21522229999999</v>
      </c>
      <c r="T274" s="4">
        <f>COUNTIF($G$2:G274,G274)</f>
        <v/>
      </c>
      <c r="U274" s="4">
        <f>IF(F274&lt;5,"YES","NO")</f>
        <v/>
      </c>
      <c r="V274" s="4">
        <f>IF(AND(N274&lt;&gt;"",O274&lt;&gt;""),"YES","NO")</f>
        <v/>
      </c>
      <c r="W274" s="4">
        <f>IF(HOUR(D274)&lt;12,"Morning",IF(HOUR(D274)&lt;17,"Afternoon","Evening"))</f>
        <v/>
      </c>
      <c r="X274" s="4" t="n">
        <v>7</v>
      </c>
      <c r="Y274" s="4">
        <f>IF(F274&lt;5,"&lt;5 min",IF(F274&lt;15,"5-15 min",IF(F274&lt;30,"15-30 min","30+ min")))</f>
        <v/>
      </c>
    </row>
    <row r="275">
      <c r="A275" s="3" t="n">
        <v>46038</v>
      </c>
      <c r="B275" s="4" t="inlineStr">
        <is>
          <t>Friday</t>
        </is>
      </c>
      <c r="C275" s="4" t="inlineStr">
        <is>
          <t>Jan 26</t>
        </is>
      </c>
      <c r="D275" s="4" t="inlineStr">
        <is>
          <t>16/01/2026, 10:55 am</t>
        </is>
      </c>
      <c r="E275" s="4" t="inlineStr">
        <is>
          <t>16/01/2026, 10:56 am</t>
        </is>
      </c>
      <c r="F275" s="4">
        <f>(E275-D275)*24*60</f>
        <v/>
      </c>
      <c r="G275" s="4" t="inlineStr">
        <is>
          <t>SRISHTI DESIGNER</t>
        </is>
      </c>
      <c r="H275" s="4" t="inlineStr">
        <is>
          <t>001J100000Vo0eXIAR</t>
        </is>
      </c>
      <c r="I275" s="4" t="n">
        <v>831001</v>
      </c>
      <c r="J275" s="4" t="inlineStr">
        <is>
          <t>EAST SINGHBUM</t>
        </is>
      </c>
      <c r="K275" s="4" t="inlineStr"/>
      <c r="L275" s="4" t="inlineStr">
        <is>
          <t>Retailer PB</t>
        </is>
      </c>
      <c r="M275" s="4" t="inlineStr">
        <is>
          <t>Got future date</t>
        </is>
      </c>
      <c r="N275" s="4" t="inlineStr">
        <is>
          <t>Archietect and contractor of commercial IHB and real estate projects contactor. Using tmt as per customer demand. Rates given 61500 landed.</t>
        </is>
      </c>
      <c r="O275" s="4" t="inlineStr">
        <is>
          <t>Will connect us on inquiry received from client. Giving them product description.</t>
        </is>
      </c>
      <c r="P275" s="4" t="inlineStr">
        <is>
          <t>Archietect and contractor of commercial IHB and real estate projects contactor. Using tmt as per customer demand. Rates given 61500 landed. | Will connect us on inquiry received from client. Giving them product description.</t>
        </is>
      </c>
      <c r="Q275" s="4">
        <f>LEN(TRIM(P275))-LEN(SUBSTITUTE(P275," ",""))+1</f>
        <v/>
      </c>
      <c r="R275" s="4" t="n">
        <v>22.8121268</v>
      </c>
      <c r="S275" s="4" t="n">
        <v>86.21514000000001</v>
      </c>
      <c r="T275" s="4">
        <f>COUNTIF($G$2:G275,G275)</f>
        <v/>
      </c>
      <c r="U275" s="4">
        <f>IF(F275&lt;5,"YES","NO")</f>
        <v/>
      </c>
      <c r="V275" s="4">
        <f>IF(AND(N275&lt;&gt;"",O275&lt;&gt;""),"YES","NO")</f>
        <v/>
      </c>
      <c r="W275" s="4">
        <f>IF(HOUR(D275)&lt;12,"Morning",IF(HOUR(D275)&lt;17,"Afternoon","Evening"))</f>
        <v/>
      </c>
      <c r="X275" s="4" t="n">
        <v>6</v>
      </c>
      <c r="Y275" s="4">
        <f>IF(F275&lt;5,"&lt;5 min",IF(F275&lt;15,"5-15 min",IF(F275&lt;30,"15-30 min","30+ min")))</f>
        <v/>
      </c>
    </row>
    <row r="276">
      <c r="A276" s="3" t="n">
        <v>46006</v>
      </c>
      <c r="B276" s="4" t="inlineStr">
        <is>
          <t>Monday</t>
        </is>
      </c>
      <c r="C276" s="4" t="inlineStr">
        <is>
          <t>Dec 25</t>
        </is>
      </c>
      <c r="D276" s="4" t="inlineStr">
        <is>
          <t>15/12/2025, 2:06 pm</t>
        </is>
      </c>
      <c r="E276" s="4" t="inlineStr">
        <is>
          <t>15/12/2025, 2:07 pm</t>
        </is>
      </c>
      <c r="F276" s="4">
        <f>(E276-D276)*24*60</f>
        <v/>
      </c>
      <c r="G276" s="4" t="inlineStr">
        <is>
          <t>Sahu construction</t>
        </is>
      </c>
      <c r="H276" s="4" t="inlineStr">
        <is>
          <t>001fw00000FKTq3AAH</t>
        </is>
      </c>
      <c r="I276" s="4" t="n">
        <v>831013</v>
      </c>
      <c r="J276" s="4" t="inlineStr">
        <is>
          <t>SARAIKELA KHARSAWAN</t>
        </is>
      </c>
      <c r="K276" s="4" t="inlineStr"/>
      <c r="L276" s="4" t="inlineStr">
        <is>
          <t>Influencer</t>
        </is>
      </c>
      <c r="M276" s="4" t="inlineStr">
        <is>
          <t>Got future date</t>
        </is>
      </c>
      <c r="N276" s="4" t="inlineStr">
        <is>
          <t>Ihb and commercial project contractor . Using Tata tiscon and rungta tmt</t>
        </is>
      </c>
      <c r="O276" s="4" t="inlineStr">
        <is>
          <t>Product description and product knowledge given. Rates given 57000 landed through retailer . Will connect us .</t>
        </is>
      </c>
      <c r="P276" s="4" t="inlineStr">
        <is>
          <t>Ihb and commercial project contractor . Using Tata tiscon and rungta tmt | Product description and product knowledge given. Rates given 57000 landed through retailer . Will connect us .</t>
        </is>
      </c>
      <c r="Q276" s="4">
        <f>LEN(TRIM(P276))-LEN(SUBSTITUTE(P276," ",""))+1</f>
        <v/>
      </c>
      <c r="R276" s="4" t="n">
        <v>22.7677026</v>
      </c>
      <c r="S276" s="4" t="n">
        <v>86.2025914</v>
      </c>
      <c r="T276" s="4">
        <f>COUNTIF($G$2:G276,G276)</f>
        <v/>
      </c>
      <c r="U276" s="4">
        <f>IF(F276&lt;5,"YES","NO")</f>
        <v/>
      </c>
      <c r="V276" s="4">
        <f>IF(AND(N276&lt;&gt;"",O276&lt;&gt;""),"YES","NO")</f>
        <v/>
      </c>
      <c r="W276" s="4">
        <f>IF(HOUR(D276)&lt;12,"Morning",IF(HOUR(D276)&lt;17,"Afternoon","Evening"))</f>
        <v/>
      </c>
      <c r="X276" s="4" t="n">
        <v>7</v>
      </c>
      <c r="Y276" s="4">
        <f>IF(F276&lt;5,"&lt;5 min",IF(F276&lt;15,"5-15 min",IF(F276&lt;30,"15-30 min","30+ min")))</f>
        <v/>
      </c>
    </row>
    <row r="277">
      <c r="A277" s="3" t="n">
        <v>46010</v>
      </c>
      <c r="B277" s="4" t="inlineStr">
        <is>
          <t>Friday</t>
        </is>
      </c>
      <c r="C277" s="4" t="inlineStr">
        <is>
          <t>Dec 25</t>
        </is>
      </c>
      <c r="D277" s="4" t="inlineStr">
        <is>
          <t>19/12/2025, 6:10 pm</t>
        </is>
      </c>
      <c r="E277" s="4" t="inlineStr">
        <is>
          <t>19/12/2025, 6:11 pm</t>
        </is>
      </c>
      <c r="F277" s="4">
        <f>(E277-D277)*24*60</f>
        <v/>
      </c>
      <c r="G277" s="4" t="inlineStr">
        <is>
          <t>Sahu construction</t>
        </is>
      </c>
      <c r="H277" s="4" t="inlineStr">
        <is>
          <t>001fw00000FKTq3AAH</t>
        </is>
      </c>
      <c r="I277" s="4" t="n">
        <v>831013</v>
      </c>
      <c r="J277" s="4" t="inlineStr">
        <is>
          <t>SARAIKELA KHARSAWAN</t>
        </is>
      </c>
      <c r="K277" s="4" t="inlineStr"/>
      <c r="L277" s="4" t="inlineStr">
        <is>
          <t>Influencer</t>
        </is>
      </c>
      <c r="M277" s="4" t="inlineStr">
        <is>
          <t>Got future date</t>
        </is>
      </c>
      <c r="N277" s="4" t="inlineStr">
        <is>
          <t>Ihb contractor using Tata tiscon and rungta tmt . Rates given 57000 landed to customer. Need time to float Demand.</t>
        </is>
      </c>
      <c r="O277" s="4" t="inlineStr">
        <is>
          <t>Will share hi inquiry and connect dealer for comparison of rates .</t>
        </is>
      </c>
      <c r="P277" s="4" t="inlineStr">
        <is>
          <t>Ihb contractor using Tata tiscon and rungta tmt . Rates given 57000 landed to customer. Need time to float Demand. | Will share hi inquiry and connect dealer for comparison of rates .</t>
        </is>
      </c>
      <c r="Q277" s="4">
        <f>LEN(TRIM(P277))-LEN(SUBSTITUTE(P277," ",""))+1</f>
        <v/>
      </c>
      <c r="R277" s="4" t="n">
        <v>22.7688641</v>
      </c>
      <c r="S277" s="4" t="n">
        <v>86.2001064</v>
      </c>
      <c r="T277" s="4">
        <f>COUNTIF($G$2:G277,G277)</f>
        <v/>
      </c>
      <c r="U277" s="4">
        <f>IF(F277&lt;5,"YES","NO")</f>
        <v/>
      </c>
      <c r="V277" s="4">
        <f>IF(AND(N277&lt;&gt;"",O277&lt;&gt;""),"YES","NO")</f>
        <v/>
      </c>
      <c r="W277" s="4">
        <f>IF(HOUR(D277)&lt;12,"Morning",IF(HOUR(D277)&lt;17,"Afternoon","Evening"))</f>
        <v/>
      </c>
      <c r="X277" s="4" t="n">
        <v>7</v>
      </c>
      <c r="Y277" s="4">
        <f>IF(F277&lt;5,"&lt;5 min",IF(F277&lt;15,"5-15 min",IF(F277&lt;30,"15-30 min","30+ min")))</f>
        <v/>
      </c>
    </row>
    <row r="278">
      <c r="A278" s="3" t="n">
        <v>46022</v>
      </c>
      <c r="B278" s="4" t="inlineStr">
        <is>
          <t>Wednesday</t>
        </is>
      </c>
      <c r="C278" s="4" t="inlineStr">
        <is>
          <t>Dec 25</t>
        </is>
      </c>
      <c r="D278" s="4" t="inlineStr">
        <is>
          <t>31/12/2025, 5:31 pm</t>
        </is>
      </c>
      <c r="E278" s="4" t="inlineStr">
        <is>
          <t>31/12/2025, 5:34 pm</t>
        </is>
      </c>
      <c r="F278" s="4">
        <f>(E278-D278)*24*60</f>
        <v/>
      </c>
      <c r="G278" s="4" t="inlineStr">
        <is>
          <t>Sahu construction</t>
        </is>
      </c>
      <c r="H278" s="4" t="inlineStr">
        <is>
          <t>001fw00000FKTq3AAH</t>
        </is>
      </c>
      <c r="I278" s="4" t="n">
        <v>831013</v>
      </c>
      <c r="J278" s="4" t="inlineStr">
        <is>
          <t>SARAIKELA KHARSAWAN</t>
        </is>
      </c>
      <c r="K278" s="4" t="inlineStr"/>
      <c r="L278" s="4" t="inlineStr">
        <is>
          <t>Influencer</t>
        </is>
      </c>
      <c r="M278" s="4" t="inlineStr">
        <is>
          <t>Got future date</t>
        </is>
      </c>
      <c r="N278" s="4" t="inlineStr">
        <is>
          <t>IHB CONTRACTOR USING RUNGTA TMT and panther TMT in demanded projects by user. Rates given 59000 LANDED THROUGH DEALER.</t>
        </is>
      </c>
      <c r="O278" s="4" t="inlineStr">
        <is>
          <t>Will connect nearby dealer on demand by site. Waiting for inquiry.</t>
        </is>
      </c>
      <c r="P278" s="4" t="inlineStr">
        <is>
          <t>IHB CONTRACTOR USING RUNGTA TMT and panther TMT in demanded projects by user. Rates given 59000 LANDED THROUGH DEALER. | Will connect nearby dealer on demand by site. Waiting for inquiry.</t>
        </is>
      </c>
      <c r="Q278" s="4">
        <f>LEN(TRIM(P278))-LEN(SUBSTITUTE(P278," ",""))+1</f>
        <v/>
      </c>
      <c r="R278" s="4" t="n">
        <v>22.7689305</v>
      </c>
      <c r="S278" s="4" t="n">
        <v>86.1998013</v>
      </c>
      <c r="T278" s="4">
        <f>COUNTIF($G$2:G278,G278)</f>
        <v/>
      </c>
      <c r="U278" s="4">
        <f>IF(F278&lt;5,"YES","NO")</f>
        <v/>
      </c>
      <c r="V278" s="4">
        <f>IF(AND(N278&lt;&gt;"",O278&lt;&gt;""),"YES","NO")</f>
        <v/>
      </c>
      <c r="W278" s="4">
        <f>IF(HOUR(D278)&lt;12,"Morning",IF(HOUR(D278)&lt;17,"Afternoon","Evening"))</f>
        <v/>
      </c>
      <c r="X278" s="4" t="n">
        <v>6</v>
      </c>
      <c r="Y278" s="4">
        <f>IF(F278&lt;5,"&lt;5 min",IF(F278&lt;15,"5-15 min",IF(F278&lt;30,"15-30 min","30+ min")))</f>
        <v/>
      </c>
    </row>
    <row r="279">
      <c r="A279" s="3" t="n">
        <v>46034</v>
      </c>
      <c r="B279" s="4" t="inlineStr">
        <is>
          <t>Monday</t>
        </is>
      </c>
      <c r="C279" s="4" t="inlineStr">
        <is>
          <t>Jan 26</t>
        </is>
      </c>
      <c r="D279" s="4" t="inlineStr">
        <is>
          <t>12/01/2026, 1:32 pm</t>
        </is>
      </c>
      <c r="E279" s="4" t="inlineStr">
        <is>
          <t>12/01/2026, 1:33 pm</t>
        </is>
      </c>
      <c r="F279" s="4">
        <f>(E279-D279)*24*60</f>
        <v/>
      </c>
      <c r="G279" s="4" t="inlineStr">
        <is>
          <t>Sahu construction</t>
        </is>
      </c>
      <c r="H279" s="4" t="inlineStr">
        <is>
          <t>001fw00000FKTq3AAH</t>
        </is>
      </c>
      <c r="I279" s="4" t="n">
        <v>831013</v>
      </c>
      <c r="J279" s="4" t="inlineStr">
        <is>
          <t>SARAIKELA KHARSAWAN</t>
        </is>
      </c>
      <c r="K279" s="4" t="inlineStr"/>
      <c r="L279" s="4" t="inlineStr">
        <is>
          <t>Influencer</t>
        </is>
      </c>
      <c r="M279" s="4" t="inlineStr">
        <is>
          <t>Got future date</t>
        </is>
      </c>
      <c r="N279" s="4" t="inlineStr">
        <is>
          <t>IHB CONTRACTOR USING RUNGTA TMT and kamdhenu TMT. Rates given 59500 landed.</t>
        </is>
      </c>
      <c r="O279" s="4" t="inlineStr">
        <is>
          <t>Will connect us on inquiry received from end CUSTUMER.</t>
        </is>
      </c>
      <c r="P279" s="4" t="inlineStr">
        <is>
          <t>IHB CONTRACTOR USING RUNGTA TMT and kamdhenu TMT. Rates given 59500 landed. | Will connect us on inquiry received from end CUSTUMER.</t>
        </is>
      </c>
      <c r="Q279" s="4">
        <f>LEN(TRIM(P279))-LEN(SUBSTITUTE(P279," ",""))+1</f>
        <v/>
      </c>
      <c r="R279" s="4" t="n">
        <v>22.7687446</v>
      </c>
      <c r="S279" s="4" t="n">
        <v>86.2008148</v>
      </c>
      <c r="T279" s="4">
        <f>COUNTIF($G$2:G279,G279)</f>
        <v/>
      </c>
      <c r="U279" s="4">
        <f>IF(F279&lt;5,"YES","NO")</f>
        <v/>
      </c>
      <c r="V279" s="4">
        <f>IF(AND(N279&lt;&gt;"",O279&lt;&gt;""),"YES","NO")</f>
        <v/>
      </c>
      <c r="W279" s="4">
        <f>IF(HOUR(D279)&lt;12,"Morning",IF(HOUR(D279)&lt;17,"Afternoon","Evening"))</f>
        <v/>
      </c>
      <c r="X279" s="4" t="n">
        <v>6</v>
      </c>
      <c r="Y279" s="4">
        <f>IF(F279&lt;5,"&lt;5 min",IF(F279&lt;15,"5-15 min",IF(F279&lt;30,"15-30 min","30+ min")))</f>
        <v/>
      </c>
    </row>
    <row r="280">
      <c r="A280" s="3" t="n">
        <v>46038</v>
      </c>
      <c r="B280" s="4" t="inlineStr">
        <is>
          <t>Friday</t>
        </is>
      </c>
      <c r="C280" s="4" t="inlineStr">
        <is>
          <t>Jan 26</t>
        </is>
      </c>
      <c r="D280" s="4" t="inlineStr">
        <is>
          <t>16/01/2026, 5:30 pm</t>
        </is>
      </c>
      <c r="E280" s="4" t="inlineStr">
        <is>
          <t>16/01/2026, 5:31 pm</t>
        </is>
      </c>
      <c r="F280" s="4">
        <f>(E280-D280)*24*60</f>
        <v/>
      </c>
      <c r="G280" s="4" t="inlineStr">
        <is>
          <t>Sahu construction</t>
        </is>
      </c>
      <c r="H280" s="4" t="inlineStr">
        <is>
          <t>001fw00000FKTq3AAH</t>
        </is>
      </c>
      <c r="I280" s="4" t="n">
        <v>831013</v>
      </c>
      <c r="J280" s="4" t="inlineStr">
        <is>
          <t>SARAIKELA KHARSAWAN</t>
        </is>
      </c>
      <c r="K280" s="4" t="inlineStr"/>
      <c r="L280" s="4" t="inlineStr">
        <is>
          <t>Influencer</t>
        </is>
      </c>
      <c r="M280" s="4" t="inlineStr">
        <is>
          <t>Got future date</t>
        </is>
      </c>
      <c r="N280" s="4" t="inlineStr">
        <is>
          <t>IHB CONTRACTOR USING RUNGTA TMT and kamdhenu TMT. Rates given 61500 landed to the CUSTUMER.</t>
        </is>
      </c>
      <c r="O280" s="4" t="inlineStr">
        <is>
          <t>Will connect us on inquiry received from site. Need time to coordinate with the customer.</t>
        </is>
      </c>
      <c r="P280" s="4" t="inlineStr">
        <is>
          <t>IHB CONTRACTOR USING RUNGTA TMT and kamdhenu TMT. Rates given 61500 landed to the CUSTUMER. | Will connect us on inquiry received from site. Need time to coordinate with the customer.</t>
        </is>
      </c>
      <c r="Q280" s="4">
        <f>LEN(TRIM(P280))-LEN(SUBSTITUTE(P280," ",""))+1</f>
        <v/>
      </c>
      <c r="R280" s="4" t="n">
        <v>22.7688197</v>
      </c>
      <c r="S280" s="4" t="n">
        <v>86.2002363</v>
      </c>
      <c r="T280" s="4">
        <f>COUNTIF($G$2:G280,G280)</f>
        <v/>
      </c>
      <c r="U280" s="4">
        <f>IF(F280&lt;5,"YES","NO")</f>
        <v/>
      </c>
      <c r="V280" s="4">
        <f>IF(AND(N280&lt;&gt;"",O280&lt;&gt;""),"YES","NO")</f>
        <v/>
      </c>
      <c r="W280" s="4">
        <f>IF(HOUR(D280)&lt;12,"Morning",IF(HOUR(D280)&lt;17,"Afternoon","Evening"))</f>
        <v/>
      </c>
      <c r="X280" s="4" t="n">
        <v>6</v>
      </c>
      <c r="Y280" s="4">
        <f>IF(F280&lt;5,"&lt;5 min",IF(F280&lt;15,"5-15 min",IF(F280&lt;30,"15-30 min","30+ min")))</f>
        <v/>
      </c>
    </row>
    <row r="281">
      <c r="A281" s="3" t="n">
        <v>46052</v>
      </c>
      <c r="B281" s="4" t="inlineStr">
        <is>
          <t>Friday</t>
        </is>
      </c>
      <c r="C281" s="4" t="inlineStr">
        <is>
          <t>Jan 26</t>
        </is>
      </c>
      <c r="D281" s="4" t="inlineStr">
        <is>
          <t>30/01/2026, 5:34 pm</t>
        </is>
      </c>
      <c r="E281" s="4" t="inlineStr">
        <is>
          <t>30/01/2026, 5:35 pm</t>
        </is>
      </c>
      <c r="F281" s="4">
        <f>(E281-D281)*24*60</f>
        <v/>
      </c>
      <c r="G281" s="4" t="inlineStr">
        <is>
          <t>Sahu construction</t>
        </is>
      </c>
      <c r="H281" s="4" t="inlineStr">
        <is>
          <t>001fw00000FKTq3AAH</t>
        </is>
      </c>
      <c r="I281" s="4" t="n">
        <v>831013</v>
      </c>
      <c r="J281" s="4" t="inlineStr">
        <is>
          <t>SARAIKELA KHARSAWAN</t>
        </is>
      </c>
      <c r="K281" s="4" t="inlineStr"/>
      <c r="L281" s="4" t="inlineStr">
        <is>
          <t>Influencer</t>
        </is>
      </c>
      <c r="M281" s="4" t="inlineStr">
        <is>
          <t>Got future date</t>
        </is>
      </c>
      <c r="N281" s="4" t="inlineStr">
        <is>
          <t>IHB CONTRACTOR USING RUNGTA TMT and kamdhenu TMT. Rates given 64500 landed to the CUSTUMER.</t>
        </is>
      </c>
      <c r="O281" s="4" t="inlineStr">
        <is>
          <t>Will connect us inquiry received from end CUSTUMER. Will share with us us. last purchased panther.</t>
        </is>
      </c>
      <c r="P281" s="4" t="inlineStr">
        <is>
          <t>IHB CONTRACTOR USING RUNGTA TMT and kamdhenu TMT. Rates given 64500 landed to the CUSTUMER. | Will connect us inquiry received from end CUSTUMER. Will share with us us. last purchased panther.</t>
        </is>
      </c>
      <c r="Q281" s="4">
        <f>LEN(TRIM(P281))-LEN(SUBSTITUTE(P281," ",""))+1</f>
        <v/>
      </c>
      <c r="R281" s="4" t="n">
        <v>22.7689107</v>
      </c>
      <c r="S281" s="4" t="n">
        <v>86.20005209999999</v>
      </c>
      <c r="T281" s="4">
        <f>COUNTIF($G$2:G281,G281)</f>
        <v/>
      </c>
      <c r="U281" s="4">
        <f>IF(F281&lt;5,"YES","NO")</f>
        <v/>
      </c>
      <c r="V281" s="4">
        <f>IF(AND(N281&lt;&gt;"",O281&lt;&gt;""),"YES","NO")</f>
        <v/>
      </c>
      <c r="W281" s="4">
        <f>IF(HOUR(D281)&lt;12,"Morning",IF(HOUR(D281)&lt;17,"Afternoon","Evening"))</f>
        <v/>
      </c>
      <c r="X281" s="4" t="n">
        <v>6</v>
      </c>
      <c r="Y281" s="4">
        <f>IF(F281&lt;5,"&lt;5 min",IF(F281&lt;15,"5-15 min",IF(F281&lt;30,"15-30 min","30+ min")))</f>
        <v/>
      </c>
    </row>
    <row r="282">
      <c r="A282" s="3" t="n">
        <v>45975</v>
      </c>
      <c r="B282" s="4" t="inlineStr">
        <is>
          <t>Friday</t>
        </is>
      </c>
      <c r="C282" s="4" t="inlineStr">
        <is>
          <t>Nov 25</t>
        </is>
      </c>
      <c r="D282" s="4" t="inlineStr">
        <is>
          <t>14/11/2025, 5:43 pm</t>
        </is>
      </c>
      <c r="E282" s="4" t="inlineStr">
        <is>
          <t>14/11/2025, 5:44 pm</t>
        </is>
      </c>
      <c r="F282" s="4">
        <f>(E282-D282)*24*60</f>
        <v/>
      </c>
      <c r="G282" s="4" t="inlineStr">
        <is>
          <t>Sahu contruction</t>
        </is>
      </c>
      <c r="H282" s="4" t="inlineStr">
        <is>
          <t>001fw00000CFFeFAAX</t>
        </is>
      </c>
      <c r="I282" s="4" t="n">
        <v>831001</v>
      </c>
      <c r="J282" s="4" t="inlineStr">
        <is>
          <t>EAST SINGHBUM</t>
        </is>
      </c>
      <c r="K282" s="4" t="inlineStr"/>
      <c r="L282" s="4" t="inlineStr">
        <is>
          <t>Influencer</t>
        </is>
      </c>
      <c r="M282" s="4" t="inlineStr">
        <is>
          <t>Got future date</t>
        </is>
      </c>
      <c r="N282" s="4" t="inlineStr">
        <is>
          <t>Ihb contractor and influencer. Using Tata tiscon rungta and govinda tmt</t>
        </is>
      </c>
      <c r="O282" s="4" t="inlineStr">
        <is>
          <t>Will share inquiry as it's shared from site. Need a week time .</t>
        </is>
      </c>
      <c r="P282" s="4" t="inlineStr">
        <is>
          <t>Ihb contractor and influencer. Using Tata tiscon rungta and govinda tmt | Will share inquiry as it's shared from site. Need a week time .</t>
        </is>
      </c>
      <c r="Q282" s="4">
        <f>LEN(TRIM(P282))-LEN(SUBSTITUTE(P282," ",""))+1</f>
        <v/>
      </c>
      <c r="R282" s="4" t="n">
        <v>22.7690253</v>
      </c>
      <c r="S282" s="4" t="n">
        <v>86.1988532</v>
      </c>
      <c r="T282" s="4">
        <f>COUNTIF($G$2:G282,G282)</f>
        <v/>
      </c>
      <c r="U282" s="4">
        <f>IF(F282&lt;5,"YES","NO")</f>
        <v/>
      </c>
      <c r="V282" s="4">
        <f>IF(AND(N282&lt;&gt;"",O282&lt;&gt;""),"YES","NO")</f>
        <v/>
      </c>
      <c r="W282" s="4">
        <f>IF(HOUR(D282)&lt;12,"Morning",IF(HOUR(D282)&lt;17,"Afternoon","Evening"))</f>
        <v/>
      </c>
      <c r="X282" s="4" t="n">
        <v>5</v>
      </c>
      <c r="Y282" s="4">
        <f>IF(F282&lt;5,"&lt;5 min",IF(F282&lt;15,"5-15 min",IF(F282&lt;30,"15-30 min","30+ min")))</f>
        <v/>
      </c>
    </row>
    <row r="283">
      <c r="A283" s="3" t="n">
        <v>45982</v>
      </c>
      <c r="B283" s="4" t="inlineStr">
        <is>
          <t>Friday</t>
        </is>
      </c>
      <c r="C283" s="4" t="inlineStr">
        <is>
          <t>Nov 25</t>
        </is>
      </c>
      <c r="D283" s="4" t="inlineStr">
        <is>
          <t>21/11/2025, 5:23 pm</t>
        </is>
      </c>
      <c r="E283" s="4" t="inlineStr">
        <is>
          <t>21/11/2025, 5:24 pm</t>
        </is>
      </c>
      <c r="F283" s="4">
        <f>(E283-D283)*24*60</f>
        <v/>
      </c>
      <c r="G283" s="4" t="inlineStr">
        <is>
          <t>Sahu contruction</t>
        </is>
      </c>
      <c r="H283" s="4" t="inlineStr">
        <is>
          <t>001fw00000CFFeFAAX</t>
        </is>
      </c>
      <c r="I283" s="4" t="n">
        <v>831001</v>
      </c>
      <c r="J283" s="4" t="inlineStr">
        <is>
          <t>EAST SINGHBUM</t>
        </is>
      </c>
      <c r="K283" s="4" t="inlineStr"/>
      <c r="L283" s="4" t="inlineStr">
        <is>
          <t>Influencer</t>
        </is>
      </c>
      <c r="M283" s="4" t="inlineStr">
        <is>
          <t>Got future date</t>
        </is>
      </c>
      <c r="N283" s="4" t="inlineStr">
        <is>
          <t>Contractor of ihb projects . Using kamdhenu tmt and rungta tmt.</t>
        </is>
      </c>
      <c r="O283" s="4" t="inlineStr">
        <is>
          <t>Rates given 54000 landed to the customer. Will share inquiry as discussed</t>
        </is>
      </c>
      <c r="P283" s="4" t="inlineStr">
        <is>
          <t>Contractor of ihb projects . Using kamdhenu tmt and rungta tmt. | Rates given 54000 landed to the customer. Will share inquiry as discussed</t>
        </is>
      </c>
      <c r="Q283" s="4">
        <f>LEN(TRIM(P283))-LEN(SUBSTITUTE(P283," ",""))+1</f>
        <v/>
      </c>
      <c r="R283" s="4" t="n">
        <v>22.7699989</v>
      </c>
      <c r="S283" s="4" t="n">
        <v>86.2000601</v>
      </c>
      <c r="T283" s="4">
        <f>COUNTIF($G$2:G283,G283)</f>
        <v/>
      </c>
      <c r="U283" s="4">
        <f>IF(F283&lt;5,"YES","NO")</f>
        <v/>
      </c>
      <c r="V283" s="4">
        <f>IF(AND(N283&lt;&gt;"",O283&lt;&gt;""),"YES","NO")</f>
        <v/>
      </c>
      <c r="W283" s="4">
        <f>IF(HOUR(D283)&lt;12,"Morning",IF(HOUR(D283)&lt;17,"Afternoon","Evening"))</f>
        <v/>
      </c>
      <c r="X283" s="4" t="n">
        <v>5</v>
      </c>
      <c r="Y283" s="4">
        <f>IF(F283&lt;5,"&lt;5 min",IF(F283&lt;15,"5-15 min",IF(F283&lt;30,"15-30 min","30+ min")))</f>
        <v/>
      </c>
    </row>
    <row r="284">
      <c r="A284" s="3" t="n">
        <v>45985</v>
      </c>
      <c r="B284" s="4" t="inlineStr">
        <is>
          <t>Monday</t>
        </is>
      </c>
      <c r="C284" s="4" t="inlineStr">
        <is>
          <t>Nov 25</t>
        </is>
      </c>
      <c r="D284" s="4" t="inlineStr">
        <is>
          <t>24/11/2025, 3:21 pm</t>
        </is>
      </c>
      <c r="E284" s="4" t="inlineStr">
        <is>
          <t>24/11/2025, 3:23 pm</t>
        </is>
      </c>
      <c r="F284" s="4">
        <f>(E284-D284)*24*60</f>
        <v/>
      </c>
      <c r="G284" s="4" t="inlineStr">
        <is>
          <t>Sahu contruction</t>
        </is>
      </c>
      <c r="H284" s="4" t="inlineStr">
        <is>
          <t>001fw00000CFFeFAAX</t>
        </is>
      </c>
      <c r="I284" s="4" t="n">
        <v>831001</v>
      </c>
      <c r="J284" s="4" t="inlineStr">
        <is>
          <t>EAST SINGHBUM</t>
        </is>
      </c>
      <c r="K284" s="4" t="inlineStr"/>
      <c r="L284" s="4" t="inlineStr">
        <is>
          <t>Influencer</t>
        </is>
      </c>
      <c r="M284" s="4" t="inlineStr">
        <is>
          <t>Got future date</t>
        </is>
      </c>
      <c r="N284" s="4" t="inlineStr">
        <is>
          <t>Contractor of ihb projects. Using tiscon and rungta for his projects</t>
        </is>
      </c>
      <c r="O284" s="4" t="inlineStr">
        <is>
          <t>Rates given 53500 landed through dealer. Will connect when inquiry comes to us.</t>
        </is>
      </c>
      <c r="P284" s="4" t="inlineStr">
        <is>
          <t>Contractor of ihb projects. Using tiscon and rungta for his projects | Rates given 53500 landed through dealer. Will connect when inquiry comes to us.</t>
        </is>
      </c>
      <c r="Q284" s="4">
        <f>LEN(TRIM(P284))-LEN(SUBSTITUTE(P284," ",""))+1</f>
        <v/>
      </c>
      <c r="R284" s="4" t="n">
        <v>22.7690214</v>
      </c>
      <c r="S284" s="4" t="n">
        <v>86.2004409</v>
      </c>
      <c r="T284" s="4">
        <f>COUNTIF($G$2:G284,G284)</f>
        <v/>
      </c>
      <c r="U284" s="4">
        <f>IF(F284&lt;5,"YES","NO")</f>
        <v/>
      </c>
      <c r="V284" s="4">
        <f>IF(AND(N284&lt;&gt;"",O284&lt;&gt;""),"YES","NO")</f>
        <v/>
      </c>
      <c r="W284" s="4">
        <f>IF(HOUR(D284)&lt;12,"Morning",IF(HOUR(D284)&lt;17,"Afternoon","Evening"))</f>
        <v/>
      </c>
      <c r="X284" s="4" t="n">
        <v>7</v>
      </c>
      <c r="Y284" s="4">
        <f>IF(F284&lt;5,"&lt;5 min",IF(F284&lt;15,"5-15 min",IF(F284&lt;30,"15-30 min","30+ min")))</f>
        <v/>
      </c>
    </row>
    <row r="285">
      <c r="A285" s="3" t="n">
        <v>45996</v>
      </c>
      <c r="B285" s="4" t="inlineStr">
        <is>
          <t>Friday</t>
        </is>
      </c>
      <c r="C285" s="4" t="inlineStr">
        <is>
          <t>Dec 25</t>
        </is>
      </c>
      <c r="D285" s="4" t="inlineStr">
        <is>
          <t>05/12/2025, 6:36 pm</t>
        </is>
      </c>
      <c r="E285" s="4" t="inlineStr">
        <is>
          <t>05/12/2025, 6:40 pm</t>
        </is>
      </c>
      <c r="F285" s="4">
        <f>(E285-D285)*24*60</f>
        <v/>
      </c>
      <c r="G285" s="4" t="inlineStr">
        <is>
          <t>Sahu contruction</t>
        </is>
      </c>
      <c r="H285" s="4" t="inlineStr">
        <is>
          <t>001fw00000CFFeFAAX</t>
        </is>
      </c>
      <c r="I285" s="4" t="n">
        <v>831001</v>
      </c>
      <c r="J285" s="4" t="inlineStr">
        <is>
          <t>EAST SINGHBUM</t>
        </is>
      </c>
      <c r="K285" s="4" t="inlineStr"/>
      <c r="L285" s="4" t="inlineStr">
        <is>
          <t>Influencer</t>
        </is>
      </c>
      <c r="M285" s="4" t="inlineStr">
        <is>
          <t>Got future date</t>
        </is>
      </c>
      <c r="N285" s="4" t="inlineStr">
        <is>
          <t>Contractor of ihb projects . Using of rungta kamdhenu in his projects. Rates given 55000 landed to the dealer . Will connect us.</t>
        </is>
      </c>
      <c r="O285" s="4" t="inlineStr">
        <is>
          <t>Will share inquiry with our dealer. Will connect him .</t>
        </is>
      </c>
      <c r="P285" s="4" t="inlineStr">
        <is>
          <t>Contractor of ihb projects . Using of rungta kamdhenu in his projects. Rates given 55000 landed to the dealer . Will connect us. | Will share inquiry with our dealer. Will connect him .</t>
        </is>
      </c>
      <c r="Q285" s="4">
        <f>LEN(TRIM(P285))-LEN(SUBSTITUTE(P285," ",""))+1</f>
        <v/>
      </c>
      <c r="R285" s="4" t="n">
        <v>22.7688636</v>
      </c>
      <c r="S285" s="4" t="n">
        <v>86.2000884</v>
      </c>
      <c r="T285" s="4">
        <f>COUNTIF($G$2:G285,G285)</f>
        <v/>
      </c>
      <c r="U285" s="4">
        <f>IF(F285&lt;5,"YES","NO")</f>
        <v/>
      </c>
      <c r="V285" s="4">
        <f>IF(AND(N285&lt;&gt;"",O285&lt;&gt;""),"YES","NO")</f>
        <v/>
      </c>
      <c r="W285" s="4">
        <f>IF(HOUR(D285)&lt;12,"Morning",IF(HOUR(D285)&lt;17,"Afternoon","Evening"))</f>
        <v/>
      </c>
      <c r="X285" s="4" t="n">
        <v>6</v>
      </c>
      <c r="Y285" s="4">
        <f>IF(F285&lt;5,"&lt;5 min",IF(F285&lt;15,"5-15 min",IF(F285&lt;30,"15-30 min","30+ min")))</f>
        <v/>
      </c>
    </row>
    <row r="286">
      <c r="A286" s="3" t="n">
        <v>46003</v>
      </c>
      <c r="B286" s="4" t="inlineStr">
        <is>
          <t>Friday</t>
        </is>
      </c>
      <c r="C286" s="4" t="inlineStr">
        <is>
          <t>Dec 25</t>
        </is>
      </c>
      <c r="D286" s="4" t="inlineStr">
        <is>
          <t>12/12/2025, 6:04 pm</t>
        </is>
      </c>
      <c r="E286" s="4" t="inlineStr">
        <is>
          <t>12/12/2025, 6:06 pm</t>
        </is>
      </c>
      <c r="F286" s="4">
        <f>(E286-D286)*24*60</f>
        <v/>
      </c>
      <c r="G286" s="4" t="inlineStr">
        <is>
          <t>Sahu contruction</t>
        </is>
      </c>
      <c r="H286" s="4" t="inlineStr">
        <is>
          <t>001fw00000CFFeFAAX</t>
        </is>
      </c>
      <c r="I286" s="4" t="n">
        <v>831001</v>
      </c>
      <c r="J286" s="4" t="inlineStr">
        <is>
          <t>EAST SINGHBUM</t>
        </is>
      </c>
      <c r="K286" s="4" t="inlineStr"/>
      <c r="L286" s="4" t="inlineStr">
        <is>
          <t>Influencer</t>
        </is>
      </c>
      <c r="M286" s="4" t="inlineStr">
        <is>
          <t>Got future date</t>
        </is>
      </c>
      <c r="N286" s="4" t="inlineStr">
        <is>
          <t>Ihb contractor. Rates given 57000 landed for his site. Using shyam steel now. Will finalize in 2 days.</t>
        </is>
      </c>
      <c r="O286" s="4" t="inlineStr">
        <is>
          <t>Will connect us or let us know once custumer is going to finalize .</t>
        </is>
      </c>
      <c r="P286" s="4" t="inlineStr">
        <is>
          <t>Ihb contractor. Rates given 57000 landed for his site. Using shyam steel now. Will finalize in 2 days. | Will connect us or let us know once custumer is going to finalize .</t>
        </is>
      </c>
      <c r="Q286" s="4">
        <f>LEN(TRIM(P286))-LEN(SUBSTITUTE(P286," ",""))+1</f>
        <v/>
      </c>
      <c r="R286" s="4" t="n">
        <v>22.768784</v>
      </c>
      <c r="S286" s="4" t="n">
        <v>86.1999927</v>
      </c>
      <c r="T286" s="4">
        <f>COUNTIF($G$2:G286,G286)</f>
        <v/>
      </c>
      <c r="U286" s="4">
        <f>IF(F286&lt;5,"YES","NO")</f>
        <v/>
      </c>
      <c r="V286" s="4">
        <f>IF(AND(N286&lt;&gt;"",O286&lt;&gt;""),"YES","NO")</f>
        <v/>
      </c>
      <c r="W286" s="4">
        <f>IF(HOUR(D286)&lt;12,"Morning",IF(HOUR(D286)&lt;17,"Afternoon","Evening"))</f>
        <v/>
      </c>
      <c r="X286" s="4" t="n">
        <v>7</v>
      </c>
      <c r="Y286" s="4">
        <f>IF(F286&lt;5,"&lt;5 min",IF(F286&lt;15,"5-15 min",IF(F286&lt;30,"15-30 min","30+ min")))</f>
        <v/>
      </c>
    </row>
    <row r="287">
      <c r="A287" s="3" t="n">
        <v>46017</v>
      </c>
      <c r="B287" s="4" t="inlineStr">
        <is>
          <t>Friday</t>
        </is>
      </c>
      <c r="C287" s="4" t="inlineStr">
        <is>
          <t>Dec 25</t>
        </is>
      </c>
      <c r="D287" s="4" t="inlineStr">
        <is>
          <t>26/12/2025, 5:38 pm</t>
        </is>
      </c>
      <c r="E287" s="4" t="inlineStr">
        <is>
          <t>26/12/2025, 5:40 pm</t>
        </is>
      </c>
      <c r="F287" s="4">
        <f>(E287-D287)*24*60</f>
        <v/>
      </c>
      <c r="G287" s="4" t="inlineStr">
        <is>
          <t>Sahu contruction</t>
        </is>
      </c>
      <c r="H287" s="4" t="inlineStr">
        <is>
          <t>001fw00000CFFeFAAX</t>
        </is>
      </c>
      <c r="I287" s="4" t="n">
        <v>831001</v>
      </c>
      <c r="J287" s="4" t="inlineStr">
        <is>
          <t>EAST SINGHBUM</t>
        </is>
      </c>
      <c r="K287" s="4" t="inlineStr"/>
      <c r="L287" s="4" t="inlineStr">
        <is>
          <t>Influencer</t>
        </is>
      </c>
      <c r="M287" s="4" t="inlineStr">
        <is>
          <t>Got future date</t>
        </is>
      </c>
      <c r="N287" s="4" t="inlineStr">
        <is>
          <t>Ihb contractor using rungta and govinda tmt . Rates given 58000 landed to the custumer through retailer.</t>
        </is>
      </c>
      <c r="O287" s="4" t="inlineStr">
        <is>
          <t>Will let us know when inquiry received from site. Will connect to retailer.</t>
        </is>
      </c>
      <c r="P287" s="4" t="inlineStr">
        <is>
          <t>Ihb contractor using rungta and govinda tmt . Rates given 58000 landed to the custumer through retailer. | Will let us know when inquiry received from site. Will connect to retailer.</t>
        </is>
      </c>
      <c r="Q287" s="4">
        <f>LEN(TRIM(P287))-LEN(SUBSTITUTE(P287," ",""))+1</f>
        <v/>
      </c>
      <c r="R287" s="4" t="n">
        <v>22.7688141</v>
      </c>
      <c r="S287" s="4" t="n">
        <v>86.2003766</v>
      </c>
      <c r="T287" s="4">
        <f>COUNTIF($G$2:G287,G287)</f>
        <v/>
      </c>
      <c r="U287" s="4">
        <f>IF(F287&lt;5,"YES","NO")</f>
        <v/>
      </c>
      <c r="V287" s="4">
        <f>IF(AND(N287&lt;&gt;"",O287&lt;&gt;""),"YES","NO")</f>
        <v/>
      </c>
      <c r="W287" s="4">
        <f>IF(HOUR(D287)&lt;12,"Morning",IF(HOUR(D287)&lt;17,"Afternoon","Evening"))</f>
        <v/>
      </c>
      <c r="X287" s="4" t="n">
        <v>6</v>
      </c>
      <c r="Y287" s="4">
        <f>IF(F287&lt;5,"&lt;5 min",IF(F287&lt;15,"5-15 min",IF(F287&lt;30,"15-30 min","30+ min")))</f>
        <v/>
      </c>
    </row>
    <row r="288">
      <c r="A288" s="3" t="n">
        <v>46022</v>
      </c>
      <c r="B288" s="4" t="inlineStr">
        <is>
          <t>Wednesday</t>
        </is>
      </c>
      <c r="C288" s="4" t="inlineStr">
        <is>
          <t>Dec 25</t>
        </is>
      </c>
      <c r="D288" s="4" t="inlineStr">
        <is>
          <t>31/12/2025, 5:16 pm</t>
        </is>
      </c>
      <c r="E288" s="4" t="inlineStr">
        <is>
          <t>31/12/2025, 5:17 pm</t>
        </is>
      </c>
      <c r="F288" s="4">
        <f>(E288-D288)*24*60</f>
        <v/>
      </c>
      <c r="G288" s="4" t="inlineStr">
        <is>
          <t>Sahu contruction</t>
        </is>
      </c>
      <c r="H288" s="4" t="inlineStr">
        <is>
          <t>001fw00000CFFeFAAX</t>
        </is>
      </c>
      <c r="I288" s="4" t="n">
        <v>831001</v>
      </c>
      <c r="J288" s="4" t="inlineStr">
        <is>
          <t>EAST SINGHBUM</t>
        </is>
      </c>
      <c r="K288" s="4" t="inlineStr"/>
      <c r="L288" s="4" t="inlineStr">
        <is>
          <t>Influencer</t>
        </is>
      </c>
      <c r="M288" s="4" t="inlineStr">
        <is>
          <t>Got future date</t>
        </is>
      </c>
      <c r="N288" s="4" t="inlineStr">
        <is>
          <t>IHB CONTRACTOR USING RUNGTA TMT and kamdhenu TMT. Rates given 59000 landed to the CUSTUMER.</t>
        </is>
      </c>
      <c r="O288" s="4" t="inlineStr">
        <is>
          <t>Will connect as soon received inquiry from site. Will connect for rates to nearby dealer.</t>
        </is>
      </c>
      <c r="P288" s="4" t="inlineStr">
        <is>
          <t>IHB CONTRACTOR USING RUNGTA TMT and kamdhenu TMT. Rates given 59000 landed to the CUSTUMER. | Will connect as soon received inquiry from site. Will connect for rates to nearby dealer.</t>
        </is>
      </c>
      <c r="Q288" s="4">
        <f>LEN(TRIM(P288))-LEN(SUBSTITUTE(P288," ",""))+1</f>
        <v/>
      </c>
      <c r="R288" s="4" t="n">
        <v>22.7694122</v>
      </c>
      <c r="S288" s="4" t="n">
        <v>86.1994887</v>
      </c>
      <c r="T288" s="4">
        <f>COUNTIF($G$2:G288,G288)</f>
        <v/>
      </c>
      <c r="U288" s="4">
        <f>IF(F288&lt;5,"YES","NO")</f>
        <v/>
      </c>
      <c r="V288" s="4">
        <f>IF(AND(N288&lt;&gt;"",O288&lt;&gt;""),"YES","NO")</f>
        <v/>
      </c>
      <c r="W288" s="4">
        <f>IF(HOUR(D288)&lt;12,"Morning",IF(HOUR(D288)&lt;17,"Afternoon","Evening"))</f>
        <v/>
      </c>
      <c r="X288" s="4" t="n">
        <v>6</v>
      </c>
      <c r="Y288" s="4">
        <f>IF(F288&lt;5,"&lt;5 min",IF(F288&lt;15,"5-15 min",IF(F288&lt;30,"15-30 min","30+ min")))</f>
        <v/>
      </c>
    </row>
    <row r="289">
      <c r="A289" s="3" t="n">
        <v>46027</v>
      </c>
      <c r="B289" s="4" t="inlineStr">
        <is>
          <t>Monday</t>
        </is>
      </c>
      <c r="C289" s="4" t="inlineStr">
        <is>
          <t>Jan 26</t>
        </is>
      </c>
      <c r="D289" s="4" t="inlineStr">
        <is>
          <t>05/01/2026, 1:06 pm</t>
        </is>
      </c>
      <c r="E289" s="4" t="inlineStr">
        <is>
          <t>05/01/2026, 1:09 pm</t>
        </is>
      </c>
      <c r="F289" s="4">
        <f>(E289-D289)*24*60</f>
        <v/>
      </c>
      <c r="G289" s="4" t="inlineStr">
        <is>
          <t>Sahu contruction</t>
        </is>
      </c>
      <c r="H289" s="4" t="inlineStr">
        <is>
          <t>001fw00000CFFeFAAX</t>
        </is>
      </c>
      <c r="I289" s="4" t="n">
        <v>831001</v>
      </c>
      <c r="J289" s="4" t="inlineStr">
        <is>
          <t>EAST SINGHBUM</t>
        </is>
      </c>
      <c r="K289" s="4" t="inlineStr"/>
      <c r="L289" s="4" t="inlineStr">
        <is>
          <t>Influencer</t>
        </is>
      </c>
      <c r="M289" s="4" t="inlineStr">
        <is>
          <t>Got future date</t>
        </is>
      </c>
      <c r="N289" s="4" t="inlineStr">
        <is>
          <t>IHB CONTRACTOR USING RUNGTA TMT and kamdhenu TMT. Rates given 59500 landed.</t>
        </is>
      </c>
      <c r="O289" s="4" t="inlineStr">
        <is>
          <t>Will connect with near by dealership for rates. Will connect us.</t>
        </is>
      </c>
      <c r="P289" s="4" t="inlineStr">
        <is>
          <t>IHB CONTRACTOR USING RUNGTA TMT and kamdhenu TMT. Rates given 59500 landed. | Will connect with near by dealership for rates. Will connect us.</t>
        </is>
      </c>
      <c r="Q289" s="4">
        <f>LEN(TRIM(P289))-LEN(SUBSTITUTE(P289," ",""))+1</f>
        <v/>
      </c>
      <c r="R289" s="4" t="n">
        <v>22.7679953</v>
      </c>
      <c r="S289" s="4" t="n">
        <v>86.2014903</v>
      </c>
      <c r="T289" s="4">
        <f>COUNTIF($G$2:G289,G289)</f>
        <v/>
      </c>
      <c r="U289" s="4">
        <f>IF(F289&lt;5,"YES","NO")</f>
        <v/>
      </c>
      <c r="V289" s="4">
        <f>IF(AND(N289&lt;&gt;"",O289&lt;&gt;""),"YES","NO")</f>
        <v/>
      </c>
      <c r="W289" s="4">
        <f>IF(HOUR(D289)&lt;12,"Morning",IF(HOUR(D289)&lt;17,"Afternoon","Evening"))</f>
        <v/>
      </c>
      <c r="X289" s="4" t="n">
        <v>7</v>
      </c>
      <c r="Y289" s="4">
        <f>IF(F289&lt;5,"&lt;5 min",IF(F289&lt;15,"5-15 min",IF(F289&lt;30,"15-30 min","30+ min")))</f>
        <v/>
      </c>
    </row>
    <row r="290">
      <c r="A290" s="3" t="n">
        <v>46031</v>
      </c>
      <c r="B290" s="4" t="inlineStr">
        <is>
          <t>Friday</t>
        </is>
      </c>
      <c r="C290" s="4" t="inlineStr">
        <is>
          <t>Jan 26</t>
        </is>
      </c>
      <c r="D290" s="4" t="inlineStr">
        <is>
          <t>09/01/2026, 5:37 pm</t>
        </is>
      </c>
      <c r="E290" s="4" t="inlineStr">
        <is>
          <t>09/01/2026, 5:40 pm</t>
        </is>
      </c>
      <c r="F290" s="4">
        <f>(E290-D290)*24*60</f>
        <v/>
      </c>
      <c r="G290" s="4" t="inlineStr">
        <is>
          <t>Sahu contruction</t>
        </is>
      </c>
      <c r="H290" s="4" t="inlineStr">
        <is>
          <t>001fw00000CFFeFAAX</t>
        </is>
      </c>
      <c r="I290" s="4" t="n">
        <v>831001</v>
      </c>
      <c r="J290" s="4" t="inlineStr">
        <is>
          <t>EAST SINGHBUM</t>
        </is>
      </c>
      <c r="K290" s="4" t="inlineStr"/>
      <c r="L290" s="4" t="inlineStr">
        <is>
          <t>Influencer</t>
        </is>
      </c>
      <c r="M290" s="4" t="inlineStr">
        <is>
          <t>Got future date</t>
        </is>
      </c>
      <c r="N290" s="4" t="inlineStr">
        <is>
          <t>IHB CONTRACTOR USING RUNGTA TMT and shyam steel. Rates given 59500 landed to the CUSTUMER</t>
        </is>
      </c>
      <c r="O290" s="4" t="inlineStr">
        <is>
          <t>Will connect us on inquiry received from IHB CUSTUMER. Rates will be shared and product will be explained. Will let us know.</t>
        </is>
      </c>
      <c r="P290" s="4" t="inlineStr">
        <is>
          <t>IHB CONTRACTOR USING RUNGTA TMT and shyam steel. Rates given 59500 landed to the CUSTUMER | Will connect us on inquiry received from IHB CUSTUMER. Rates will be shared and product will be explained. Will let us know.</t>
        </is>
      </c>
      <c r="Q290" s="4">
        <f>LEN(TRIM(P290))-LEN(SUBSTITUTE(P290," ",""))+1</f>
        <v/>
      </c>
      <c r="R290" s="4" t="n">
        <v>22.7674395</v>
      </c>
      <c r="S290" s="4" t="n">
        <v>86.2025517</v>
      </c>
      <c r="T290" s="4">
        <f>COUNTIF($G$2:G290,G290)</f>
        <v/>
      </c>
      <c r="U290" s="4">
        <f>IF(F290&lt;5,"YES","NO")</f>
        <v/>
      </c>
      <c r="V290" s="4">
        <f>IF(AND(N290&lt;&gt;"",O290&lt;&gt;""),"YES","NO")</f>
        <v/>
      </c>
      <c r="W290" s="4">
        <f>IF(HOUR(D290)&lt;12,"Morning",IF(HOUR(D290)&lt;17,"Afternoon","Evening"))</f>
        <v/>
      </c>
      <c r="X290" s="4" t="n">
        <v>6</v>
      </c>
      <c r="Y290" s="4">
        <f>IF(F290&lt;5,"&lt;5 min",IF(F290&lt;15,"5-15 min",IF(F290&lt;30,"15-30 min","30+ min")))</f>
        <v/>
      </c>
    </row>
    <row r="291">
      <c r="A291" s="3" t="n">
        <v>46052</v>
      </c>
      <c r="B291" s="4" t="inlineStr">
        <is>
          <t>Friday</t>
        </is>
      </c>
      <c r="C291" s="4" t="inlineStr">
        <is>
          <t>Jan 26</t>
        </is>
      </c>
      <c r="D291" s="4" t="inlineStr">
        <is>
          <t>30/01/2026, 5:50 pm</t>
        </is>
      </c>
      <c r="E291" s="4" t="inlineStr">
        <is>
          <t>30/01/2026, 5:53 pm</t>
        </is>
      </c>
      <c r="F291" s="4">
        <f>(E291-D291)*24*60</f>
        <v/>
      </c>
      <c r="G291" s="4" t="inlineStr">
        <is>
          <t>Sahu contruction</t>
        </is>
      </c>
      <c r="H291" s="4" t="inlineStr">
        <is>
          <t>001fw00000CFFeFAAX</t>
        </is>
      </c>
      <c r="I291" s="4" t="n">
        <v>831001</v>
      </c>
      <c r="J291" s="4" t="inlineStr">
        <is>
          <t>EAST SINGHBUM</t>
        </is>
      </c>
      <c r="K291" s="4" t="inlineStr"/>
      <c r="L291" s="4" t="inlineStr">
        <is>
          <t>Influencer</t>
        </is>
      </c>
      <c r="M291" s="4" t="inlineStr">
        <is>
          <t>Got future date</t>
        </is>
      </c>
      <c r="N291" s="4" t="inlineStr">
        <is>
          <t>IHB CONTRACTOR USING RUNGTA TMT and tiscon tmt. Rates given 64500 landed given to the CUSTUMER.</t>
        </is>
      </c>
      <c r="O291" s="4" t="inlineStr">
        <is>
          <t>Will let us know. Sharing details with customers. Will revert us.</t>
        </is>
      </c>
      <c r="P291" s="4" t="inlineStr">
        <is>
          <t>IHB CONTRACTOR USING RUNGTA TMT and tiscon tmt. Rates given 64500 landed given to the CUSTUMER. | Will let us know. Sharing details with customers. Will revert us.</t>
        </is>
      </c>
      <c r="Q291" s="4">
        <f>LEN(TRIM(P291))-LEN(SUBSTITUTE(P291," ",""))+1</f>
        <v/>
      </c>
      <c r="R291" s="4" t="n">
        <v>22.7688122</v>
      </c>
      <c r="S291" s="4" t="n">
        <v>86.2004041</v>
      </c>
      <c r="T291" s="4">
        <f>COUNTIF($G$2:G291,G291)</f>
        <v/>
      </c>
      <c r="U291" s="4">
        <f>IF(F291&lt;5,"YES","NO")</f>
        <v/>
      </c>
      <c r="V291" s="4">
        <f>IF(AND(N291&lt;&gt;"",O291&lt;&gt;""),"YES","NO")</f>
        <v/>
      </c>
      <c r="W291" s="4">
        <f>IF(HOUR(D291)&lt;12,"Morning",IF(HOUR(D291)&lt;17,"Afternoon","Evening"))</f>
        <v/>
      </c>
      <c r="X291" s="4" t="n">
        <v>6</v>
      </c>
      <c r="Y291" s="4">
        <f>IF(F291&lt;5,"&lt;5 min",IF(F291&lt;15,"5-15 min",IF(F291&lt;30,"15-30 min","30+ min")))</f>
        <v/>
      </c>
    </row>
    <row r="292">
      <c r="A292" s="3" t="n">
        <v>45967</v>
      </c>
      <c r="B292" s="4" t="inlineStr">
        <is>
          <t>Thursday</t>
        </is>
      </c>
      <c r="C292" s="4" t="inlineStr">
        <is>
          <t>Nov 25</t>
        </is>
      </c>
      <c r="D292" s="4" t="inlineStr">
        <is>
          <t>06/11/2025, 5:49 pm</t>
        </is>
      </c>
      <c r="E292" s="4" t="inlineStr">
        <is>
          <t>06/11/2025, 5:50 pm</t>
        </is>
      </c>
      <c r="F292" s="4">
        <f>(E292-D292)*24*60</f>
        <v/>
      </c>
      <c r="G292" s="4" t="inlineStr">
        <is>
          <t>Samay construction</t>
        </is>
      </c>
      <c r="H292" s="4" t="inlineStr">
        <is>
          <t>001fw000007kg6fAAA</t>
        </is>
      </c>
      <c r="I292" s="4" t="n">
        <v>831002</v>
      </c>
      <c r="J292" s="4" t="inlineStr">
        <is>
          <t>EAST SINGHBUM</t>
        </is>
      </c>
      <c r="K292" s="4" t="inlineStr"/>
      <c r="L292" s="4" t="inlineStr">
        <is>
          <t>Influencer</t>
        </is>
      </c>
      <c r="M292" s="4" t="inlineStr">
        <is>
          <t>Got future date</t>
        </is>
      </c>
      <c r="N292" s="4" t="inlineStr">
        <is>
          <t>Ihb contractor. Rates given 57000 landed through retailer. Using shyam and rungta tmt</t>
        </is>
      </c>
      <c r="O292" s="4" t="inlineStr">
        <is>
          <t>Will connect with inquiry last purchase was @ 48000 landed rungta at site.</t>
        </is>
      </c>
      <c r="P292" s="4" t="inlineStr">
        <is>
          <t>Ihb contractor. Rates given 57000 landed through retailer. Using shyam and rungta tmt | Will connect with inquiry last purchase was @ 48000 landed rungta at site.</t>
        </is>
      </c>
      <c r="Q292" s="4">
        <f>LEN(TRIM(P292))-LEN(SUBSTITUTE(P292," ",""))+1</f>
        <v/>
      </c>
      <c r="R292" s="4" t="n">
        <v>22.8119825</v>
      </c>
      <c r="S292" s="4" t="n">
        <v>86.2151757</v>
      </c>
      <c r="T292" s="4">
        <f>COUNTIF($G$2:G292,G292)</f>
        <v/>
      </c>
      <c r="U292" s="4">
        <f>IF(F292&lt;5,"YES","NO")</f>
        <v/>
      </c>
      <c r="V292" s="4">
        <f>IF(AND(N292&lt;&gt;"",O292&lt;&gt;""),"YES","NO")</f>
        <v/>
      </c>
      <c r="W292" s="4">
        <f>IF(HOUR(D292)&lt;12,"Morning",IF(HOUR(D292)&lt;17,"Afternoon","Evening"))</f>
        <v/>
      </c>
      <c r="X292" s="4" t="n">
        <v>6</v>
      </c>
      <c r="Y292" s="4">
        <f>IF(F292&lt;5,"&lt;5 min",IF(F292&lt;15,"5-15 min",IF(F292&lt;30,"15-30 min","30+ min")))</f>
        <v/>
      </c>
    </row>
    <row r="293">
      <c r="A293" s="3" t="n">
        <v>45967</v>
      </c>
      <c r="B293" s="4" t="inlineStr">
        <is>
          <t>Thursday</t>
        </is>
      </c>
      <c r="C293" s="4" t="inlineStr">
        <is>
          <t>Nov 25</t>
        </is>
      </c>
      <c r="D293" s="4" t="inlineStr">
        <is>
          <t>06/11/2025, 7:13 pm</t>
        </is>
      </c>
      <c r="E293" s="4" t="inlineStr">
        <is>
          <t>06/11/2025, 7:15 pm</t>
        </is>
      </c>
      <c r="F293" s="4">
        <f>(E293-D293)*24*60</f>
        <v/>
      </c>
      <c r="G293" s="4" t="inlineStr">
        <is>
          <t>Samay construction</t>
        </is>
      </c>
      <c r="H293" s="4" t="inlineStr">
        <is>
          <t>001fw000007kg6fAAA</t>
        </is>
      </c>
      <c r="I293" s="4" t="n">
        <v>831002</v>
      </c>
      <c r="J293" s="4" t="inlineStr">
        <is>
          <t>EAST SINGHBUM</t>
        </is>
      </c>
      <c r="K293" s="4" t="inlineStr"/>
      <c r="L293" s="4" t="inlineStr">
        <is>
          <t>Influencer</t>
        </is>
      </c>
      <c r="M293" s="4" t="inlineStr">
        <is>
          <t>Got future date</t>
        </is>
      </c>
      <c r="N293" s="4" t="inlineStr">
        <is>
          <t>Ihb contractor of projects. Landed rates 56000 given to the customer. Using rungta tmt .</t>
        </is>
      </c>
      <c r="O293" s="4" t="inlineStr">
        <is>
          <t>Last purchased rungta @ 50000 landed. Will connect with demand of tmt .</t>
        </is>
      </c>
      <c r="P293" s="4" t="inlineStr">
        <is>
          <t>Ihb contractor of projects. Landed rates 56000 given to the customer. Using rungta tmt . | Last purchased rungta @ 50000 landed. Will connect with demand of tmt .</t>
        </is>
      </c>
      <c r="Q293" s="4">
        <f>LEN(TRIM(P293))-LEN(SUBSTITUTE(P293," ",""))+1</f>
        <v/>
      </c>
      <c r="R293" s="4" t="n">
        <v>22.8121355</v>
      </c>
      <c r="S293" s="4" t="n">
        <v>86.2152287</v>
      </c>
      <c r="T293" s="4">
        <f>COUNTIF($G$2:G293,G293)</f>
        <v/>
      </c>
      <c r="U293" s="4">
        <f>IF(F293&lt;5,"YES","NO")</f>
        <v/>
      </c>
      <c r="V293" s="4">
        <f>IF(AND(N293&lt;&gt;"",O293&lt;&gt;""),"YES","NO")</f>
        <v/>
      </c>
      <c r="W293" s="4">
        <f>IF(HOUR(D293)&lt;12,"Morning",IF(HOUR(D293)&lt;17,"Afternoon","Evening"))</f>
        <v/>
      </c>
      <c r="X293" s="4" t="n">
        <v>6</v>
      </c>
      <c r="Y293" s="4">
        <f>IF(F293&lt;5,"&lt;5 min",IF(F293&lt;15,"5-15 min",IF(F293&lt;30,"15-30 min","30+ min")))</f>
        <v/>
      </c>
    </row>
    <row r="294">
      <c r="A294" s="3" t="n">
        <v>45968</v>
      </c>
      <c r="B294" s="4" t="inlineStr">
        <is>
          <t>Friday</t>
        </is>
      </c>
      <c r="C294" s="4" t="inlineStr">
        <is>
          <t>Nov 25</t>
        </is>
      </c>
      <c r="D294" s="4" t="inlineStr">
        <is>
          <t>07/11/2025, 6:44 pm</t>
        </is>
      </c>
      <c r="E294" s="4" t="inlineStr">
        <is>
          <t>07/11/2025, 6:51 pm</t>
        </is>
      </c>
      <c r="F294" s="4">
        <f>(E294-D294)*24*60</f>
        <v/>
      </c>
      <c r="G294" s="4" t="inlineStr">
        <is>
          <t>Samay construction</t>
        </is>
      </c>
      <c r="H294" s="4" t="inlineStr">
        <is>
          <t>001fw000007kdlWAAQ</t>
        </is>
      </c>
      <c r="I294" s="4" t="n">
        <v>831001</v>
      </c>
      <c r="J294" s="4" t="inlineStr">
        <is>
          <t>EAST SINGHBUM</t>
        </is>
      </c>
      <c r="K294" s="4" t="inlineStr"/>
      <c r="L294" s="4" t="inlineStr">
        <is>
          <t>Influencer</t>
        </is>
      </c>
      <c r="M294" s="4" t="inlineStr">
        <is>
          <t>Got future date</t>
        </is>
      </c>
      <c r="N294" s="4" t="inlineStr">
        <is>
          <t>Ihb contractor using rungta and shyam steel .rates given 56 landed to the customer 12 mm. Basic .</t>
        </is>
      </c>
      <c r="O294" s="4" t="inlineStr">
        <is>
          <t>Will connect with an inquiry . Last purchase rungta tmt @ 49 landed</t>
        </is>
      </c>
      <c r="P294" s="4" t="inlineStr">
        <is>
          <t>Ihb contractor using rungta and shyam steel .rates given 56 landed to the customer 12 mm. Basic . | Will connect with an inquiry . Last purchase rungta tmt @ 49 landed</t>
        </is>
      </c>
      <c r="Q294" s="4">
        <f>LEN(TRIM(P294))-LEN(SUBSTITUTE(P294," ",""))+1</f>
        <v/>
      </c>
      <c r="R294" s="4" t="n">
        <v>22.8119929</v>
      </c>
      <c r="S294" s="4" t="n">
        <v>86.21517609999999</v>
      </c>
      <c r="T294" s="4">
        <f>COUNTIF($G$2:G294,G294)</f>
        <v/>
      </c>
      <c r="U294" s="4">
        <f>IF(F294&lt;5,"YES","NO")</f>
        <v/>
      </c>
      <c r="V294" s="4">
        <f>IF(AND(N294&lt;&gt;"",O294&lt;&gt;""),"YES","NO")</f>
        <v/>
      </c>
      <c r="W294" s="4">
        <f>IF(HOUR(D294)&lt;12,"Morning",IF(HOUR(D294)&lt;17,"Afternoon","Evening"))</f>
        <v/>
      </c>
      <c r="X294" s="4" t="n">
        <v>6</v>
      </c>
      <c r="Y294" s="4">
        <f>IF(F294&lt;5,"&lt;5 min",IF(F294&lt;15,"5-15 min",IF(F294&lt;30,"15-30 min","30+ min")))</f>
        <v/>
      </c>
    </row>
    <row r="295">
      <c r="A295" s="3" t="n">
        <v>45969</v>
      </c>
      <c r="B295" s="4" t="inlineStr">
        <is>
          <t>Saturday</t>
        </is>
      </c>
      <c r="C295" s="4" t="inlineStr">
        <is>
          <t>Nov 25</t>
        </is>
      </c>
      <c r="D295" s="4" t="inlineStr">
        <is>
          <t>08/11/2025, 6:40 pm</t>
        </is>
      </c>
      <c r="E295" s="4" t="inlineStr">
        <is>
          <t>08/11/2025, 6:41 pm</t>
        </is>
      </c>
      <c r="F295" s="4">
        <f>(E295-D295)*24*60</f>
        <v/>
      </c>
      <c r="G295" s="4" t="inlineStr">
        <is>
          <t>Samay construction</t>
        </is>
      </c>
      <c r="H295" s="4" t="inlineStr">
        <is>
          <t>001fw000007k4zBAAQ</t>
        </is>
      </c>
      <c r="I295" s="4" t="n">
        <v>831001</v>
      </c>
      <c r="J295" s="4" t="inlineStr">
        <is>
          <t>EAST SINGHBUM</t>
        </is>
      </c>
      <c r="K295" s="4" t="inlineStr"/>
      <c r="L295" s="4" t="inlineStr">
        <is>
          <t>Influencer</t>
        </is>
      </c>
      <c r="M295" s="4" t="inlineStr">
        <is>
          <t>Got future date</t>
        </is>
      </c>
      <c r="N295" s="4" t="inlineStr">
        <is>
          <t>Ihb contractor using Tata steel and rungta tmt. Rates given 58000 landed through dealer.</t>
        </is>
      </c>
      <c r="O295" s="4" t="inlineStr">
        <is>
          <t>Will connect near by dealer when inquiry comes from customer.</t>
        </is>
      </c>
      <c r="P295" s="4" t="inlineStr">
        <is>
          <t>Ihb contractor using Tata steel and rungta tmt. Rates given 58000 landed through dealer. | Will connect near by dealer when inquiry comes from customer.</t>
        </is>
      </c>
      <c r="Q295" s="4">
        <f>LEN(TRIM(P295))-LEN(SUBSTITUTE(P295," ",""))+1</f>
        <v/>
      </c>
      <c r="R295" s="4" t="n">
        <v>22.8067571</v>
      </c>
      <c r="S295" s="4" t="n">
        <v>86.2223722</v>
      </c>
      <c r="T295" s="4">
        <f>COUNTIF($G$2:G295,G295)</f>
        <v/>
      </c>
      <c r="U295" s="4">
        <f>IF(F295&lt;5,"YES","NO")</f>
        <v/>
      </c>
      <c r="V295" s="4">
        <f>IF(AND(N295&lt;&gt;"",O295&lt;&gt;""),"YES","NO")</f>
        <v/>
      </c>
      <c r="W295" s="4">
        <f>IF(HOUR(D295)&lt;12,"Morning",IF(HOUR(D295)&lt;17,"Afternoon","Evening"))</f>
        <v/>
      </c>
      <c r="X295" s="4" t="n">
        <v>5</v>
      </c>
      <c r="Y295" s="4">
        <f>IF(F295&lt;5,"&lt;5 min",IF(F295&lt;15,"5-15 min",IF(F295&lt;30,"15-30 min","30+ min")))</f>
        <v/>
      </c>
    </row>
    <row r="296">
      <c r="A296" s="3" t="n">
        <v>45973</v>
      </c>
      <c r="B296" s="4" t="inlineStr">
        <is>
          <t>Wednesday</t>
        </is>
      </c>
      <c r="C296" s="4" t="inlineStr">
        <is>
          <t>Nov 25</t>
        </is>
      </c>
      <c r="D296" s="4" t="inlineStr">
        <is>
          <t>12/11/2025, 3:52 pm</t>
        </is>
      </c>
      <c r="E296" s="4" t="inlineStr">
        <is>
          <t>12/11/2025, 3:53 pm</t>
        </is>
      </c>
      <c r="F296" s="4">
        <f>(E296-D296)*24*60</f>
        <v/>
      </c>
      <c r="G296" s="4" t="inlineStr">
        <is>
          <t>Samay construction</t>
        </is>
      </c>
      <c r="H296" s="4" t="inlineStr">
        <is>
          <t>001fw000007k4zBAAQ</t>
        </is>
      </c>
      <c r="I296" s="4" t="n">
        <v>831001</v>
      </c>
      <c r="J296" s="4" t="inlineStr">
        <is>
          <t>EAST SINGHBUM</t>
        </is>
      </c>
      <c r="K296" s="4" t="inlineStr"/>
      <c r="L296" s="4" t="inlineStr">
        <is>
          <t>Influencer</t>
        </is>
      </c>
      <c r="M296" s="4" t="inlineStr">
        <is>
          <t>Got future date</t>
        </is>
      </c>
      <c r="N296" s="4" t="inlineStr">
        <is>
          <t>Contractor of ihb projects. Rates given 56000 landed to the contractor for direct bill from godown.</t>
        </is>
      </c>
      <c r="O296" s="4" t="inlineStr">
        <is>
          <t>Asking to connect us later. Need time for the same.</t>
        </is>
      </c>
      <c r="P296" s="4" t="inlineStr">
        <is>
          <t>Contractor of ihb projects. Rates given 56000 landed to the contractor for direct bill from godown. | Asking to connect us later. Need time for the same.</t>
        </is>
      </c>
      <c r="Q296" s="4">
        <f>LEN(TRIM(P296))-LEN(SUBSTITUTE(P296," ",""))+1</f>
        <v/>
      </c>
      <c r="R296" s="4" t="n">
        <v>22.8076516</v>
      </c>
      <c r="S296" s="4" t="n">
        <v>86.2221136</v>
      </c>
      <c r="T296" s="4">
        <f>COUNTIF($G$2:G296,G296)</f>
        <v/>
      </c>
      <c r="U296" s="4">
        <f>IF(F296&lt;5,"YES","NO")</f>
        <v/>
      </c>
      <c r="V296" s="4">
        <f>IF(AND(N296&lt;&gt;"",O296&lt;&gt;""),"YES","NO")</f>
        <v/>
      </c>
      <c r="W296" s="4">
        <f>IF(HOUR(D296)&lt;12,"Morning",IF(HOUR(D296)&lt;17,"Afternoon","Evening"))</f>
        <v/>
      </c>
      <c r="X296" s="4" t="n">
        <v>8</v>
      </c>
      <c r="Y296" s="4">
        <f>IF(F296&lt;5,"&lt;5 min",IF(F296&lt;15,"5-15 min",IF(F296&lt;30,"15-30 min","30+ min")))</f>
        <v/>
      </c>
    </row>
    <row r="297">
      <c r="A297" s="3" t="n">
        <v>45974</v>
      </c>
      <c r="B297" s="4" t="inlineStr">
        <is>
          <t>Thursday</t>
        </is>
      </c>
      <c r="C297" s="4" t="inlineStr">
        <is>
          <t>Nov 25</t>
        </is>
      </c>
      <c r="D297" s="4" t="inlineStr">
        <is>
          <t>13/11/2025, 6:13 pm</t>
        </is>
      </c>
      <c r="E297" s="4" t="inlineStr">
        <is>
          <t>13/11/2025, 6:14 pm</t>
        </is>
      </c>
      <c r="F297" s="4">
        <f>(E297-D297)*24*60</f>
        <v/>
      </c>
      <c r="G297" s="4" t="inlineStr">
        <is>
          <t>Samay construction</t>
        </is>
      </c>
      <c r="H297" s="4" t="inlineStr">
        <is>
          <t>001fw000007k8d6AAA</t>
        </is>
      </c>
      <c r="I297" s="4" t="n">
        <v>831003</v>
      </c>
      <c r="J297" s="4" t="inlineStr">
        <is>
          <t>EAST SINGHBUM</t>
        </is>
      </c>
      <c r="K297" s="4" t="inlineStr"/>
      <c r="L297" s="4" t="inlineStr">
        <is>
          <t>Influencer</t>
        </is>
      </c>
      <c r="M297" s="4" t="inlineStr">
        <is>
          <t>Got future date</t>
        </is>
      </c>
      <c r="N297" s="4" t="inlineStr">
        <is>
          <t>Contractor of ihb projects . Using tiscon and rungta. Rates given 47 basic via dealer.</t>
        </is>
      </c>
      <c r="O297" s="4" t="inlineStr">
        <is>
          <t>Will share inquiry once received from site. Need time.</t>
        </is>
      </c>
      <c r="P297" s="4" t="inlineStr">
        <is>
          <t>Contractor of ihb projects . Using tiscon and rungta. Rates given 47 basic via dealer. | Will share inquiry once received from site. Need time.</t>
        </is>
      </c>
      <c r="Q297" s="4">
        <f>LEN(TRIM(P297))-LEN(SUBSTITUTE(P297," ",""))+1</f>
        <v/>
      </c>
      <c r="R297" s="4" t="n">
        <v>22.8061976</v>
      </c>
      <c r="S297" s="4" t="n">
        <v>86.2229358</v>
      </c>
      <c r="T297" s="4">
        <f>COUNTIF($G$2:G297,G297)</f>
        <v/>
      </c>
      <c r="U297" s="4">
        <f>IF(F297&lt;5,"YES","NO")</f>
        <v/>
      </c>
      <c r="V297" s="4">
        <f>IF(AND(N297&lt;&gt;"",O297&lt;&gt;""),"YES","NO")</f>
        <v/>
      </c>
      <c r="W297" s="4">
        <f>IF(HOUR(D297)&lt;12,"Morning",IF(HOUR(D297)&lt;17,"Afternoon","Evening"))</f>
        <v/>
      </c>
      <c r="X297" s="4" t="n">
        <v>7</v>
      </c>
      <c r="Y297" s="4">
        <f>IF(F297&lt;5,"&lt;5 min",IF(F297&lt;15,"5-15 min",IF(F297&lt;30,"15-30 min","30+ min")))</f>
        <v/>
      </c>
    </row>
    <row r="298">
      <c r="A298" s="3" t="n">
        <v>45978</v>
      </c>
      <c r="B298" s="4" t="inlineStr">
        <is>
          <t>Monday</t>
        </is>
      </c>
      <c r="C298" s="4" t="inlineStr">
        <is>
          <t>Nov 25</t>
        </is>
      </c>
      <c r="D298" s="4" t="inlineStr">
        <is>
          <t>17/11/2025, 6:38 pm</t>
        </is>
      </c>
      <c r="E298" s="4" t="inlineStr">
        <is>
          <t>17/11/2025, 6:39 pm</t>
        </is>
      </c>
      <c r="F298" s="4">
        <f>(E298-D298)*24*60</f>
        <v/>
      </c>
      <c r="G298" s="4" t="inlineStr">
        <is>
          <t>Samay construction</t>
        </is>
      </c>
      <c r="H298" s="4" t="inlineStr">
        <is>
          <t>001fw000007kHTHAA2</t>
        </is>
      </c>
      <c r="I298" s="4" t="n">
        <v>831001</v>
      </c>
      <c r="J298" s="4" t="inlineStr">
        <is>
          <t>EAST SINGHBUM</t>
        </is>
      </c>
      <c r="K298" s="4" t="inlineStr"/>
      <c r="L298" s="4" t="inlineStr">
        <is>
          <t>Influencer</t>
        </is>
      </c>
      <c r="M298" s="4" t="inlineStr">
        <is>
          <t>Got future date</t>
        </is>
      </c>
      <c r="N298" s="4" t="inlineStr">
        <is>
          <t>Ihb contractor and influencer using Tata and rungta. Rates given 54.5 to the customer</t>
        </is>
      </c>
      <c r="O298" s="4" t="inlineStr">
        <is>
          <t>Will connect us when inquiry comes by end user . Last purchase rungta .</t>
        </is>
      </c>
      <c r="P298" s="4" t="inlineStr">
        <is>
          <t>Ihb contractor and influencer using Tata and rungta. Rates given 54.5 to the customer | Will connect us when inquiry comes by end user . Last purchase rungta .</t>
        </is>
      </c>
      <c r="Q298" s="4">
        <f>LEN(TRIM(P298))-LEN(SUBSTITUTE(P298," ",""))+1</f>
        <v/>
      </c>
      <c r="R298" s="4" t="n">
        <v>22.8077826</v>
      </c>
      <c r="S298" s="4" t="n">
        <v>86.2217129</v>
      </c>
      <c r="T298" s="4">
        <f>COUNTIF($G$2:G298,G298)</f>
        <v/>
      </c>
      <c r="U298" s="4">
        <f>IF(F298&lt;5,"YES","NO")</f>
        <v/>
      </c>
      <c r="V298" s="4">
        <f>IF(AND(N298&lt;&gt;"",O298&lt;&gt;""),"YES","NO")</f>
        <v/>
      </c>
      <c r="W298" s="4">
        <f>IF(HOUR(D298)&lt;12,"Morning",IF(HOUR(D298)&lt;17,"Afternoon","Evening"))</f>
        <v/>
      </c>
      <c r="X298" s="4" t="n">
        <v>8</v>
      </c>
      <c r="Y298" s="4">
        <f>IF(F298&lt;5,"&lt;5 min",IF(F298&lt;15,"5-15 min",IF(F298&lt;30,"15-30 min","30+ min")))</f>
        <v/>
      </c>
    </row>
    <row r="299">
      <c r="A299" s="3" t="n">
        <v>45981</v>
      </c>
      <c r="B299" s="4" t="inlineStr">
        <is>
          <t>Thursday</t>
        </is>
      </c>
      <c r="C299" s="4" t="inlineStr">
        <is>
          <t>Nov 25</t>
        </is>
      </c>
      <c r="D299" s="4" t="inlineStr">
        <is>
          <t>20/11/2025, 5:34 pm</t>
        </is>
      </c>
      <c r="E299" s="4" t="inlineStr">
        <is>
          <t>20/11/2025, 5:36 pm</t>
        </is>
      </c>
      <c r="F299" s="4">
        <f>(E299-D299)*24*60</f>
        <v/>
      </c>
      <c r="G299" s="4" t="inlineStr">
        <is>
          <t>Samay construction</t>
        </is>
      </c>
      <c r="H299" s="4" t="inlineStr">
        <is>
          <t>001fw000007kehaAAA</t>
        </is>
      </c>
      <c r="I299" s="4" t="n">
        <v>831002</v>
      </c>
      <c r="J299" s="4" t="inlineStr">
        <is>
          <t>EAST SINGHBUM</t>
        </is>
      </c>
      <c r="K299" s="4" t="inlineStr"/>
      <c r="L299" s="4" t="inlineStr">
        <is>
          <t>Influencer</t>
        </is>
      </c>
      <c r="M299" s="4" t="inlineStr">
        <is>
          <t>Got future date</t>
        </is>
      </c>
      <c r="N299" s="4" t="inlineStr">
        <is>
          <t>Ihb contractor using tiscon and rungta tmt . Rates given 55500 landed through dealer.</t>
        </is>
      </c>
      <c r="O299" s="4" t="inlineStr">
        <is>
          <t>Will share inquiry through end user and contact dealer.</t>
        </is>
      </c>
      <c r="P299" s="4" t="inlineStr">
        <is>
          <t>Ihb contractor using tiscon and rungta tmt . Rates given 55500 landed through dealer. | Will share inquiry through end user and contact dealer.</t>
        </is>
      </c>
      <c r="Q299" s="4">
        <f>LEN(TRIM(P299))-LEN(SUBSTITUTE(P299," ",""))+1</f>
        <v/>
      </c>
      <c r="R299" s="4" t="n">
        <v>22.8121533</v>
      </c>
      <c r="S299" s="4" t="n">
        <v>86.21521319999999</v>
      </c>
      <c r="T299" s="4">
        <f>COUNTIF($G$2:G299,G299)</f>
        <v/>
      </c>
      <c r="U299" s="4">
        <f>IF(F299&lt;5,"YES","NO")</f>
        <v/>
      </c>
      <c r="V299" s="4">
        <f>IF(AND(N299&lt;&gt;"",O299&lt;&gt;""),"YES","NO")</f>
        <v/>
      </c>
      <c r="W299" s="4">
        <f>IF(HOUR(D299)&lt;12,"Morning",IF(HOUR(D299)&lt;17,"Afternoon","Evening"))</f>
        <v/>
      </c>
      <c r="X299" s="4" t="n">
        <v>6</v>
      </c>
      <c r="Y299" s="4">
        <f>IF(F299&lt;5,"&lt;5 min",IF(F299&lt;15,"5-15 min",IF(F299&lt;30,"15-30 min","30+ min")))</f>
        <v/>
      </c>
    </row>
    <row r="300">
      <c r="A300" s="3" t="n">
        <v>46001</v>
      </c>
      <c r="B300" s="4" t="inlineStr">
        <is>
          <t>Wednesday</t>
        </is>
      </c>
      <c r="C300" s="4" t="inlineStr">
        <is>
          <t>Dec 25</t>
        </is>
      </c>
      <c r="D300" s="4" t="inlineStr">
        <is>
          <t>10/12/2025, 7:25 pm</t>
        </is>
      </c>
      <c r="E300" s="4" t="inlineStr">
        <is>
          <t>10/12/2025, 7:38 pm</t>
        </is>
      </c>
      <c r="F300" s="4">
        <f>(E300-D300)*24*60</f>
        <v/>
      </c>
      <c r="G300" s="4" t="inlineStr">
        <is>
          <t>Samay construction</t>
        </is>
      </c>
      <c r="H300" s="4" t="inlineStr">
        <is>
          <t>001fw000007kg6fAAA</t>
        </is>
      </c>
      <c r="I300" s="4" t="n">
        <v>831002</v>
      </c>
      <c r="J300" s="4" t="inlineStr">
        <is>
          <t>EAST SINGHBUM</t>
        </is>
      </c>
      <c r="K300" s="4" t="inlineStr"/>
      <c r="L300" s="4" t="inlineStr">
        <is>
          <t>Influencer</t>
        </is>
      </c>
      <c r="M300" s="4" t="inlineStr">
        <is>
          <t>Got future date</t>
        </is>
      </c>
      <c r="N300" s="4" t="inlineStr">
        <is>
          <t>Ihb contractor using Tata tiscon and rungta tmt. Rates given 56000 landed to the contractor through dealer .</t>
        </is>
      </c>
      <c r="O300" s="4" t="inlineStr">
        <is>
          <t>Will connect us when inquiry comes. Will let know. Need time.</t>
        </is>
      </c>
      <c r="P300" s="4" t="inlineStr">
        <is>
          <t>Ihb contractor using Tata tiscon and rungta tmt. Rates given 56000 landed to the contractor through dealer . | Will connect us when inquiry comes. Will let know. Need time.</t>
        </is>
      </c>
      <c r="Q300" s="4">
        <f>LEN(TRIM(P300))-LEN(SUBSTITUTE(P300," ",""))+1</f>
        <v/>
      </c>
      <c r="R300" s="4" t="n">
        <v>22.8121913</v>
      </c>
      <c r="S300" s="4" t="n">
        <v>86.2153318</v>
      </c>
      <c r="T300" s="4">
        <f>COUNTIF($G$2:G300,G300)</f>
        <v/>
      </c>
      <c r="U300" s="4">
        <f>IF(F300&lt;5,"YES","NO")</f>
        <v/>
      </c>
      <c r="V300" s="4">
        <f>IF(AND(N300&lt;&gt;"",O300&lt;&gt;""),"YES","NO")</f>
        <v/>
      </c>
      <c r="W300" s="4">
        <f>IF(HOUR(D300)&lt;12,"Morning",IF(HOUR(D300)&lt;17,"Afternoon","Evening"))</f>
        <v/>
      </c>
      <c r="X300" s="4" t="n">
        <v>7</v>
      </c>
      <c r="Y300" s="4">
        <f>IF(F300&lt;5,"&lt;5 min",IF(F300&lt;15,"5-15 min",IF(F300&lt;30,"15-30 min","30+ min")))</f>
        <v/>
      </c>
    </row>
    <row r="301">
      <c r="A301" s="3" t="n">
        <v>46003</v>
      </c>
      <c r="B301" s="4" t="inlineStr">
        <is>
          <t>Friday</t>
        </is>
      </c>
      <c r="C301" s="4" t="inlineStr">
        <is>
          <t>Dec 25</t>
        </is>
      </c>
      <c r="D301" s="4" t="inlineStr">
        <is>
          <t>12/12/2025, 12:39 pm</t>
        </is>
      </c>
      <c r="E301" s="4" t="inlineStr">
        <is>
          <t>12/12/2025, 12:42 pm</t>
        </is>
      </c>
      <c r="F301" s="4">
        <f>(E301-D301)*24*60</f>
        <v/>
      </c>
      <c r="G301" s="4" t="inlineStr">
        <is>
          <t>Samay construction</t>
        </is>
      </c>
      <c r="H301" s="4" t="inlineStr">
        <is>
          <t>001fw000007kdlWAAQ</t>
        </is>
      </c>
      <c r="I301" s="4" t="n">
        <v>831001</v>
      </c>
      <c r="J301" s="4" t="inlineStr">
        <is>
          <t>EAST SINGHBUM</t>
        </is>
      </c>
      <c r="K301" s="4" t="inlineStr"/>
      <c r="L301" s="4" t="inlineStr">
        <is>
          <t>Influencer</t>
        </is>
      </c>
      <c r="M301" s="4" t="inlineStr">
        <is>
          <t>Got future date</t>
        </is>
      </c>
      <c r="N301" s="4" t="inlineStr">
        <is>
          <t>Ihb contractor using rugta and govinda tmt . Rates given 56500 to the custumer. Will share inquiry to us.</t>
        </is>
      </c>
      <c r="O301" s="4" t="inlineStr">
        <is>
          <t>Will let us know. Need time asking to wait for end customer site demand will check rates with us.</t>
        </is>
      </c>
      <c r="P301" s="4" t="inlineStr">
        <is>
          <t>Ihb contractor using rugta and govinda tmt . Rates given 56500 to the custumer. Will share inquiry to us. | Will let us know. Need time asking to wait for end customer site demand will check rates with us.</t>
        </is>
      </c>
      <c r="Q301" s="4">
        <f>LEN(TRIM(P301))-LEN(SUBSTITUTE(P301," ",""))+1</f>
        <v/>
      </c>
      <c r="R301" s="4" t="n">
        <v>22.8062748</v>
      </c>
      <c r="S301" s="4" t="n">
        <v>86.2229383</v>
      </c>
      <c r="T301" s="4">
        <f>COUNTIF($G$2:G301,G301)</f>
        <v/>
      </c>
      <c r="U301" s="4">
        <f>IF(F301&lt;5,"YES","NO")</f>
        <v/>
      </c>
      <c r="V301" s="4">
        <f>IF(AND(N301&lt;&gt;"",O301&lt;&gt;""),"YES","NO")</f>
        <v/>
      </c>
      <c r="W301" s="4">
        <f>IF(HOUR(D301)&lt;12,"Morning",IF(HOUR(D301)&lt;17,"Afternoon","Evening"))</f>
        <v/>
      </c>
      <c r="X301" s="4" t="n">
        <v>7</v>
      </c>
      <c r="Y301" s="4">
        <f>IF(F301&lt;5,"&lt;5 min",IF(F301&lt;15,"5-15 min",IF(F301&lt;30,"15-30 min","30+ min")))</f>
        <v/>
      </c>
    </row>
    <row r="302">
      <c r="A302" s="3" t="n">
        <v>46003</v>
      </c>
      <c r="B302" s="4" t="inlineStr">
        <is>
          <t>Friday</t>
        </is>
      </c>
      <c r="C302" s="4" t="inlineStr">
        <is>
          <t>Dec 25</t>
        </is>
      </c>
      <c r="D302" s="4" t="inlineStr">
        <is>
          <t>12/12/2025, 4:59 pm</t>
        </is>
      </c>
      <c r="E302" s="4" t="inlineStr">
        <is>
          <t>12/12/2025, 5:04 pm</t>
        </is>
      </c>
      <c r="F302" s="4">
        <f>(E302-D302)*24*60</f>
        <v/>
      </c>
      <c r="G302" s="4" t="inlineStr">
        <is>
          <t>Samay construction</t>
        </is>
      </c>
      <c r="H302" s="4" t="inlineStr">
        <is>
          <t>001fw000007kehaAAA</t>
        </is>
      </c>
      <c r="I302" s="4" t="n">
        <v>831002</v>
      </c>
      <c r="J302" s="4" t="inlineStr">
        <is>
          <t>EAST SINGHBUM</t>
        </is>
      </c>
      <c r="K302" s="4" t="inlineStr"/>
      <c r="L302" s="4" t="inlineStr">
        <is>
          <t>Influencer</t>
        </is>
      </c>
      <c r="M302" s="4" t="inlineStr">
        <is>
          <t>Got future date</t>
        </is>
      </c>
      <c r="N302" s="4" t="inlineStr">
        <is>
          <t>Ihb contractor using rungta and shyam steel. Rates given 57000 landed to the customer. Need time to share inquiry .</t>
        </is>
      </c>
      <c r="O302" s="4" t="inlineStr">
        <is>
          <t>No inquiry now. Will share with custumer our product details and let us know.</t>
        </is>
      </c>
      <c r="P302" s="4" t="inlineStr">
        <is>
          <t>Ihb contractor using rungta and shyam steel. Rates given 57000 landed to the customer. Need time to share inquiry . | No inquiry now. Will share with custumer our product details and let us know.</t>
        </is>
      </c>
      <c r="Q302" s="4">
        <f>LEN(TRIM(P302))-LEN(SUBSTITUTE(P302," ",""))+1</f>
        <v/>
      </c>
      <c r="R302" s="4" t="n">
        <v>22.8122072</v>
      </c>
      <c r="S302" s="4" t="n">
        <v>86.215278</v>
      </c>
      <c r="T302" s="4">
        <f>COUNTIF($G$2:G302,G302)</f>
        <v/>
      </c>
      <c r="U302" s="4">
        <f>IF(F302&lt;5,"YES","NO")</f>
        <v/>
      </c>
      <c r="V302" s="4">
        <f>IF(AND(N302&lt;&gt;"",O302&lt;&gt;""),"YES","NO")</f>
        <v/>
      </c>
      <c r="W302" s="4">
        <f>IF(HOUR(D302)&lt;12,"Morning",IF(HOUR(D302)&lt;17,"Afternoon","Evening"))</f>
        <v/>
      </c>
      <c r="X302" s="4" t="n">
        <v>7</v>
      </c>
      <c r="Y302" s="4">
        <f>IF(F302&lt;5,"&lt;5 min",IF(F302&lt;15,"5-15 min",IF(F302&lt;30,"15-30 min","30+ min")))</f>
        <v/>
      </c>
    </row>
    <row r="303">
      <c r="A303" s="3" t="n">
        <v>46006</v>
      </c>
      <c r="B303" s="4" t="inlineStr">
        <is>
          <t>Monday</t>
        </is>
      </c>
      <c r="C303" s="4" t="inlineStr">
        <is>
          <t>Dec 25</t>
        </is>
      </c>
      <c r="D303" s="4" t="inlineStr">
        <is>
          <t>15/12/2025, 4:21 pm</t>
        </is>
      </c>
      <c r="E303" s="4" t="inlineStr">
        <is>
          <t>15/12/2025, 4:22 pm</t>
        </is>
      </c>
      <c r="F303" s="4">
        <f>(E303-D303)*24*60</f>
        <v/>
      </c>
      <c r="G303" s="4" t="inlineStr">
        <is>
          <t>Samay construction</t>
        </is>
      </c>
      <c r="H303" s="4" t="inlineStr">
        <is>
          <t>001fw000007kehaAAA</t>
        </is>
      </c>
      <c r="I303" s="4" t="n">
        <v>831002</v>
      </c>
      <c r="J303" s="4" t="inlineStr">
        <is>
          <t>EAST SINGHBUM</t>
        </is>
      </c>
      <c r="K303" s="4" t="inlineStr"/>
      <c r="L303" s="4" t="inlineStr">
        <is>
          <t>Influencer</t>
        </is>
      </c>
      <c r="M303" s="4" t="inlineStr">
        <is>
          <t>Got future date</t>
        </is>
      </c>
      <c r="N303" s="4" t="inlineStr">
        <is>
          <t>Ihb contractor. Using rungta and govinda. Rates given 57000 landed to the custumer.</t>
        </is>
      </c>
      <c r="O303" s="4" t="inlineStr">
        <is>
          <t>Need time. Will share inquiry once received from site of custumer.</t>
        </is>
      </c>
      <c r="P303" s="4" t="inlineStr">
        <is>
          <t>Ihb contractor. Using rungta and govinda. Rates given 57000 landed to the custumer. | Need time. Will share inquiry once received from site of custumer.</t>
        </is>
      </c>
      <c r="Q303" s="4">
        <f>LEN(TRIM(P303))-LEN(SUBSTITUTE(P303," ",""))+1</f>
        <v/>
      </c>
      <c r="R303" s="4" t="n">
        <v>22.8121314</v>
      </c>
      <c r="S303" s="4" t="n">
        <v>86.2151653</v>
      </c>
      <c r="T303" s="4">
        <f>COUNTIF($G$2:G303,G303)</f>
        <v/>
      </c>
      <c r="U303" s="4">
        <f>IF(F303&lt;5,"YES","NO")</f>
        <v/>
      </c>
      <c r="V303" s="4">
        <f>IF(AND(N303&lt;&gt;"",O303&lt;&gt;""),"YES","NO")</f>
        <v/>
      </c>
      <c r="W303" s="4">
        <f>IF(HOUR(D303)&lt;12,"Morning",IF(HOUR(D303)&lt;17,"Afternoon","Evening"))</f>
        <v/>
      </c>
      <c r="X303" s="4" t="n">
        <v>7</v>
      </c>
      <c r="Y303" s="4">
        <f>IF(F303&lt;5,"&lt;5 min",IF(F303&lt;15,"5-15 min",IF(F303&lt;30,"15-30 min","30+ min")))</f>
        <v/>
      </c>
    </row>
    <row r="304">
      <c r="A304" s="3" t="n">
        <v>46006</v>
      </c>
      <c r="B304" s="4" t="inlineStr">
        <is>
          <t>Monday</t>
        </is>
      </c>
      <c r="C304" s="4" t="inlineStr">
        <is>
          <t>Dec 25</t>
        </is>
      </c>
      <c r="D304" s="4" t="inlineStr">
        <is>
          <t>15/12/2025, 5:07 pm</t>
        </is>
      </c>
      <c r="E304" s="4" t="inlineStr">
        <is>
          <t>15/12/2025, 5:08 pm</t>
        </is>
      </c>
      <c r="F304" s="4">
        <f>(E304-D304)*24*60</f>
        <v/>
      </c>
      <c r="G304" s="4" t="inlineStr">
        <is>
          <t>Samay construction</t>
        </is>
      </c>
      <c r="H304" s="4" t="inlineStr">
        <is>
          <t>001fw000007kD7zAAE</t>
        </is>
      </c>
      <c r="I304" s="4" t="n">
        <v>831001</v>
      </c>
      <c r="J304" s="4" t="inlineStr">
        <is>
          <t>EAST SINGHBUM</t>
        </is>
      </c>
      <c r="K304" s="4" t="inlineStr"/>
      <c r="L304" s="4" t="inlineStr">
        <is>
          <t>Influencer</t>
        </is>
      </c>
      <c r="M304" s="4" t="inlineStr">
        <is>
          <t>Got future date</t>
        </is>
      </c>
      <c r="N304" s="4" t="inlineStr">
        <is>
          <t>Ihb contractor using rungta , Tata and kamdhenu tmt. Rates given 57000 landed to the dealer. Will connect us with inquiry .</t>
        </is>
      </c>
      <c r="O304" s="4" t="inlineStr">
        <is>
          <t>Need time for same will connect us for rates .</t>
        </is>
      </c>
      <c r="P304" s="4" t="inlineStr">
        <is>
          <t>Ihb contractor using rungta , Tata and kamdhenu tmt. Rates given 57000 landed to the dealer. Will connect us with inquiry . | Need time for same will connect us for rates .</t>
        </is>
      </c>
      <c r="Q304" s="4">
        <f>LEN(TRIM(P304))-LEN(SUBSTITUTE(P304," ",""))+1</f>
        <v/>
      </c>
      <c r="R304" s="4" t="n">
        <v>22.8119955</v>
      </c>
      <c r="S304" s="4" t="n">
        <v>86.2151922</v>
      </c>
      <c r="T304" s="4">
        <f>COUNTIF($G$2:G304,G304)</f>
        <v/>
      </c>
      <c r="U304" s="4">
        <f>IF(F304&lt;5,"YES","NO")</f>
        <v/>
      </c>
      <c r="V304" s="4">
        <f>IF(AND(N304&lt;&gt;"",O304&lt;&gt;""),"YES","NO")</f>
        <v/>
      </c>
      <c r="W304" s="4">
        <f>IF(HOUR(D304)&lt;12,"Morning",IF(HOUR(D304)&lt;17,"Afternoon","Evening"))</f>
        <v/>
      </c>
      <c r="X304" s="4" t="n">
        <v>7</v>
      </c>
      <c r="Y304" s="4">
        <f>IF(F304&lt;5,"&lt;5 min",IF(F304&lt;15,"5-15 min",IF(F304&lt;30,"15-30 min","30+ min")))</f>
        <v/>
      </c>
    </row>
    <row r="305">
      <c r="A305" s="3" t="n">
        <v>46007</v>
      </c>
      <c r="B305" s="4" t="inlineStr">
        <is>
          <t>Tuesday</t>
        </is>
      </c>
      <c r="C305" s="4" t="inlineStr">
        <is>
          <t>Dec 25</t>
        </is>
      </c>
      <c r="D305" s="4" t="inlineStr">
        <is>
          <t>16/12/2025, 6:28 pm</t>
        </is>
      </c>
      <c r="E305" s="4" t="inlineStr">
        <is>
          <t>16/12/2025, 6:30 pm</t>
        </is>
      </c>
      <c r="F305" s="4">
        <f>(E305-D305)*24*60</f>
        <v/>
      </c>
      <c r="G305" s="4" t="inlineStr">
        <is>
          <t>Samay construction</t>
        </is>
      </c>
      <c r="H305" s="4" t="inlineStr">
        <is>
          <t>001fw000007kHTHAA2</t>
        </is>
      </c>
      <c r="I305" s="4" t="n">
        <v>831001</v>
      </c>
      <c r="J305" s="4" t="inlineStr">
        <is>
          <t>EAST SINGHBUM</t>
        </is>
      </c>
      <c r="K305" s="4" t="inlineStr"/>
      <c r="L305" s="4" t="inlineStr">
        <is>
          <t>Influencer</t>
        </is>
      </c>
      <c r="M305" s="4" t="inlineStr">
        <is>
          <t>Got future date</t>
        </is>
      </c>
      <c r="N305" s="4" t="inlineStr">
        <is>
          <t>Ihb contractor and influencer of projects. Using panther and rungta tmt . Need time .</t>
        </is>
      </c>
      <c r="O305" s="4" t="inlineStr">
        <is>
          <t>Will share inquiry to the nearby dealer for conversion. Rates given 58000 landed.</t>
        </is>
      </c>
      <c r="P305" s="4" t="inlineStr">
        <is>
          <t>Ihb contractor and influencer of projects. Using panther and rungta tmt . Need time . | Will share inquiry to the nearby dealer for conversion. Rates given 58000 landed.</t>
        </is>
      </c>
      <c r="Q305" s="4">
        <f>LEN(TRIM(P305))-LEN(SUBSTITUTE(P305," ",""))+1</f>
        <v/>
      </c>
      <c r="R305" s="4" t="n">
        <v>22.8062051</v>
      </c>
      <c r="S305" s="4" t="n">
        <v>86.22302689999999</v>
      </c>
      <c r="T305" s="4">
        <f>COUNTIF($G$2:G305,G305)</f>
        <v/>
      </c>
      <c r="U305" s="4">
        <f>IF(F305&lt;5,"YES","NO")</f>
        <v/>
      </c>
      <c r="V305" s="4">
        <f>IF(AND(N305&lt;&gt;"",O305&lt;&gt;""),"YES","NO")</f>
        <v/>
      </c>
      <c r="W305" s="4">
        <f>IF(HOUR(D305)&lt;12,"Morning",IF(HOUR(D305)&lt;17,"Afternoon","Evening"))</f>
        <v/>
      </c>
      <c r="X305" s="4" t="n">
        <v>7</v>
      </c>
      <c r="Y305" s="4">
        <f>IF(F305&lt;5,"&lt;5 min",IF(F305&lt;15,"5-15 min",IF(F305&lt;30,"15-30 min","30+ min")))</f>
        <v/>
      </c>
    </row>
    <row r="306">
      <c r="A306" s="3" t="n">
        <v>46007</v>
      </c>
      <c r="B306" s="4" t="inlineStr">
        <is>
          <t>Tuesday</t>
        </is>
      </c>
      <c r="C306" s="4" t="inlineStr">
        <is>
          <t>Dec 25</t>
        </is>
      </c>
      <c r="D306" s="4" t="inlineStr">
        <is>
          <t>16/12/2025, 6:50 pm</t>
        </is>
      </c>
      <c r="E306" s="4" t="inlineStr">
        <is>
          <t>16/12/2025, 6:51 pm</t>
        </is>
      </c>
      <c r="F306" s="4">
        <f>(E306-D306)*24*60</f>
        <v/>
      </c>
      <c r="G306" s="4" t="inlineStr">
        <is>
          <t>Samay construction</t>
        </is>
      </c>
      <c r="H306" s="4" t="inlineStr">
        <is>
          <t>001fw000007kHTHAA2</t>
        </is>
      </c>
      <c r="I306" s="4" t="n">
        <v>831001</v>
      </c>
      <c r="J306" s="4" t="inlineStr">
        <is>
          <t>EAST SINGHBUM</t>
        </is>
      </c>
      <c r="K306" s="4" t="inlineStr"/>
      <c r="L306" s="4" t="inlineStr">
        <is>
          <t>Influencer</t>
        </is>
      </c>
      <c r="M306" s="4" t="inlineStr">
        <is>
          <t>Got future date</t>
        </is>
      </c>
      <c r="N306" s="4" t="inlineStr">
        <is>
          <t>Ihb contractor using tiscon and rungta . Rstes given 57000 landed through retailer . Will connect</t>
        </is>
      </c>
      <c r="O306" s="4" t="inlineStr">
        <is>
          <t>Will pass dealer inquiry for rates and guide end user for our brand.</t>
        </is>
      </c>
      <c r="P306" s="4" t="inlineStr">
        <is>
          <t>Ihb contractor using tiscon and rungta . Rstes given 57000 landed through retailer . Will connect | Will pass dealer inquiry for rates and guide end user for our brand.</t>
        </is>
      </c>
      <c r="Q306" s="4">
        <f>LEN(TRIM(P306))-LEN(SUBSTITUTE(P306," ",""))+1</f>
        <v/>
      </c>
      <c r="R306" s="4" t="n">
        <v>22.806191</v>
      </c>
      <c r="S306" s="4" t="n">
        <v>86.2230277</v>
      </c>
      <c r="T306" s="4">
        <f>COUNTIF($G$2:G306,G306)</f>
        <v/>
      </c>
      <c r="U306" s="4">
        <f>IF(F306&lt;5,"YES","NO")</f>
        <v/>
      </c>
      <c r="V306" s="4">
        <f>IF(AND(N306&lt;&gt;"",O306&lt;&gt;""),"YES","NO")</f>
        <v/>
      </c>
      <c r="W306" s="4">
        <f>IF(HOUR(D306)&lt;12,"Morning",IF(HOUR(D306)&lt;17,"Afternoon","Evening"))</f>
        <v/>
      </c>
      <c r="X306" s="4" t="n">
        <v>7</v>
      </c>
      <c r="Y306" s="4">
        <f>IF(F306&lt;5,"&lt;5 min",IF(F306&lt;15,"5-15 min",IF(F306&lt;30,"15-30 min","30+ min")))</f>
        <v/>
      </c>
    </row>
    <row r="307">
      <c r="A307" s="3" t="n">
        <v>46010</v>
      </c>
      <c r="B307" s="4" t="inlineStr">
        <is>
          <t>Friday</t>
        </is>
      </c>
      <c r="C307" s="4" t="inlineStr">
        <is>
          <t>Dec 25</t>
        </is>
      </c>
      <c r="D307" s="4" t="inlineStr">
        <is>
          <t>19/12/2025, 3:45 pm</t>
        </is>
      </c>
      <c r="E307" s="4" t="inlineStr">
        <is>
          <t>19/12/2025, 3:46 pm</t>
        </is>
      </c>
      <c r="F307" s="4">
        <f>(E307-D307)*24*60</f>
        <v/>
      </c>
      <c r="G307" s="4" t="inlineStr">
        <is>
          <t>Samay construction</t>
        </is>
      </c>
      <c r="H307" s="4" t="inlineStr">
        <is>
          <t>001fw000007k4zBAAQ</t>
        </is>
      </c>
      <c r="I307" s="4" t="n">
        <v>831001</v>
      </c>
      <c r="J307" s="4" t="inlineStr">
        <is>
          <t>EAST SINGHBUM</t>
        </is>
      </c>
      <c r="K307" s="4" t="inlineStr"/>
      <c r="L307" s="4" t="inlineStr">
        <is>
          <t>Influencer</t>
        </is>
      </c>
      <c r="M307" s="4" t="inlineStr">
        <is>
          <t>Got future date</t>
        </is>
      </c>
      <c r="N307" s="4" t="inlineStr">
        <is>
          <t>Contractor of ihb projects . Using rungta tmt . Rates given 56500 landed through retailer</t>
        </is>
      </c>
      <c r="O307" s="4" t="inlineStr">
        <is>
          <t>Will connect us later when inquiry comes from site.</t>
        </is>
      </c>
      <c r="P307" s="4" t="inlineStr">
        <is>
          <t>Contractor of ihb projects . Using rungta tmt . Rates given 56500 landed through retailer | Will connect us later when inquiry comes from site.</t>
        </is>
      </c>
      <c r="Q307" s="4">
        <f>LEN(TRIM(P307))-LEN(SUBSTITUTE(P307," ",""))+1</f>
        <v/>
      </c>
      <c r="R307" s="4" t="n">
        <v>22.8073532</v>
      </c>
      <c r="S307" s="4" t="n">
        <v>86.22221620000001</v>
      </c>
      <c r="T307" s="4">
        <f>COUNTIF($G$2:G307,G307)</f>
        <v/>
      </c>
      <c r="U307" s="4">
        <f>IF(F307&lt;5,"YES","NO")</f>
        <v/>
      </c>
      <c r="V307" s="4">
        <f>IF(AND(N307&lt;&gt;"",O307&lt;&gt;""),"YES","NO")</f>
        <v/>
      </c>
      <c r="W307" s="4">
        <f>IF(HOUR(D307)&lt;12,"Morning",IF(HOUR(D307)&lt;17,"Afternoon","Evening"))</f>
        <v/>
      </c>
      <c r="X307" s="4" t="n">
        <v>7</v>
      </c>
      <c r="Y307" s="4">
        <f>IF(F307&lt;5,"&lt;5 min",IF(F307&lt;15,"5-15 min",IF(F307&lt;30,"15-30 min","30+ min")))</f>
        <v/>
      </c>
    </row>
    <row r="308">
      <c r="A308" s="3" t="n">
        <v>46010</v>
      </c>
      <c r="B308" s="4" t="inlineStr">
        <is>
          <t>Friday</t>
        </is>
      </c>
      <c r="C308" s="4" t="inlineStr">
        <is>
          <t>Dec 25</t>
        </is>
      </c>
      <c r="D308" s="4" t="inlineStr">
        <is>
          <t>19/12/2025, 4:23 pm</t>
        </is>
      </c>
      <c r="E308" s="4" t="inlineStr">
        <is>
          <t>19/12/2025, 4:24 pm</t>
        </is>
      </c>
      <c r="F308" s="4">
        <f>(E308-D308)*24*60</f>
        <v/>
      </c>
      <c r="G308" s="4" t="inlineStr">
        <is>
          <t>Samay construction</t>
        </is>
      </c>
      <c r="H308" s="4" t="inlineStr">
        <is>
          <t>001fw000007jxHnAAI</t>
        </is>
      </c>
      <c r="I308" s="4" t="n">
        <v>834001</v>
      </c>
      <c r="J308" s="4" t="inlineStr">
        <is>
          <t>RANCHI</t>
        </is>
      </c>
      <c r="K308" s="4" t="inlineStr"/>
      <c r="L308" s="4" t="inlineStr">
        <is>
          <t>Influencer</t>
        </is>
      </c>
      <c r="M308" s="4" t="inlineStr">
        <is>
          <t>Got future date</t>
        </is>
      </c>
      <c r="N308" s="4" t="inlineStr">
        <is>
          <t>Ihb contractor using rungta govinda kamdhenu for his projects . Rates given 57000 landed through dealer .</t>
        </is>
      </c>
      <c r="O308" s="4" t="inlineStr">
        <is>
          <t>Will connect us once demand comes from end custumer .</t>
        </is>
      </c>
      <c r="P308" s="4" t="inlineStr">
        <is>
          <t>Ihb contractor using rungta govinda kamdhenu for his projects . Rates given 57000 landed through dealer . | Will connect us once demand comes from end custumer .</t>
        </is>
      </c>
      <c r="Q308" s="4">
        <f>LEN(TRIM(P308))-LEN(SUBSTITUTE(P308," ",""))+1</f>
        <v/>
      </c>
      <c r="R308" s="4" t="n">
        <v>22.8121306</v>
      </c>
      <c r="S308" s="4" t="n">
        <v>86.21515290000001</v>
      </c>
      <c r="T308" s="4">
        <f>COUNTIF($G$2:G308,G308)</f>
        <v/>
      </c>
      <c r="U308" s="4">
        <f>IF(F308&lt;5,"YES","NO")</f>
        <v/>
      </c>
      <c r="V308" s="4">
        <f>IF(AND(N308&lt;&gt;"",O308&lt;&gt;""),"YES","NO")</f>
        <v/>
      </c>
      <c r="W308" s="4">
        <f>IF(HOUR(D308)&lt;12,"Morning",IF(HOUR(D308)&lt;17,"Afternoon","Evening"))</f>
        <v/>
      </c>
      <c r="X308" s="4" t="n">
        <v>7</v>
      </c>
      <c r="Y308" s="4">
        <f>IF(F308&lt;5,"&lt;5 min",IF(F308&lt;15,"5-15 min",IF(F308&lt;30,"15-30 min","30+ min")))</f>
        <v/>
      </c>
    </row>
    <row r="309">
      <c r="A309" s="3" t="n">
        <v>46013</v>
      </c>
      <c r="B309" s="4" t="inlineStr">
        <is>
          <t>Monday</t>
        </is>
      </c>
      <c r="C309" s="4" t="inlineStr">
        <is>
          <t>Dec 25</t>
        </is>
      </c>
      <c r="D309" s="4" t="inlineStr">
        <is>
          <t>22/12/2025, 7:50 pm</t>
        </is>
      </c>
      <c r="E309" s="4" t="inlineStr">
        <is>
          <t>22/12/2025, 7:51 pm</t>
        </is>
      </c>
      <c r="F309" s="4">
        <f>(E309-D309)*24*60</f>
        <v/>
      </c>
      <c r="G309" s="4" t="inlineStr">
        <is>
          <t>Samay construction</t>
        </is>
      </c>
      <c r="H309" s="4" t="inlineStr">
        <is>
          <t>001fw000007kdlWAAQ</t>
        </is>
      </c>
      <c r="I309" s="4" t="n">
        <v>831001</v>
      </c>
      <c r="J309" s="4" t="inlineStr">
        <is>
          <t>EAST SINGHBUM</t>
        </is>
      </c>
      <c r="K309" s="4" t="inlineStr"/>
      <c r="L309" s="4" t="inlineStr">
        <is>
          <t>Influencer</t>
        </is>
      </c>
      <c r="M309" s="4" t="inlineStr">
        <is>
          <t>Got future date</t>
        </is>
      </c>
      <c r="N309" s="4" t="inlineStr">
        <is>
          <t>Ihb contractor using tiscon and rungta . Rates given 57000 landed through . Will connect us for rates</t>
        </is>
      </c>
      <c r="O309" s="4" t="inlineStr">
        <is>
          <t>Will connect us jst waiting for inquiry from site .</t>
        </is>
      </c>
      <c r="P309" s="4" t="inlineStr">
        <is>
          <t>Ihb contractor using tiscon and rungta . Rates given 57000 landed through . Will connect us for rates | Will connect us jst waiting for inquiry from site .</t>
        </is>
      </c>
      <c r="Q309" s="4">
        <f>LEN(TRIM(P309))-LEN(SUBSTITUTE(P309," ",""))+1</f>
        <v/>
      </c>
      <c r="R309" s="4" t="n">
        <v>22.8119782</v>
      </c>
      <c r="S309" s="4" t="n">
        <v>86.21521079999999</v>
      </c>
      <c r="T309" s="4">
        <f>COUNTIF($G$2:G309,G309)</f>
        <v/>
      </c>
      <c r="U309" s="4">
        <f>IF(F309&lt;5,"YES","NO")</f>
        <v/>
      </c>
      <c r="V309" s="4">
        <f>IF(AND(N309&lt;&gt;"",O309&lt;&gt;""),"YES","NO")</f>
        <v/>
      </c>
      <c r="W309" s="4">
        <f>IF(HOUR(D309)&lt;12,"Morning",IF(HOUR(D309)&lt;17,"Afternoon","Evening"))</f>
        <v/>
      </c>
      <c r="X309" s="4" t="n">
        <v>7</v>
      </c>
      <c r="Y309" s="4">
        <f>IF(F309&lt;5,"&lt;5 min",IF(F309&lt;15,"5-15 min",IF(F309&lt;30,"15-30 min","30+ min")))</f>
        <v/>
      </c>
    </row>
    <row r="310">
      <c r="A310" s="3" t="n">
        <v>46014</v>
      </c>
      <c r="B310" s="4" t="inlineStr">
        <is>
          <t>Tuesday</t>
        </is>
      </c>
      <c r="C310" s="4" t="inlineStr">
        <is>
          <t>Dec 25</t>
        </is>
      </c>
      <c r="D310" s="4" t="inlineStr">
        <is>
          <t>23/12/2025, 7:31 pm</t>
        </is>
      </c>
      <c r="E310" s="4" t="inlineStr">
        <is>
          <t>23/12/2025, 7:32 pm</t>
        </is>
      </c>
      <c r="F310" s="4">
        <f>(E310-D310)*24*60</f>
        <v/>
      </c>
      <c r="G310" s="4" t="inlineStr">
        <is>
          <t>Samay construction</t>
        </is>
      </c>
      <c r="H310" s="4" t="inlineStr">
        <is>
          <t>001fw000007jxHnAAI</t>
        </is>
      </c>
      <c r="I310" s="4" t="n">
        <v>834001</v>
      </c>
      <c r="J310" s="4" t="inlineStr">
        <is>
          <t>RANCHI</t>
        </is>
      </c>
      <c r="K310" s="4" t="inlineStr"/>
      <c r="L310" s="4" t="inlineStr">
        <is>
          <t>Influencer</t>
        </is>
      </c>
      <c r="M310" s="4" t="inlineStr">
        <is>
          <t>Got future date</t>
        </is>
      </c>
      <c r="N310" s="4" t="inlineStr">
        <is>
          <t>Ihb contractor using rungta and govinda. Rates given 58000 landed to site.</t>
        </is>
      </c>
      <c r="O310" s="4" t="inlineStr">
        <is>
          <t>Will connect us as inquiry comes by to him from site.</t>
        </is>
      </c>
      <c r="P310" s="4" t="inlineStr">
        <is>
          <t>Ihb contractor using rungta and govinda. Rates given 58000 landed to site. | Will connect us as inquiry comes by to him from site.</t>
        </is>
      </c>
      <c r="Q310" s="4">
        <f>LEN(TRIM(P310))-LEN(SUBSTITUTE(P310," ",""))+1</f>
        <v/>
      </c>
      <c r="R310" s="4" t="n">
        <v>22.8068465</v>
      </c>
      <c r="S310" s="4" t="n">
        <v>86.2224784</v>
      </c>
      <c r="T310" s="4">
        <f>COUNTIF($G$2:G310,G310)</f>
        <v/>
      </c>
      <c r="U310" s="4">
        <f>IF(F310&lt;5,"YES","NO")</f>
        <v/>
      </c>
      <c r="V310" s="4">
        <f>IF(AND(N310&lt;&gt;"",O310&lt;&gt;""),"YES","NO")</f>
        <v/>
      </c>
      <c r="W310" s="4">
        <f>IF(HOUR(D310)&lt;12,"Morning",IF(HOUR(D310)&lt;17,"Afternoon","Evening"))</f>
        <v/>
      </c>
      <c r="X310" s="4" t="n">
        <v>7</v>
      </c>
      <c r="Y310" s="4">
        <f>IF(F310&lt;5,"&lt;5 min",IF(F310&lt;15,"5-15 min",IF(F310&lt;30,"15-30 min","30+ min")))</f>
        <v/>
      </c>
    </row>
    <row r="311">
      <c r="A311" s="3" t="n">
        <v>46014</v>
      </c>
      <c r="B311" s="4" t="inlineStr">
        <is>
          <t>Tuesday</t>
        </is>
      </c>
      <c r="C311" s="4" t="inlineStr">
        <is>
          <t>Dec 25</t>
        </is>
      </c>
      <c r="D311" s="4" t="inlineStr">
        <is>
          <t>23/12/2025, 7:39 pm</t>
        </is>
      </c>
      <c r="E311" s="4" t="inlineStr">
        <is>
          <t>23/12/2025, 7:45 pm</t>
        </is>
      </c>
      <c r="F311" s="4">
        <f>(E311-D311)*24*60</f>
        <v/>
      </c>
      <c r="G311" s="4" t="inlineStr">
        <is>
          <t>Samay construction</t>
        </is>
      </c>
      <c r="H311" s="4" t="inlineStr">
        <is>
          <t>001fw000007k4zBAAQ</t>
        </is>
      </c>
      <c r="I311" s="4" t="n">
        <v>831001</v>
      </c>
      <c r="J311" s="4" t="inlineStr">
        <is>
          <t>EAST SINGHBUM</t>
        </is>
      </c>
      <c r="K311" s="4" t="inlineStr"/>
      <c r="L311" s="4" t="inlineStr">
        <is>
          <t>Influencer</t>
        </is>
      </c>
      <c r="M311" s="4" t="inlineStr">
        <is>
          <t>Got future date</t>
        </is>
      </c>
      <c r="N311" s="4" t="inlineStr">
        <is>
          <t>Using shyam steel and rungta tmt. Rates given 57500 from dealer outlet.</t>
        </is>
      </c>
      <c r="O311" s="4" t="inlineStr">
        <is>
          <t>Will connect dealer on inquiry for rates for executing of order .</t>
        </is>
      </c>
      <c r="P311" s="4" t="inlineStr">
        <is>
          <t>Using shyam steel and rungta tmt. Rates given 57500 from dealer outlet. | Will connect dealer on inquiry for rates for executing of order .</t>
        </is>
      </c>
      <c r="Q311" s="4">
        <f>LEN(TRIM(P311))-LEN(SUBSTITUTE(P311," ",""))+1</f>
        <v/>
      </c>
      <c r="R311" s="4" t="n">
        <v>22.8068465</v>
      </c>
      <c r="S311" s="4" t="n">
        <v>86.2224779</v>
      </c>
      <c r="T311" s="4">
        <f>COUNTIF($G$2:G311,G311)</f>
        <v/>
      </c>
      <c r="U311" s="4">
        <f>IF(F311&lt;5,"YES","NO")</f>
        <v/>
      </c>
      <c r="V311" s="4">
        <f>IF(AND(N311&lt;&gt;"",O311&lt;&gt;""),"YES","NO")</f>
        <v/>
      </c>
      <c r="W311" s="4">
        <f>IF(HOUR(D311)&lt;12,"Morning",IF(HOUR(D311)&lt;17,"Afternoon","Evening"))</f>
        <v/>
      </c>
      <c r="X311" s="4" t="n">
        <v>7</v>
      </c>
      <c r="Y311" s="4">
        <f>IF(F311&lt;5,"&lt;5 min",IF(F311&lt;15,"5-15 min",IF(F311&lt;30,"15-30 min","30+ min")))</f>
        <v/>
      </c>
    </row>
    <row r="312">
      <c r="A312" s="3" t="n">
        <v>46015</v>
      </c>
      <c r="B312" s="4" t="inlineStr">
        <is>
          <t>Wednesday</t>
        </is>
      </c>
      <c r="C312" s="4" t="inlineStr">
        <is>
          <t>Dec 25</t>
        </is>
      </c>
      <c r="D312" s="4" t="inlineStr">
        <is>
          <t>24/12/2025, 12:37 pm</t>
        </is>
      </c>
      <c r="E312" s="4" t="inlineStr">
        <is>
          <t>24/12/2025, 12:40 pm</t>
        </is>
      </c>
      <c r="F312" s="4">
        <f>(E312-D312)*24*60</f>
        <v/>
      </c>
      <c r="G312" s="4" t="inlineStr">
        <is>
          <t>Samay construction</t>
        </is>
      </c>
      <c r="H312" s="4" t="inlineStr">
        <is>
          <t>001fw000007kFcwAAE</t>
        </is>
      </c>
      <c r="I312" s="4" t="n">
        <v>831001</v>
      </c>
      <c r="J312" s="4" t="inlineStr">
        <is>
          <t>EAST SINGHBUM</t>
        </is>
      </c>
      <c r="K312" s="4" t="inlineStr"/>
      <c r="L312" s="4" t="inlineStr">
        <is>
          <t>Influencer</t>
        </is>
      </c>
      <c r="M312" s="4" t="inlineStr">
        <is>
          <t>Got future date</t>
        </is>
      </c>
      <c r="N312" s="4" t="inlineStr">
        <is>
          <t>Ihb contractor . Using rungta tmt and govinda tmt . Rates given 57000 landed to him.</t>
        </is>
      </c>
      <c r="O312" s="4" t="inlineStr">
        <is>
          <t>Need time for sending inquiry now. Will send inquiry to us .</t>
        </is>
      </c>
      <c r="P312" s="4" t="inlineStr">
        <is>
          <t>Ihb contractor . Using rungta tmt and govinda tmt . Rates given 57000 landed to him. | Need time for sending inquiry now. Will send inquiry to us .</t>
        </is>
      </c>
      <c r="Q312" s="4">
        <f>LEN(TRIM(P312))-LEN(SUBSTITUTE(P312," ",""))+1</f>
        <v/>
      </c>
      <c r="R312" s="4" t="n">
        <v>22.811992</v>
      </c>
      <c r="S312" s="4" t="n">
        <v>86.2152129</v>
      </c>
      <c r="T312" s="4">
        <f>COUNTIF($G$2:G312,G312)</f>
        <v/>
      </c>
      <c r="U312" s="4">
        <f>IF(F312&lt;5,"YES","NO")</f>
        <v/>
      </c>
      <c r="V312" s="4">
        <f>IF(AND(N312&lt;&gt;"",O312&lt;&gt;""),"YES","NO")</f>
        <v/>
      </c>
      <c r="W312" s="4">
        <f>IF(HOUR(D312)&lt;12,"Morning",IF(HOUR(D312)&lt;17,"Afternoon","Evening"))</f>
        <v/>
      </c>
      <c r="X312" s="4" t="n">
        <v>8</v>
      </c>
      <c r="Y312" s="4">
        <f>IF(F312&lt;5,"&lt;5 min",IF(F312&lt;15,"5-15 min",IF(F312&lt;30,"15-30 min","30+ min")))</f>
        <v/>
      </c>
    </row>
    <row r="313">
      <c r="A313" s="3" t="n">
        <v>46022</v>
      </c>
      <c r="B313" s="4" t="inlineStr">
        <is>
          <t>Wednesday</t>
        </is>
      </c>
      <c r="C313" s="4" t="inlineStr">
        <is>
          <t>Dec 25</t>
        </is>
      </c>
      <c r="D313" s="4" t="inlineStr">
        <is>
          <t>31/12/2025, 11:07 am</t>
        </is>
      </c>
      <c r="E313" s="4" t="inlineStr">
        <is>
          <t>31/12/2025, 11:08 am</t>
        </is>
      </c>
      <c r="F313" s="4">
        <f>(E313-D313)*24*60</f>
        <v/>
      </c>
      <c r="G313" s="4" t="inlineStr">
        <is>
          <t>Samay construction</t>
        </is>
      </c>
      <c r="H313" s="4" t="inlineStr">
        <is>
          <t>001fw000007k8d6AAA</t>
        </is>
      </c>
      <c r="I313" s="4" t="n">
        <v>831003</v>
      </c>
      <c r="J313" s="4" t="inlineStr">
        <is>
          <t>EAST SINGHBUM</t>
        </is>
      </c>
      <c r="K313" s="4" t="inlineStr"/>
      <c r="L313" s="4" t="inlineStr">
        <is>
          <t>Influencer</t>
        </is>
      </c>
      <c r="M313" s="4" t="inlineStr">
        <is>
          <t>Got future date</t>
        </is>
      </c>
      <c r="N313" s="4" t="inlineStr">
        <is>
          <t>IHB CONTRACTOR USING TATA STEEL AND RUNGTA TMT. RATES GIVEN 58000 LANDED TO THE CUSTUMER.</t>
        </is>
      </c>
      <c r="O313" s="4" t="inlineStr">
        <is>
          <t>Will connect us when inquiry received from end CUSTUMER. Need next week time.</t>
        </is>
      </c>
      <c r="P313" s="4" t="inlineStr">
        <is>
          <t>IHB CONTRACTOR USING TATA STEEL AND RUNGTA TMT. RATES GIVEN 58000 LANDED TO THE CUSTUMER. | Will connect us when inquiry received from end CUSTUMER. Need next week time.</t>
        </is>
      </c>
      <c r="Q313" s="4">
        <f>LEN(TRIM(P313))-LEN(SUBSTITUTE(P313," ",""))+1</f>
        <v/>
      </c>
      <c r="R313" s="4" t="n">
        <v>22.8071402</v>
      </c>
      <c r="S313" s="4" t="n">
        <v>86.2222585</v>
      </c>
      <c r="T313" s="4">
        <f>COUNTIF($G$2:G313,G313)</f>
        <v/>
      </c>
      <c r="U313" s="4">
        <f>IF(F313&lt;5,"YES","NO")</f>
        <v/>
      </c>
      <c r="V313" s="4">
        <f>IF(AND(N313&lt;&gt;"",O313&lt;&gt;""),"YES","NO")</f>
        <v/>
      </c>
      <c r="W313" s="4">
        <f>IF(HOUR(D313)&lt;12,"Morning",IF(HOUR(D313)&lt;17,"Afternoon","Evening"))</f>
        <v/>
      </c>
      <c r="X313" s="4" t="n">
        <v>6</v>
      </c>
      <c r="Y313" s="4">
        <f>IF(F313&lt;5,"&lt;5 min",IF(F313&lt;15,"5-15 min",IF(F313&lt;30,"15-30 min","30+ min")))</f>
        <v/>
      </c>
    </row>
    <row r="314">
      <c r="A314" s="3" t="n">
        <v>46028</v>
      </c>
      <c r="B314" s="4" t="inlineStr">
        <is>
          <t>Tuesday</t>
        </is>
      </c>
      <c r="C314" s="4" t="inlineStr">
        <is>
          <t>Jan 26</t>
        </is>
      </c>
      <c r="D314" s="4" t="inlineStr">
        <is>
          <t>06/01/2026, 4:24 pm</t>
        </is>
      </c>
      <c r="E314" s="4" t="inlineStr">
        <is>
          <t>06/01/2026, 4:25 pm</t>
        </is>
      </c>
      <c r="F314" s="4">
        <f>(E314-D314)*24*60</f>
        <v/>
      </c>
      <c r="G314" s="4" t="inlineStr">
        <is>
          <t>Samay construction</t>
        </is>
      </c>
      <c r="H314" s="4" t="inlineStr">
        <is>
          <t>001fw000007kdlWAAQ</t>
        </is>
      </c>
      <c r="I314" s="4" t="n">
        <v>831001</v>
      </c>
      <c r="J314" s="4" t="inlineStr">
        <is>
          <t>EAST SINGHBUM</t>
        </is>
      </c>
      <c r="K314" s="4" t="inlineStr"/>
      <c r="L314" s="4" t="inlineStr">
        <is>
          <t>Influencer</t>
        </is>
      </c>
      <c r="M314" s="4" t="inlineStr">
        <is>
          <t>Got future date</t>
        </is>
      </c>
      <c r="N314" s="4" t="inlineStr">
        <is>
          <t>IHB CONTRACTOR USING RUNGTA TMT and kamdhenu TMT. Rates given 59500 landed.</t>
        </is>
      </c>
      <c r="O314" s="4" t="inlineStr">
        <is>
          <t>Rates are shared with the CUSTUMER. Will connect with the end user on inquiry finalization.</t>
        </is>
      </c>
      <c r="P314" s="4" t="inlineStr">
        <is>
          <t>IHB CONTRACTOR USING RUNGTA TMT and kamdhenu TMT. Rates given 59500 landed. | Rates are shared with the CUSTUMER. Will connect with the end user on inquiry finalization.</t>
        </is>
      </c>
      <c r="Q314" s="4">
        <f>LEN(TRIM(P314))-LEN(SUBSTITUTE(P314," ",""))+1</f>
        <v/>
      </c>
      <c r="R314" s="4" t="n">
        <v>22.8072864</v>
      </c>
      <c r="S314" s="4" t="n">
        <v>86.22227479999999</v>
      </c>
      <c r="T314" s="4">
        <f>COUNTIF($G$2:G314,G314)</f>
        <v/>
      </c>
      <c r="U314" s="4">
        <f>IF(F314&lt;5,"YES","NO")</f>
        <v/>
      </c>
      <c r="V314" s="4">
        <f>IF(AND(N314&lt;&gt;"",O314&lt;&gt;""),"YES","NO")</f>
        <v/>
      </c>
      <c r="W314" s="4">
        <f>IF(HOUR(D314)&lt;12,"Morning",IF(HOUR(D314)&lt;17,"Afternoon","Evening"))</f>
        <v/>
      </c>
      <c r="X314" s="4" t="n">
        <v>7</v>
      </c>
      <c r="Y314" s="4">
        <f>IF(F314&lt;5,"&lt;5 min",IF(F314&lt;15,"5-15 min",IF(F314&lt;30,"15-30 min","30+ min")))</f>
        <v/>
      </c>
    </row>
    <row r="315">
      <c r="A315" s="3" t="n">
        <v>46028</v>
      </c>
      <c r="B315" s="4" t="inlineStr">
        <is>
          <t>Tuesday</t>
        </is>
      </c>
      <c r="C315" s="4" t="inlineStr">
        <is>
          <t>Jan 26</t>
        </is>
      </c>
      <c r="D315" s="4" t="inlineStr">
        <is>
          <t>06/01/2026, 6:34 pm</t>
        </is>
      </c>
      <c r="E315" s="4" t="inlineStr">
        <is>
          <t>06/01/2026, 6:37 pm</t>
        </is>
      </c>
      <c r="F315" s="4">
        <f>(E315-D315)*24*60</f>
        <v/>
      </c>
      <c r="G315" s="4" t="inlineStr">
        <is>
          <t>Samay construction</t>
        </is>
      </c>
      <c r="H315" s="4" t="inlineStr">
        <is>
          <t>001fw000007kFcwAAE</t>
        </is>
      </c>
      <c r="I315" s="4" t="n">
        <v>831001</v>
      </c>
      <c r="J315" s="4" t="inlineStr">
        <is>
          <t>EAST SINGHBUM</t>
        </is>
      </c>
      <c r="K315" s="4" t="inlineStr"/>
      <c r="L315" s="4" t="inlineStr">
        <is>
          <t>Influencer</t>
        </is>
      </c>
      <c r="M315" s="4" t="inlineStr">
        <is>
          <t>Got future date</t>
        </is>
      </c>
      <c r="N315" s="4" t="inlineStr">
        <is>
          <t>IHB CONTRACTOR USING RUNGTA TMT and kamdhenu TMT. Rates given 59800 landed to the CUSTUMER.</t>
        </is>
      </c>
      <c r="O315" s="4" t="inlineStr">
        <is>
          <t>Last purchase rungta tmt @ 52 landed. Will connect us soon on next demand.</t>
        </is>
      </c>
      <c r="P315" s="4" t="inlineStr">
        <is>
          <t>IHB CONTRACTOR USING RUNGTA TMT and kamdhenu TMT. Rates given 59800 landed to the CUSTUMER. | Last purchase rungta tmt @ 52 landed. Will connect us soon on next demand.</t>
        </is>
      </c>
      <c r="Q315" s="4">
        <f>LEN(TRIM(P315))-LEN(SUBSTITUTE(P315," ",""))+1</f>
        <v/>
      </c>
      <c r="R315" s="4" t="n">
        <v>22.8074995</v>
      </c>
      <c r="S315" s="4" t="n">
        <v>86.2220432</v>
      </c>
      <c r="T315" s="4">
        <f>COUNTIF($G$2:G315,G315)</f>
        <v/>
      </c>
      <c r="U315" s="4">
        <f>IF(F315&lt;5,"YES","NO")</f>
        <v/>
      </c>
      <c r="V315" s="4">
        <f>IF(AND(N315&lt;&gt;"",O315&lt;&gt;""),"YES","NO")</f>
        <v/>
      </c>
      <c r="W315" s="4">
        <f>IF(HOUR(D315)&lt;12,"Morning",IF(HOUR(D315)&lt;17,"Afternoon","Evening"))</f>
        <v/>
      </c>
      <c r="X315" s="4" t="n">
        <v>7</v>
      </c>
      <c r="Y315" s="4">
        <f>IF(F315&lt;5,"&lt;5 min",IF(F315&lt;15,"5-15 min",IF(F315&lt;30,"15-30 min","30+ min")))</f>
        <v/>
      </c>
    </row>
    <row r="316">
      <c r="A316" s="3" t="n">
        <v>46030</v>
      </c>
      <c r="B316" s="4" t="inlineStr">
        <is>
          <t>Thursday</t>
        </is>
      </c>
      <c r="C316" s="4" t="inlineStr">
        <is>
          <t>Jan 26</t>
        </is>
      </c>
      <c r="D316" s="4" t="inlineStr">
        <is>
          <t>08/01/2026, 4:59 pm</t>
        </is>
      </c>
      <c r="E316" s="4" t="inlineStr">
        <is>
          <t>08/01/2026, 5:01 pm</t>
        </is>
      </c>
      <c r="F316" s="4">
        <f>(E316-D316)*24*60</f>
        <v/>
      </c>
      <c r="G316" s="4" t="inlineStr">
        <is>
          <t>Samay construction</t>
        </is>
      </c>
      <c r="H316" s="4" t="inlineStr">
        <is>
          <t>001fw000007kdlWAAQ</t>
        </is>
      </c>
      <c r="I316" s="4" t="n">
        <v>831001</v>
      </c>
      <c r="J316" s="4" t="inlineStr">
        <is>
          <t>EAST SINGHBUM</t>
        </is>
      </c>
      <c r="K316" s="4" t="inlineStr"/>
      <c r="L316" s="4" t="inlineStr">
        <is>
          <t>Influencer</t>
        </is>
      </c>
      <c r="M316" s="4" t="inlineStr">
        <is>
          <t>Got future date</t>
        </is>
      </c>
      <c r="N316" s="4" t="inlineStr">
        <is>
          <t>IHB CONTRACTOR USING RUNGTA TMT and kamdhenu. Rates given 59500 landed to customer.</t>
        </is>
      </c>
      <c r="O316" s="4" t="inlineStr">
        <is>
          <t>Will share us inquiry from once received from CUSTUMER.</t>
        </is>
      </c>
      <c r="P316" s="4" t="inlineStr">
        <is>
          <t>IHB CONTRACTOR USING RUNGTA TMT and kamdhenu. Rates given 59500 landed to customer. | Will share us inquiry from once received from CUSTUMER.</t>
        </is>
      </c>
      <c r="Q316" s="4">
        <f>LEN(TRIM(P316))-LEN(SUBSTITUTE(P316," ",""))+1</f>
        <v/>
      </c>
      <c r="R316" s="4" t="n">
        <v>22.8121752</v>
      </c>
      <c r="S316" s="4" t="n">
        <v>86.2153246</v>
      </c>
      <c r="T316" s="4">
        <f>COUNTIF($G$2:G316,G316)</f>
        <v/>
      </c>
      <c r="U316" s="4">
        <f>IF(F316&lt;5,"YES","NO")</f>
        <v/>
      </c>
      <c r="V316" s="4">
        <f>IF(AND(N316&lt;&gt;"",O316&lt;&gt;""),"YES","NO")</f>
        <v/>
      </c>
      <c r="W316" s="4">
        <f>IF(HOUR(D316)&lt;12,"Morning",IF(HOUR(D316)&lt;17,"Afternoon","Evening"))</f>
        <v/>
      </c>
      <c r="X316" s="4" t="n">
        <v>7</v>
      </c>
      <c r="Y316" s="4">
        <f>IF(F316&lt;5,"&lt;5 min",IF(F316&lt;15,"5-15 min",IF(F316&lt;30,"15-30 min","30+ min")))</f>
        <v/>
      </c>
    </row>
    <row r="317">
      <c r="A317" s="3" t="n">
        <v>46030</v>
      </c>
      <c r="B317" s="4" t="inlineStr">
        <is>
          <t>Thursday</t>
        </is>
      </c>
      <c r="C317" s="4" t="inlineStr">
        <is>
          <t>Jan 26</t>
        </is>
      </c>
      <c r="D317" s="4" t="inlineStr">
        <is>
          <t>08/01/2026, 5:05 pm</t>
        </is>
      </c>
      <c r="E317" s="4" t="inlineStr">
        <is>
          <t>08/01/2026, 5:06 pm</t>
        </is>
      </c>
      <c r="F317" s="4">
        <f>(E317-D317)*24*60</f>
        <v/>
      </c>
      <c r="G317" s="4" t="inlineStr">
        <is>
          <t>Samay construction</t>
        </is>
      </c>
      <c r="H317" s="4" t="inlineStr">
        <is>
          <t>001fw000007kg6fAAA</t>
        </is>
      </c>
      <c r="I317" s="4" t="n">
        <v>831002</v>
      </c>
      <c r="J317" s="4" t="inlineStr">
        <is>
          <t>EAST SINGHBUM</t>
        </is>
      </c>
      <c r="K317" s="4" t="inlineStr"/>
      <c r="L317" s="4" t="inlineStr">
        <is>
          <t>Influencer</t>
        </is>
      </c>
      <c r="M317" s="4" t="inlineStr">
        <is>
          <t>Got future date</t>
        </is>
      </c>
      <c r="N317" s="4" t="inlineStr">
        <is>
          <t>IHB CONTRACTOR USING RUNGTA TMT and shyam steel. Rates given 59500 landed to the CUSTUMER.</t>
        </is>
      </c>
      <c r="O317" s="4" t="inlineStr">
        <is>
          <t>Will connect us on inquiry received from end CUSTUMER. Will let us know.</t>
        </is>
      </c>
      <c r="P317" s="4" t="inlineStr">
        <is>
          <t>IHB CONTRACTOR USING RUNGTA TMT and shyam steel. Rates given 59500 landed to the CUSTUMER. | Will connect us on inquiry received from end CUSTUMER. Will let us know.</t>
        </is>
      </c>
      <c r="Q317" s="4">
        <f>LEN(TRIM(P317))-LEN(SUBSTITUTE(P317," ",""))+1</f>
        <v/>
      </c>
      <c r="R317" s="4" t="n">
        <v>22.8121759</v>
      </c>
      <c r="S317" s="4" t="n">
        <v>86.21533410000001</v>
      </c>
      <c r="T317" s="4">
        <f>COUNTIF($G$2:G317,G317)</f>
        <v/>
      </c>
      <c r="U317" s="4">
        <f>IF(F317&lt;5,"YES","NO")</f>
        <v/>
      </c>
      <c r="V317" s="4">
        <f>IF(AND(N317&lt;&gt;"",O317&lt;&gt;""),"YES","NO")</f>
        <v/>
      </c>
      <c r="W317" s="4">
        <f>IF(HOUR(D317)&lt;12,"Morning",IF(HOUR(D317)&lt;17,"Afternoon","Evening"))</f>
        <v/>
      </c>
      <c r="X317" s="4" t="n">
        <v>7</v>
      </c>
      <c r="Y317" s="4">
        <f>IF(F317&lt;5,"&lt;5 min",IF(F317&lt;15,"5-15 min",IF(F317&lt;30,"15-30 min","30+ min")))</f>
        <v/>
      </c>
    </row>
    <row r="318">
      <c r="A318" s="3" t="n">
        <v>46031</v>
      </c>
      <c r="B318" s="4" t="inlineStr">
        <is>
          <t>Friday</t>
        </is>
      </c>
      <c r="C318" s="4" t="inlineStr">
        <is>
          <t>Jan 26</t>
        </is>
      </c>
      <c r="D318" s="4" t="inlineStr">
        <is>
          <t>09/01/2026, 4:32 pm</t>
        </is>
      </c>
      <c r="E318" s="4" t="inlineStr">
        <is>
          <t>09/01/2026, 4:35 pm</t>
        </is>
      </c>
      <c r="F318" s="4">
        <f>(E318-D318)*24*60</f>
        <v/>
      </c>
      <c r="G318" s="4" t="inlineStr">
        <is>
          <t>Samay construction</t>
        </is>
      </c>
      <c r="H318" s="4" t="inlineStr">
        <is>
          <t>001fw000007kehaAAA</t>
        </is>
      </c>
      <c r="I318" s="4" t="n">
        <v>831002</v>
      </c>
      <c r="J318" s="4" t="inlineStr">
        <is>
          <t>EAST SINGHBUM</t>
        </is>
      </c>
      <c r="K318" s="4" t="inlineStr"/>
      <c r="L318" s="4" t="inlineStr">
        <is>
          <t>Influencer</t>
        </is>
      </c>
      <c r="M318" s="4" t="inlineStr">
        <is>
          <t>Got future date</t>
        </is>
      </c>
      <c r="N318" s="4" t="inlineStr">
        <is>
          <t>IHB CONTRACTOR USING RUNGTA TMT and kamdhenu. Rates given 59500 landed to the CUSTUMER.</t>
        </is>
      </c>
      <c r="O318" s="4" t="inlineStr">
        <is>
          <t>Need time sharing rates with customer. Will connect us.</t>
        </is>
      </c>
      <c r="P318" s="4" t="inlineStr">
        <is>
          <t>IHB CONTRACTOR USING RUNGTA TMT and kamdhenu. Rates given 59500 landed to the CUSTUMER. | Need time sharing rates with customer. Will connect us.</t>
        </is>
      </c>
      <c r="Q318" s="4">
        <f>LEN(TRIM(P318))-LEN(SUBSTITUTE(P318," ",""))+1</f>
        <v/>
      </c>
      <c r="R318" s="4" t="n">
        <v>22.8121707</v>
      </c>
      <c r="S318" s="4" t="n">
        <v>86.2151807</v>
      </c>
      <c r="T318" s="4">
        <f>COUNTIF($G$2:G318,G318)</f>
        <v/>
      </c>
      <c r="U318" s="4">
        <f>IF(F318&lt;5,"YES","NO")</f>
        <v/>
      </c>
      <c r="V318" s="4">
        <f>IF(AND(N318&lt;&gt;"",O318&lt;&gt;""),"YES","NO")</f>
        <v/>
      </c>
      <c r="W318" s="4">
        <f>IF(HOUR(D318)&lt;12,"Morning",IF(HOUR(D318)&lt;17,"Afternoon","Evening"))</f>
        <v/>
      </c>
      <c r="X318" s="4" t="n">
        <v>6</v>
      </c>
      <c r="Y318" s="4">
        <f>IF(F318&lt;5,"&lt;5 min",IF(F318&lt;15,"5-15 min",IF(F318&lt;30,"15-30 min","30+ min")))</f>
        <v/>
      </c>
    </row>
    <row r="319">
      <c r="A319" s="3" t="n">
        <v>46035</v>
      </c>
      <c r="B319" s="4" t="inlineStr">
        <is>
          <t>Tuesday</t>
        </is>
      </c>
      <c r="C319" s="4" t="inlineStr">
        <is>
          <t>Jan 26</t>
        </is>
      </c>
      <c r="D319" s="4" t="inlineStr">
        <is>
          <t>13/01/2026, 7:18 pm</t>
        </is>
      </c>
      <c r="E319" s="4" t="inlineStr">
        <is>
          <t>13/01/2026, 7:21 pm</t>
        </is>
      </c>
      <c r="F319" s="4">
        <f>(E319-D319)*24*60</f>
        <v/>
      </c>
      <c r="G319" s="4" t="inlineStr">
        <is>
          <t>Samay construction</t>
        </is>
      </c>
      <c r="H319" s="4" t="inlineStr">
        <is>
          <t>001fw000007kdlWAAQ</t>
        </is>
      </c>
      <c r="I319" s="4" t="n">
        <v>831001</v>
      </c>
      <c r="J319" s="4" t="inlineStr">
        <is>
          <t>EAST SINGHBUM</t>
        </is>
      </c>
      <c r="K319" s="4" t="inlineStr"/>
      <c r="L319" s="4" t="inlineStr">
        <is>
          <t>Influencer</t>
        </is>
      </c>
      <c r="M319" s="4" t="inlineStr">
        <is>
          <t>Got future date</t>
        </is>
      </c>
      <c r="N319" s="4" t="inlineStr">
        <is>
          <t>IHB CONTRACTOR USING RUNGTA TMT and Jindal tmt. Rates given 61500 landed.</t>
        </is>
      </c>
      <c r="O319" s="4" t="inlineStr">
        <is>
          <t>Need time for giving inquiry. Will share inquiries soon.</t>
        </is>
      </c>
      <c r="P319" s="4" t="inlineStr">
        <is>
          <t>IHB CONTRACTOR USING RUNGTA TMT and Jindal tmt. Rates given 61500 landed. | Need time for giving inquiry. Will share inquiries soon.</t>
        </is>
      </c>
      <c r="Q319" s="4">
        <f>LEN(TRIM(P319))-LEN(SUBSTITUTE(P319," ",""))+1</f>
        <v/>
      </c>
      <c r="R319" s="4" t="n">
        <v>22.8122817</v>
      </c>
      <c r="S319" s="4" t="n">
        <v>86.2154219</v>
      </c>
      <c r="T319" s="4">
        <f>COUNTIF($G$2:G319,G319)</f>
        <v/>
      </c>
      <c r="U319" s="4">
        <f>IF(F319&lt;5,"YES","NO")</f>
        <v/>
      </c>
      <c r="V319" s="4">
        <f>IF(AND(N319&lt;&gt;"",O319&lt;&gt;""),"YES","NO")</f>
        <v/>
      </c>
      <c r="W319" s="4">
        <f>IF(HOUR(D319)&lt;12,"Morning",IF(HOUR(D319)&lt;17,"Afternoon","Evening"))</f>
        <v/>
      </c>
      <c r="X319" s="4" t="n">
        <v>6</v>
      </c>
      <c r="Y319" s="4">
        <f>IF(F319&lt;5,"&lt;5 min",IF(F319&lt;15,"5-15 min",IF(F319&lt;30,"15-30 min","30+ min")))</f>
        <v/>
      </c>
    </row>
    <row r="320">
      <c r="A320" s="3" t="n">
        <v>46041</v>
      </c>
      <c r="B320" s="4" t="inlineStr">
        <is>
          <t>Monday</t>
        </is>
      </c>
      <c r="C320" s="4" t="inlineStr">
        <is>
          <t>Jan 26</t>
        </is>
      </c>
      <c r="D320" s="4" t="inlineStr">
        <is>
          <t>19/01/2026, 5:16 pm</t>
        </is>
      </c>
      <c r="E320" s="4" t="inlineStr">
        <is>
          <t>19/01/2026, 5:17 pm</t>
        </is>
      </c>
      <c r="F320" s="4">
        <f>(E320-D320)*24*60</f>
        <v/>
      </c>
      <c r="G320" s="4" t="inlineStr">
        <is>
          <t>Samay construction</t>
        </is>
      </c>
      <c r="H320" s="4" t="inlineStr">
        <is>
          <t>001fw000007kHTHAA2</t>
        </is>
      </c>
      <c r="I320" s="4" t="n">
        <v>831001</v>
      </c>
      <c r="J320" s="4" t="inlineStr">
        <is>
          <t>EAST SINGHBUM</t>
        </is>
      </c>
      <c r="K320" s="4" t="inlineStr"/>
      <c r="L320" s="4" t="inlineStr">
        <is>
          <t>Influencer</t>
        </is>
      </c>
      <c r="M320" s="4" t="inlineStr">
        <is>
          <t>Got future date</t>
        </is>
      </c>
      <c r="N320" s="4" t="inlineStr">
        <is>
          <t>IHB CONTRACTOR USING RUNGTA TMT and kamdhenu. Rates given 62500 landed to the CUSTUMER. Last purchase rungta @ 50000 landed.</t>
        </is>
      </c>
      <c r="O320" s="4" t="inlineStr">
        <is>
          <t>Will connect with IHB CUSTUMER from product details . And share inquiries with us.</t>
        </is>
      </c>
      <c r="P320" s="4" t="inlineStr">
        <is>
          <t>IHB CONTRACTOR USING RUNGTA TMT and kamdhenu. Rates given 62500 landed to the CUSTUMER. Last purchase rungta @ 50000 landed. | Will connect with IHB CUSTUMER from product details . And share inquiries with us.</t>
        </is>
      </c>
      <c r="Q320" s="4">
        <f>LEN(TRIM(P320))-LEN(SUBSTITUTE(P320," ",""))+1</f>
        <v/>
      </c>
      <c r="R320" s="4" t="n">
        <v>22.8073306</v>
      </c>
      <c r="S320" s="4" t="n">
        <v>86.22221500000001</v>
      </c>
      <c r="T320" s="4">
        <f>COUNTIF($G$2:G320,G320)</f>
        <v/>
      </c>
      <c r="U320" s="4">
        <f>IF(F320&lt;5,"YES","NO")</f>
        <v/>
      </c>
      <c r="V320" s="4">
        <f>IF(AND(N320&lt;&gt;"",O320&lt;&gt;""),"YES","NO")</f>
        <v/>
      </c>
      <c r="W320" s="4">
        <f>IF(HOUR(D320)&lt;12,"Morning",IF(HOUR(D320)&lt;17,"Afternoon","Evening"))</f>
        <v/>
      </c>
      <c r="X320" s="4" t="n">
        <v>6</v>
      </c>
      <c r="Y320" s="4">
        <f>IF(F320&lt;5,"&lt;5 min",IF(F320&lt;15,"5-15 min",IF(F320&lt;30,"15-30 min","30+ min")))</f>
        <v/>
      </c>
    </row>
    <row r="321">
      <c r="A321" s="3" t="n">
        <v>46043</v>
      </c>
      <c r="B321" s="4" t="inlineStr">
        <is>
          <t>Wednesday</t>
        </is>
      </c>
      <c r="C321" s="4" t="inlineStr">
        <is>
          <t>Jan 26</t>
        </is>
      </c>
      <c r="D321" s="4" t="inlineStr">
        <is>
          <t>21/01/2026, 11:56 am</t>
        </is>
      </c>
      <c r="E321" s="4" t="inlineStr">
        <is>
          <t>21/01/2026, 11:56 am</t>
        </is>
      </c>
      <c r="F321" s="4">
        <f>(E321-D321)*24*60</f>
        <v/>
      </c>
      <c r="G321" s="4" t="inlineStr">
        <is>
          <t>Samay construction</t>
        </is>
      </c>
      <c r="H321" s="4" t="inlineStr">
        <is>
          <t>001fw000007kg6fAAA</t>
        </is>
      </c>
      <c r="I321" s="4" t="n">
        <v>831002</v>
      </c>
      <c r="J321" s="4" t="inlineStr">
        <is>
          <t>EAST SINGHBUM</t>
        </is>
      </c>
      <c r="K321" s="4" t="inlineStr"/>
      <c r="L321" s="4" t="inlineStr">
        <is>
          <t>Influencer</t>
        </is>
      </c>
      <c r="M321" s="4" t="inlineStr">
        <is>
          <t>Got future date</t>
        </is>
      </c>
      <c r="N321" s="4" t="inlineStr">
        <is>
          <t>IHB CONTRACTOR USING RUNGTA TMT and kamdhenu rates given 62500 landed to the CUSTUMER. Will connect to us.</t>
        </is>
      </c>
      <c r="O321" s="4" t="inlineStr">
        <is>
          <t>Will connect us on inquiry received from site. Need time.</t>
        </is>
      </c>
      <c r="P321" s="4" t="inlineStr">
        <is>
          <t>IHB CONTRACTOR USING RUNGTA TMT and kamdhenu rates given 62500 landed to the CUSTUMER. Will connect to us. | Will connect us on inquiry received from site. Need time.</t>
        </is>
      </c>
      <c r="Q321" s="4">
        <f>LEN(TRIM(P321))-LEN(SUBSTITUTE(P321," ",""))+1</f>
        <v/>
      </c>
      <c r="R321" s="4" t="n">
        <v>22.8119286</v>
      </c>
      <c r="S321" s="4" t="n">
        <v>86.21520839999999</v>
      </c>
      <c r="T321" s="4">
        <f>COUNTIF($G$2:G321,G321)</f>
        <v/>
      </c>
      <c r="U321" s="4">
        <f>IF(F321&lt;5,"YES","NO")</f>
        <v/>
      </c>
      <c r="V321" s="4">
        <f>IF(AND(N321&lt;&gt;"",O321&lt;&gt;""),"YES","NO")</f>
        <v/>
      </c>
      <c r="W321" s="4">
        <f>IF(HOUR(D321)&lt;12,"Morning",IF(HOUR(D321)&lt;17,"Afternoon","Evening"))</f>
        <v/>
      </c>
      <c r="X321" s="4" t="n">
        <v>6</v>
      </c>
      <c r="Y321" s="4">
        <f>IF(F321&lt;5,"&lt;5 min",IF(F321&lt;15,"5-15 min",IF(F321&lt;30,"15-30 min","30+ min")))</f>
        <v/>
      </c>
    </row>
    <row r="322">
      <c r="A322" s="3" t="n">
        <v>46044</v>
      </c>
      <c r="B322" s="4" t="inlineStr">
        <is>
          <t>Thursday</t>
        </is>
      </c>
      <c r="C322" s="4" t="inlineStr">
        <is>
          <t>Jan 26</t>
        </is>
      </c>
      <c r="D322" s="4" t="inlineStr">
        <is>
          <t>22/01/2026, 7:11 pm</t>
        </is>
      </c>
      <c r="E322" s="4" t="inlineStr">
        <is>
          <t>22/01/2026, 7:12 pm</t>
        </is>
      </c>
      <c r="F322" s="4">
        <f>(E322-D322)*24*60</f>
        <v/>
      </c>
      <c r="G322" s="4" t="inlineStr">
        <is>
          <t>Samay construction</t>
        </is>
      </c>
      <c r="H322" s="4" t="inlineStr">
        <is>
          <t>001fw000007kehaAAA</t>
        </is>
      </c>
      <c r="I322" s="4" t="n">
        <v>831002</v>
      </c>
      <c r="J322" s="4" t="inlineStr">
        <is>
          <t>EAST SINGHBUM</t>
        </is>
      </c>
      <c r="K322" s="4" t="inlineStr"/>
      <c r="L322" s="4" t="inlineStr">
        <is>
          <t>Influencer</t>
        </is>
      </c>
      <c r="M322" s="4" t="inlineStr">
        <is>
          <t>Got future date</t>
        </is>
      </c>
      <c r="N322" s="4" t="inlineStr">
        <is>
          <t>IHB CONTRACTOR USING RUNGTA TMT and Tata tiscon. Rates given 63000 landed to the CUSTUMER.</t>
        </is>
      </c>
      <c r="O322" s="4" t="inlineStr">
        <is>
          <t>Will connect us on inquiry received from end CUSTUMER. Coordinating with CUSTUMER.</t>
        </is>
      </c>
      <c r="P322" s="4" t="inlineStr">
        <is>
          <t>IHB CONTRACTOR USING RUNGTA TMT and Tata tiscon. Rates given 63000 landed to the CUSTUMER. | Will connect us on inquiry received from end CUSTUMER. Coordinating with CUSTUMER.</t>
        </is>
      </c>
      <c r="Q322" s="4">
        <f>LEN(TRIM(P322))-LEN(SUBSTITUTE(P322," ",""))+1</f>
        <v/>
      </c>
      <c r="R322" s="4" t="n">
        <v>22.8120096</v>
      </c>
      <c r="S322" s="4" t="n">
        <v>86.21516990000001</v>
      </c>
      <c r="T322" s="4">
        <f>COUNTIF($G$2:G322,G322)</f>
        <v/>
      </c>
      <c r="U322" s="4">
        <f>IF(F322&lt;5,"YES","NO")</f>
        <v/>
      </c>
      <c r="V322" s="4">
        <f>IF(AND(N322&lt;&gt;"",O322&lt;&gt;""),"YES","NO")</f>
        <v/>
      </c>
      <c r="W322" s="4">
        <f>IF(HOUR(D322)&lt;12,"Morning",IF(HOUR(D322)&lt;17,"Afternoon","Evening"))</f>
        <v/>
      </c>
      <c r="X322" s="4" t="n">
        <v>6</v>
      </c>
      <c r="Y322" s="4">
        <f>IF(F322&lt;5,"&lt;5 min",IF(F322&lt;15,"5-15 min",IF(F322&lt;30,"15-30 min","30+ min")))</f>
        <v/>
      </c>
    </row>
    <row r="323">
      <c r="A323" s="3" t="n">
        <v>46049</v>
      </c>
      <c r="B323" s="4" t="inlineStr">
        <is>
          <t>Tuesday</t>
        </is>
      </c>
      <c r="C323" s="4" t="inlineStr">
        <is>
          <t>Jan 26</t>
        </is>
      </c>
      <c r="D323" s="4" t="inlineStr">
        <is>
          <t>27/01/2026, 11:46 am</t>
        </is>
      </c>
      <c r="E323" s="4" t="inlineStr">
        <is>
          <t>27/01/2026, 11:48 am</t>
        </is>
      </c>
      <c r="F323" s="4">
        <f>(E323-D323)*24*60</f>
        <v/>
      </c>
      <c r="G323" s="4" t="inlineStr">
        <is>
          <t>Samay construction</t>
        </is>
      </c>
      <c r="H323" s="4" t="inlineStr">
        <is>
          <t>001fw000007jxHnAAI</t>
        </is>
      </c>
      <c r="I323" s="4" t="n">
        <v>834001</v>
      </c>
      <c r="J323" s="4" t="inlineStr">
        <is>
          <t>RANCHI</t>
        </is>
      </c>
      <c r="K323" s="4" t="inlineStr"/>
      <c r="L323" s="4" t="inlineStr">
        <is>
          <t>Influencer</t>
        </is>
      </c>
      <c r="M323" s="4" t="inlineStr">
        <is>
          <t>Got future date</t>
        </is>
      </c>
      <c r="N323" s="4" t="inlineStr">
        <is>
          <t>IHB CONTRACTOR USING RUNGTA TMT and kamdhenu TMT. Rates given 63000 landed to the CUSTUMER. Last purchase rungta @53 landed</t>
        </is>
      </c>
      <c r="O323" s="4" t="inlineStr">
        <is>
          <t>Will connect us on inquiry received from site. Will discuss with IHB site customer and let us know from CUSTUMER.</t>
        </is>
      </c>
      <c r="P323" s="4" t="inlineStr">
        <is>
          <t>IHB CONTRACTOR USING RUNGTA TMT and kamdhenu TMT. Rates given 63000 landed to the CUSTUMER. Last purchase rungta @53 landed | Will connect us on inquiry received from site. Will discuss with IHB site customer and let us know from CUSTUMER.</t>
        </is>
      </c>
      <c r="Q323" s="4">
        <f>LEN(TRIM(P323))-LEN(SUBSTITUTE(P323," ",""))+1</f>
        <v/>
      </c>
      <c r="R323" s="4" t="n">
        <v>22.8119777</v>
      </c>
      <c r="S323" s="4" t="n">
        <v>86.21520460000001</v>
      </c>
      <c r="T323" s="4">
        <f>COUNTIF($G$2:G323,G323)</f>
        <v/>
      </c>
      <c r="U323" s="4">
        <f>IF(F323&lt;5,"YES","NO")</f>
        <v/>
      </c>
      <c r="V323" s="4">
        <f>IF(AND(N323&lt;&gt;"",O323&lt;&gt;""),"YES","NO")</f>
        <v/>
      </c>
      <c r="W323" s="4">
        <f>IF(HOUR(D323)&lt;12,"Morning",IF(HOUR(D323)&lt;17,"Afternoon","Evening"))</f>
        <v/>
      </c>
      <c r="X323" s="4" t="n">
        <v>6</v>
      </c>
      <c r="Y323" s="4">
        <f>IF(F323&lt;5,"&lt;5 min",IF(F323&lt;15,"5-15 min",IF(F323&lt;30,"15-30 min","30+ min")))</f>
        <v/>
      </c>
    </row>
    <row r="324">
      <c r="A324" s="3" t="n">
        <v>46050</v>
      </c>
      <c r="B324" s="4" t="inlineStr">
        <is>
          <t>Wednesday</t>
        </is>
      </c>
      <c r="C324" s="4" t="inlineStr">
        <is>
          <t>Jan 26</t>
        </is>
      </c>
      <c r="D324" s="4" t="inlineStr">
        <is>
          <t>28/01/2026, 6:17 pm</t>
        </is>
      </c>
      <c r="E324" s="4" t="inlineStr">
        <is>
          <t>28/01/2026, 6:18 pm</t>
        </is>
      </c>
      <c r="F324" s="4">
        <f>(E324-D324)*24*60</f>
        <v/>
      </c>
      <c r="G324" s="4" t="inlineStr">
        <is>
          <t>Samay construction</t>
        </is>
      </c>
      <c r="H324" s="4" t="inlineStr">
        <is>
          <t>001fw000007kHTHAA2</t>
        </is>
      </c>
      <c r="I324" s="4" t="n">
        <v>831001</v>
      </c>
      <c r="J324" s="4" t="inlineStr">
        <is>
          <t>EAST SINGHBUM</t>
        </is>
      </c>
      <c r="K324" s="4" t="inlineStr"/>
      <c r="L324" s="4" t="inlineStr">
        <is>
          <t>Influencer</t>
        </is>
      </c>
      <c r="M324" s="4" t="inlineStr">
        <is>
          <t>Got future date</t>
        </is>
      </c>
      <c r="N324" s="4" t="inlineStr">
        <is>
          <t>IHB CONTRACTOR USING RUNGTA TMT and kamdhenu TMT. Rates given @64 landed to the CUSTUMER.</t>
        </is>
      </c>
      <c r="O324" s="4" t="inlineStr">
        <is>
          <t>Will let us know when inquiry received from site.need time. Will connect us.</t>
        </is>
      </c>
      <c r="P324" s="4" t="inlineStr">
        <is>
          <t>IHB CONTRACTOR USING RUNGTA TMT and kamdhenu TMT. Rates given @64 landed to the CUSTUMER. | Will let us know when inquiry received from site.need time. Will connect us.</t>
        </is>
      </c>
      <c r="Q324" s="4">
        <f>LEN(TRIM(P324))-LEN(SUBSTITUTE(P324," ",""))+1</f>
        <v/>
      </c>
      <c r="R324" s="4" t="n">
        <v>22.8066771</v>
      </c>
      <c r="S324" s="4" t="n">
        <v>86.2223202</v>
      </c>
      <c r="T324" s="4">
        <f>COUNTIF($G$2:G324,G324)</f>
        <v/>
      </c>
      <c r="U324" s="4">
        <f>IF(F324&lt;5,"YES","NO")</f>
        <v/>
      </c>
      <c r="V324" s="4">
        <f>IF(AND(N324&lt;&gt;"",O324&lt;&gt;""),"YES","NO")</f>
        <v/>
      </c>
      <c r="W324" s="4">
        <f>IF(HOUR(D324)&lt;12,"Morning",IF(HOUR(D324)&lt;17,"Afternoon","Evening"))</f>
        <v/>
      </c>
      <c r="X324" s="4" t="n">
        <v>7</v>
      </c>
      <c r="Y324" s="4">
        <f>IF(F324&lt;5,"&lt;5 min",IF(F324&lt;15,"5-15 min",IF(F324&lt;30,"15-30 min","30+ min")))</f>
        <v/>
      </c>
    </row>
    <row r="325">
      <c r="A325" s="3" t="n">
        <v>45969</v>
      </c>
      <c r="B325" s="4" t="inlineStr">
        <is>
          <t>Saturday</t>
        </is>
      </c>
      <c r="C325" s="4" t="inlineStr">
        <is>
          <t>Nov 25</t>
        </is>
      </c>
      <c r="D325" s="4" t="inlineStr">
        <is>
          <t>08/11/2025, 6:59 pm</t>
        </is>
      </c>
      <c r="E325" s="4" t="inlineStr">
        <is>
          <t>08/11/2025, 7:01 pm</t>
        </is>
      </c>
      <c r="F325" s="4">
        <f>(E325-D325)*24*60</f>
        <v/>
      </c>
      <c r="G325" s="4" t="inlineStr">
        <is>
          <t>Samay construction pvt Ltd.</t>
        </is>
      </c>
      <c r="H325" s="4" t="inlineStr">
        <is>
          <t>001fw000007R7B3AAK</t>
        </is>
      </c>
      <c r="I325" s="4" t="n">
        <v>831001</v>
      </c>
      <c r="J325" s="4" t="inlineStr">
        <is>
          <t>EAST SINGHBUM</t>
        </is>
      </c>
      <c r="K325" s="4" t="inlineStr"/>
      <c r="L325" s="4" t="inlineStr">
        <is>
          <t>Influencer</t>
        </is>
      </c>
      <c r="M325" s="4" t="inlineStr">
        <is>
          <t>Got future date</t>
        </is>
      </c>
      <c r="N325" s="4" t="inlineStr">
        <is>
          <t>Ihb contractor . Using rungta and govinda tmt. Rates given 57000 landed to customer.</t>
        </is>
      </c>
      <c r="O325" s="4" t="inlineStr">
        <is>
          <t>No inquiry now will connect us and the dealer.</t>
        </is>
      </c>
      <c r="P325" s="4" t="inlineStr">
        <is>
          <t>Ihb contractor . Using rungta and govinda tmt. Rates given 57000 landed to customer. | No inquiry now will connect us and the dealer.</t>
        </is>
      </c>
      <c r="Q325" s="4">
        <f>LEN(TRIM(P325))-LEN(SUBSTITUTE(P325," ",""))+1</f>
        <v/>
      </c>
      <c r="R325" s="4" t="n">
        <v>22.8121053</v>
      </c>
      <c r="S325" s="4" t="n">
        <v>86.21514019999999</v>
      </c>
      <c r="T325" s="4">
        <f>COUNTIF($G$2:G325,G325)</f>
        <v/>
      </c>
      <c r="U325" s="4">
        <f>IF(F325&lt;5,"YES","NO")</f>
        <v/>
      </c>
      <c r="V325" s="4">
        <f>IF(AND(N325&lt;&gt;"",O325&lt;&gt;""),"YES","NO")</f>
        <v/>
      </c>
      <c r="W325" s="4">
        <f>IF(HOUR(D325)&lt;12,"Morning",IF(HOUR(D325)&lt;17,"Afternoon","Evening"))</f>
        <v/>
      </c>
      <c r="X325" s="4" t="n">
        <v>5</v>
      </c>
      <c r="Y325" s="4">
        <f>IF(F325&lt;5,"&lt;5 min",IF(F325&lt;15,"5-15 min",IF(F325&lt;30,"15-30 min","30+ min")))</f>
        <v/>
      </c>
    </row>
    <row r="326">
      <c r="A326" s="3" t="n">
        <v>45978</v>
      </c>
      <c r="B326" s="4" t="inlineStr">
        <is>
          <t>Monday</t>
        </is>
      </c>
      <c r="C326" s="4" t="inlineStr">
        <is>
          <t>Nov 25</t>
        </is>
      </c>
      <c r="D326" s="4" t="inlineStr">
        <is>
          <t>17/11/2025, 7:30 pm</t>
        </is>
      </c>
      <c r="E326" s="4" t="inlineStr">
        <is>
          <t>17/11/2025, 7:31 pm</t>
        </is>
      </c>
      <c r="F326" s="4">
        <f>(E326-D326)*24*60</f>
        <v/>
      </c>
      <c r="G326" s="4" t="inlineStr">
        <is>
          <t>Samay construction pvt Ltd.</t>
        </is>
      </c>
      <c r="H326" s="4" t="inlineStr">
        <is>
          <t>001fw000007R7B3AAK</t>
        </is>
      </c>
      <c r="I326" s="4" t="n">
        <v>831001</v>
      </c>
      <c r="J326" s="4" t="inlineStr">
        <is>
          <t>EAST SINGHBUM</t>
        </is>
      </c>
      <c r="K326" s="4" t="inlineStr"/>
      <c r="L326" s="4" t="inlineStr">
        <is>
          <t>Influencer</t>
        </is>
      </c>
      <c r="M326" s="4" t="inlineStr">
        <is>
          <t>Got future date</t>
        </is>
      </c>
      <c r="N326" s="4" t="inlineStr">
        <is>
          <t>Ihb contractor and influencer. Using rungta tmt and Tata tiscon . Rates given 53.5 to the customer</t>
        </is>
      </c>
      <c r="O326" s="4" t="inlineStr">
        <is>
          <t>Will connect when inquiry received from end user.</t>
        </is>
      </c>
      <c r="P326" s="4" t="inlineStr">
        <is>
          <t>Ihb contractor and influencer. Using rungta tmt and Tata tiscon . Rates given 53.5 to the customer | Will connect when inquiry received from end user.</t>
        </is>
      </c>
      <c r="Q326" s="4">
        <f>LEN(TRIM(P326))-LEN(SUBSTITUTE(P326," ",""))+1</f>
        <v/>
      </c>
      <c r="R326" s="4" t="n">
        <v>22.812138</v>
      </c>
      <c r="S326" s="4" t="n">
        <v>86.215209</v>
      </c>
      <c r="T326" s="4">
        <f>COUNTIF($G$2:G326,G326)</f>
        <v/>
      </c>
      <c r="U326" s="4">
        <f>IF(F326&lt;5,"YES","NO")</f>
        <v/>
      </c>
      <c r="V326" s="4">
        <f>IF(AND(N326&lt;&gt;"",O326&lt;&gt;""),"YES","NO")</f>
        <v/>
      </c>
      <c r="W326" s="4">
        <f>IF(HOUR(D326)&lt;12,"Morning",IF(HOUR(D326)&lt;17,"Afternoon","Evening"))</f>
        <v/>
      </c>
      <c r="X326" s="4" t="n">
        <v>8</v>
      </c>
      <c r="Y326" s="4">
        <f>IF(F326&lt;5,"&lt;5 min",IF(F326&lt;15,"5-15 min",IF(F326&lt;30,"15-30 min","30+ min")))</f>
        <v/>
      </c>
    </row>
    <row r="327">
      <c r="A327" s="3" t="n">
        <v>46007</v>
      </c>
      <c r="B327" s="4" t="inlineStr">
        <is>
          <t>Tuesday</t>
        </is>
      </c>
      <c r="C327" s="4" t="inlineStr">
        <is>
          <t>Dec 25</t>
        </is>
      </c>
      <c r="D327" s="4" t="inlineStr">
        <is>
          <t>16/12/2025, 7:31 pm</t>
        </is>
      </c>
      <c r="E327" s="4" t="inlineStr">
        <is>
          <t>16/12/2025, 7:38 pm</t>
        </is>
      </c>
      <c r="F327" s="4">
        <f>(E327-D327)*24*60</f>
        <v/>
      </c>
      <c r="G327" s="4" t="inlineStr">
        <is>
          <t>Samay construction pvt Ltd.</t>
        </is>
      </c>
      <c r="H327" s="4" t="inlineStr">
        <is>
          <t>001fw000007R7B3AAK</t>
        </is>
      </c>
      <c r="I327" s="4" t="n">
        <v>831001</v>
      </c>
      <c r="J327" s="4" t="inlineStr">
        <is>
          <t>EAST SINGHBUM</t>
        </is>
      </c>
      <c r="K327" s="4" t="inlineStr"/>
      <c r="L327" s="4" t="inlineStr">
        <is>
          <t>Influencer</t>
        </is>
      </c>
      <c r="M327" s="4" t="inlineStr">
        <is>
          <t>Lead qualified</t>
        </is>
      </c>
      <c r="N327" s="4" t="inlineStr">
        <is>
          <t>Ihb contractor of ihb projects. Rates given 57000 landed to him . Last purchase rungta 50000 landed.</t>
        </is>
      </c>
      <c r="O327" s="4" t="inlineStr">
        <is>
          <t>Will connect when inquiry comes to him by end custumer. Will connect dealer.</t>
        </is>
      </c>
      <c r="P327" s="4" t="inlineStr">
        <is>
          <t>Ihb contractor of ihb projects. Rates given 57000 landed to him . Last purchase rungta 50000 landed. | Will connect when inquiry comes to him by end custumer. Will connect dealer.</t>
        </is>
      </c>
      <c r="Q327" s="4">
        <f>LEN(TRIM(P327))-LEN(SUBSTITUTE(P327," ",""))+1</f>
        <v/>
      </c>
      <c r="R327" s="4" t="n">
        <v>22.812167</v>
      </c>
      <c r="S327" s="4" t="n">
        <v>86.2152488</v>
      </c>
      <c r="T327" s="4">
        <f>COUNTIF($G$2:G327,G327)</f>
        <v/>
      </c>
      <c r="U327" s="4">
        <f>IF(F327&lt;5,"YES","NO")</f>
        <v/>
      </c>
      <c r="V327" s="4">
        <f>IF(AND(N327&lt;&gt;"",O327&lt;&gt;""),"YES","NO")</f>
        <v/>
      </c>
      <c r="W327" s="4">
        <f>IF(HOUR(D327)&lt;12,"Morning",IF(HOUR(D327)&lt;17,"Afternoon","Evening"))</f>
        <v/>
      </c>
      <c r="X327" s="4" t="n">
        <v>7</v>
      </c>
      <c r="Y327" s="4">
        <f>IF(F327&lt;5,"&lt;5 min",IF(F327&lt;15,"5-15 min",IF(F327&lt;30,"15-30 min","30+ min")))</f>
        <v/>
      </c>
    </row>
    <row r="328">
      <c r="A328" s="3" t="n">
        <v>46013</v>
      </c>
      <c r="B328" s="4" t="inlineStr">
        <is>
          <t>Monday</t>
        </is>
      </c>
      <c r="C328" s="4" t="inlineStr">
        <is>
          <t>Dec 25</t>
        </is>
      </c>
      <c r="D328" s="4" t="inlineStr">
        <is>
          <t>22/12/2025, 6:25 pm</t>
        </is>
      </c>
      <c r="E328" s="4" t="inlineStr">
        <is>
          <t>22/12/2025, 6:27 pm</t>
        </is>
      </c>
      <c r="F328" s="4">
        <f>(E328-D328)*24*60</f>
        <v/>
      </c>
      <c r="G328" s="4" t="inlineStr">
        <is>
          <t>Samay construction pvt Ltd.</t>
        </is>
      </c>
      <c r="H328" s="4" t="inlineStr">
        <is>
          <t>001fw000007R7B3AAK</t>
        </is>
      </c>
      <c r="I328" s="4" t="n">
        <v>831001</v>
      </c>
      <c r="J328" s="4" t="inlineStr">
        <is>
          <t>EAST SINGHBUM</t>
        </is>
      </c>
      <c r="K328" s="4" t="inlineStr"/>
      <c r="L328" s="4" t="inlineStr">
        <is>
          <t>Influencer</t>
        </is>
      </c>
      <c r="M328" s="4" t="inlineStr">
        <is>
          <t>Got future date</t>
        </is>
      </c>
      <c r="N328" s="4" t="inlineStr">
        <is>
          <t>Ihb contractor using rungta and shyam steel . Rates given 57000 landed through retailer.</t>
        </is>
      </c>
      <c r="O328" s="4" t="inlineStr">
        <is>
          <t>Will connect us as soon as possible. Will connect us .</t>
        </is>
      </c>
      <c r="P328" s="4" t="inlineStr">
        <is>
          <t>Ihb contractor using rungta and shyam steel . Rates given 57000 landed through retailer. | Will connect us as soon as possible. Will connect us .</t>
        </is>
      </c>
      <c r="Q328" s="4">
        <f>LEN(TRIM(P328))-LEN(SUBSTITUTE(P328," ",""))+1</f>
        <v/>
      </c>
      <c r="R328" s="4" t="n">
        <v>22.8119892</v>
      </c>
      <c r="S328" s="4" t="n">
        <v>86.2152033</v>
      </c>
      <c r="T328" s="4">
        <f>COUNTIF($G$2:G328,G328)</f>
        <v/>
      </c>
      <c r="U328" s="4">
        <f>IF(F328&lt;5,"YES","NO")</f>
        <v/>
      </c>
      <c r="V328" s="4">
        <f>IF(AND(N328&lt;&gt;"",O328&lt;&gt;""),"YES","NO")</f>
        <v/>
      </c>
      <c r="W328" s="4">
        <f>IF(HOUR(D328)&lt;12,"Morning",IF(HOUR(D328)&lt;17,"Afternoon","Evening"))</f>
        <v/>
      </c>
      <c r="X328" s="4" t="n">
        <v>7</v>
      </c>
      <c r="Y328" s="4">
        <f>IF(F328&lt;5,"&lt;5 min",IF(F328&lt;15,"5-15 min",IF(F328&lt;30,"15-30 min","30+ min")))</f>
        <v/>
      </c>
    </row>
    <row r="329">
      <c r="A329" s="3" t="n">
        <v>46022</v>
      </c>
      <c r="B329" s="4" t="inlineStr">
        <is>
          <t>Wednesday</t>
        </is>
      </c>
      <c r="C329" s="4" t="inlineStr">
        <is>
          <t>Dec 25</t>
        </is>
      </c>
      <c r="D329" s="4" t="inlineStr">
        <is>
          <t>31/12/2025, 12:19 pm</t>
        </is>
      </c>
      <c r="E329" s="4" t="inlineStr">
        <is>
          <t>31/12/2025, 12:20 pm</t>
        </is>
      </c>
      <c r="F329" s="4">
        <f>(E329-D329)*24*60</f>
        <v/>
      </c>
      <c r="G329" s="4" t="inlineStr">
        <is>
          <t>Samay construction pvt Ltd.</t>
        </is>
      </c>
      <c r="H329" s="4" t="inlineStr">
        <is>
          <t>001fw000007R7B3AAK</t>
        </is>
      </c>
      <c r="I329" s="4" t="n">
        <v>831001</v>
      </c>
      <c r="J329" s="4" t="inlineStr">
        <is>
          <t>EAST SINGHBUM</t>
        </is>
      </c>
      <c r="K329" s="4" t="inlineStr"/>
      <c r="L329" s="4" t="inlineStr">
        <is>
          <t>Influencer</t>
        </is>
      </c>
      <c r="M329" s="4" t="inlineStr">
        <is>
          <t>Got future date</t>
        </is>
      </c>
      <c r="N329" s="4" t="inlineStr">
        <is>
          <t>IHB CONTRACTOR USING RUNGTA and shyam steel. Rates given 57800 landed to the CUSTUMER</t>
        </is>
      </c>
      <c r="O329" s="4" t="inlineStr">
        <is>
          <t>Will share us inquiry once revived from site. Need time for a week.</t>
        </is>
      </c>
      <c r="P329" s="4" t="inlineStr">
        <is>
          <t>IHB CONTRACTOR USING RUNGTA and shyam steel. Rates given 57800 landed to the CUSTUMER | Will share us inquiry once revived from site. Need time for a week.</t>
        </is>
      </c>
      <c r="Q329" s="4">
        <f>LEN(TRIM(P329))-LEN(SUBSTITUTE(P329," ",""))+1</f>
        <v/>
      </c>
      <c r="R329" s="4" t="n">
        <v>22.8121654</v>
      </c>
      <c r="S329" s="4" t="n">
        <v>86.21519790000001</v>
      </c>
      <c r="T329" s="4">
        <f>COUNTIF($G$2:G329,G329)</f>
        <v/>
      </c>
      <c r="U329" s="4">
        <f>IF(F329&lt;5,"YES","NO")</f>
        <v/>
      </c>
      <c r="V329" s="4">
        <f>IF(AND(N329&lt;&gt;"",O329&lt;&gt;""),"YES","NO")</f>
        <v/>
      </c>
      <c r="W329" s="4">
        <f>IF(HOUR(D329)&lt;12,"Morning",IF(HOUR(D329)&lt;17,"Afternoon","Evening"))</f>
        <v/>
      </c>
      <c r="X329" s="4" t="n">
        <v>6</v>
      </c>
      <c r="Y329" s="4">
        <f>IF(F329&lt;5,"&lt;5 min",IF(F329&lt;15,"5-15 min",IF(F329&lt;30,"15-30 min","30+ min")))</f>
        <v/>
      </c>
    </row>
    <row r="330">
      <c r="A330" s="3" t="n">
        <v>46027</v>
      </c>
      <c r="B330" s="4" t="inlineStr">
        <is>
          <t>Monday</t>
        </is>
      </c>
      <c r="C330" s="4" t="inlineStr">
        <is>
          <t>Jan 26</t>
        </is>
      </c>
      <c r="D330" s="4" t="inlineStr">
        <is>
          <t>05/01/2026, 7:29 pm</t>
        </is>
      </c>
      <c r="E330" s="4" t="inlineStr">
        <is>
          <t>05/01/2026, 7:30 pm</t>
        </is>
      </c>
      <c r="F330" s="4">
        <f>(E330-D330)*24*60</f>
        <v/>
      </c>
      <c r="G330" s="4" t="inlineStr">
        <is>
          <t>Samay construction pvt Ltd.</t>
        </is>
      </c>
      <c r="H330" s="4" t="inlineStr">
        <is>
          <t>001fw000007R7B3AAK</t>
        </is>
      </c>
      <c r="I330" s="4" t="n">
        <v>831001</v>
      </c>
      <c r="J330" s="4" t="inlineStr">
        <is>
          <t>EAST SINGHBUM</t>
        </is>
      </c>
      <c r="K330" s="4" t="inlineStr"/>
      <c r="L330" s="4" t="inlineStr">
        <is>
          <t>Influencer</t>
        </is>
      </c>
      <c r="M330" s="4" t="inlineStr">
        <is>
          <t>Got future date</t>
        </is>
      </c>
      <c r="N330" s="4" t="inlineStr">
        <is>
          <t>IHB CONTRACTOR. Using rungta. Rates given 59600 LANDED TO HIM</t>
        </is>
      </c>
      <c r="O330" s="4" t="inlineStr">
        <is>
          <t>Will connect when inquiry or demand comes to him.</t>
        </is>
      </c>
      <c r="P330" s="4" t="inlineStr">
        <is>
          <t>IHB CONTRACTOR. Using rungta. Rates given 59600 LANDED TO HIM | Will connect when inquiry or demand comes to him.</t>
        </is>
      </c>
      <c r="Q330" s="4">
        <f>LEN(TRIM(P330))-LEN(SUBSTITUTE(P330," ",""))+1</f>
        <v/>
      </c>
      <c r="R330" s="4" t="n">
        <v>22.8119939</v>
      </c>
      <c r="S330" s="4" t="n">
        <v>86.2152066</v>
      </c>
      <c r="T330" s="4">
        <f>COUNTIF($G$2:G330,G330)</f>
        <v/>
      </c>
      <c r="U330" s="4">
        <f>IF(F330&lt;5,"YES","NO")</f>
        <v/>
      </c>
      <c r="V330" s="4">
        <f>IF(AND(N330&lt;&gt;"",O330&lt;&gt;""),"YES","NO")</f>
        <v/>
      </c>
      <c r="W330" s="4">
        <f>IF(HOUR(D330)&lt;12,"Morning",IF(HOUR(D330)&lt;17,"Afternoon","Evening"))</f>
        <v/>
      </c>
      <c r="X330" s="4" t="n">
        <v>7</v>
      </c>
      <c r="Y330" s="4">
        <f>IF(F330&lt;5,"&lt;5 min",IF(F330&lt;15,"5-15 min",IF(F330&lt;30,"15-30 min","30+ min")))</f>
        <v/>
      </c>
    </row>
    <row r="331">
      <c r="A331" s="3" t="n">
        <v>46035</v>
      </c>
      <c r="B331" s="4" t="inlineStr">
        <is>
          <t>Tuesday</t>
        </is>
      </c>
      <c r="C331" s="4" t="inlineStr">
        <is>
          <t>Jan 26</t>
        </is>
      </c>
      <c r="D331" s="4" t="inlineStr">
        <is>
          <t>13/01/2026, 7:55 pm</t>
        </is>
      </c>
      <c r="E331" s="4" t="inlineStr">
        <is>
          <t>13/01/2026, 8:05 pm</t>
        </is>
      </c>
      <c r="F331" s="4">
        <f>(E331-D331)*24*60</f>
        <v/>
      </c>
      <c r="G331" s="4" t="inlineStr">
        <is>
          <t>Samay construction pvt Ltd.</t>
        </is>
      </c>
      <c r="H331" s="4" t="inlineStr">
        <is>
          <t>001fw000007R7B3AAK</t>
        </is>
      </c>
      <c r="I331" s="4" t="n">
        <v>831001</v>
      </c>
      <c r="J331" s="4" t="inlineStr">
        <is>
          <t>EAST SINGHBUM</t>
        </is>
      </c>
      <c r="K331" s="4" t="inlineStr"/>
      <c r="L331" s="4" t="inlineStr">
        <is>
          <t>Influencer</t>
        </is>
      </c>
      <c r="M331" s="4" t="inlineStr">
        <is>
          <t>Got future date</t>
        </is>
      </c>
      <c r="N331" s="4" t="inlineStr">
        <is>
          <t>IHB CONTRACTOR USING panther TMT and RUNGTA TMT. Rates given 61500 landed to the CUSTUMER.</t>
        </is>
      </c>
      <c r="O331" s="4" t="inlineStr">
        <is>
          <t>Will share us inquiry on demand receive. Need time for the same.</t>
        </is>
      </c>
      <c r="P331" s="4" t="inlineStr">
        <is>
          <t>IHB CONTRACTOR USING panther TMT and RUNGTA TMT. Rates given 61500 landed to the CUSTUMER. | Will share us inquiry on demand receive. Need time for the same.</t>
        </is>
      </c>
      <c r="Q331" s="4">
        <f>LEN(TRIM(P331))-LEN(SUBSTITUTE(P331," ",""))+1</f>
        <v/>
      </c>
      <c r="R331" s="4" t="n">
        <v>22.8122627</v>
      </c>
      <c r="S331" s="4" t="n">
        <v>86.2154427</v>
      </c>
      <c r="T331" s="4">
        <f>COUNTIF($G$2:G331,G331)</f>
        <v/>
      </c>
      <c r="U331" s="4">
        <f>IF(F331&lt;5,"YES","NO")</f>
        <v/>
      </c>
      <c r="V331" s="4">
        <f>IF(AND(N331&lt;&gt;"",O331&lt;&gt;""),"YES","NO")</f>
        <v/>
      </c>
      <c r="W331" s="4">
        <f>IF(HOUR(D331)&lt;12,"Morning",IF(HOUR(D331)&lt;17,"Afternoon","Evening"))</f>
        <v/>
      </c>
      <c r="X331" s="4" t="n">
        <v>6</v>
      </c>
      <c r="Y331" s="4">
        <f>IF(F331&lt;5,"&lt;5 min",IF(F331&lt;15,"5-15 min",IF(F331&lt;30,"15-30 min","30+ min")))</f>
        <v/>
      </c>
    </row>
    <row r="332">
      <c r="A332" s="3" t="n">
        <v>46041</v>
      </c>
      <c r="B332" s="4" t="inlineStr">
        <is>
          <t>Monday</t>
        </is>
      </c>
      <c r="C332" s="4" t="inlineStr">
        <is>
          <t>Jan 26</t>
        </is>
      </c>
      <c r="D332" s="4" t="inlineStr">
        <is>
          <t>19/01/2026, 1:23 pm</t>
        </is>
      </c>
      <c r="E332" s="4" t="inlineStr">
        <is>
          <t>19/01/2026, 1:26 pm</t>
        </is>
      </c>
      <c r="F332" s="4">
        <f>(E332-D332)*24*60</f>
        <v/>
      </c>
      <c r="G332" s="4" t="inlineStr">
        <is>
          <t>Samay construction pvt Ltd.</t>
        </is>
      </c>
      <c r="H332" s="4" t="inlineStr">
        <is>
          <t>001fw000007R7B3AAK</t>
        </is>
      </c>
      <c r="I332" s="4" t="n">
        <v>831001</v>
      </c>
      <c r="J332" s="4" t="inlineStr">
        <is>
          <t>EAST SINGHBUM</t>
        </is>
      </c>
      <c r="K332" s="4" t="inlineStr"/>
      <c r="L332" s="4" t="inlineStr">
        <is>
          <t>Influencer</t>
        </is>
      </c>
      <c r="M332" s="4" t="inlineStr">
        <is>
          <t>Got future date</t>
        </is>
      </c>
      <c r="N332" s="4" t="inlineStr">
        <is>
          <t>IHB CONTRACTOR USING RUNGTA TMT and and shyam steel. Rates given 62500 landed to the CUSTUMER.</t>
        </is>
      </c>
      <c r="O332" s="4" t="inlineStr">
        <is>
          <t>Rates are comparable to shyam steel will try to convince CUSTUMER for jsw one. Will connect us on demand received from customer. Last purchase shyam steel @ 61000 landed.</t>
        </is>
      </c>
      <c r="P332" s="4" t="inlineStr">
        <is>
          <t>IHB CONTRACTOR USING RUNGTA TMT and and shyam steel. Rates given 62500 landed to the CUSTUMER. | Rates are comparable to shyam steel will try to convince CUSTUMER for jsw one. Will connect us on demand received from customer. Last purchase shyam steel @ 61000 landed.</t>
        </is>
      </c>
      <c r="Q332" s="4">
        <f>LEN(TRIM(P332))-LEN(SUBSTITUTE(P332," ",""))+1</f>
        <v/>
      </c>
      <c r="R332" s="4" t="n">
        <v>22.8121195</v>
      </c>
      <c r="S332" s="4" t="n">
        <v>86.2152237</v>
      </c>
      <c r="T332" s="4">
        <f>COUNTIF($G$2:G332,G332)</f>
        <v/>
      </c>
      <c r="U332" s="4">
        <f>IF(F332&lt;5,"YES","NO")</f>
        <v/>
      </c>
      <c r="V332" s="4">
        <f>IF(AND(N332&lt;&gt;"",O332&lt;&gt;""),"YES","NO")</f>
        <v/>
      </c>
      <c r="W332" s="4">
        <f>IF(HOUR(D332)&lt;12,"Morning",IF(HOUR(D332)&lt;17,"Afternoon","Evening"))</f>
        <v/>
      </c>
      <c r="X332" s="4" t="n">
        <v>6</v>
      </c>
      <c r="Y332" s="4">
        <f>IF(F332&lt;5,"&lt;5 min",IF(F332&lt;15,"5-15 min",IF(F332&lt;30,"15-30 min","30+ min")))</f>
        <v/>
      </c>
    </row>
    <row r="333">
      <c r="A333" s="3" t="n">
        <v>45985</v>
      </c>
      <c r="B333" s="4" t="inlineStr">
        <is>
          <t>Monday</t>
        </is>
      </c>
      <c r="C333" s="4" t="inlineStr">
        <is>
          <t>Nov 25</t>
        </is>
      </c>
      <c r="D333" s="4" t="inlineStr">
        <is>
          <t>24/11/2025, 7:18 pm</t>
        </is>
      </c>
      <c r="E333" s="4" t="inlineStr">
        <is>
          <t>24/11/2025, 7:19 pm</t>
        </is>
      </c>
      <c r="F333" s="4">
        <f>(E333-D333)*24*60</f>
        <v/>
      </c>
      <c r="G333" s="4" t="inlineStr">
        <is>
          <t>Sri ram traders</t>
        </is>
      </c>
      <c r="H333" s="4" t="inlineStr">
        <is>
          <t>001fw00000DHYkBAAX</t>
        </is>
      </c>
      <c r="I333" s="4" t="n">
        <v>831001</v>
      </c>
      <c r="J333" s="4" t="inlineStr">
        <is>
          <t>EAST SINGHBUM</t>
        </is>
      </c>
      <c r="K333" s="4" t="inlineStr"/>
      <c r="L333" s="4" t="inlineStr">
        <is>
          <t>Influencer</t>
        </is>
      </c>
      <c r="M333" s="4" t="inlineStr">
        <is>
          <t>Got future date</t>
        </is>
      </c>
      <c r="N333" s="4" t="inlineStr">
        <is>
          <t>Ihb contractor using tiscon kamdhenu and jsw one tmt. Rates 55000</t>
        </is>
      </c>
      <c r="O333" s="4" t="inlineStr">
        <is>
          <t>Will share inquiry from end users need some time . Last purchased jsw one.</t>
        </is>
      </c>
      <c r="P333" s="4" t="inlineStr">
        <is>
          <t>Ihb contractor using tiscon kamdhenu and jsw one tmt. Rates 55000 | Will share inquiry from end users need some time . Last purchased jsw one.</t>
        </is>
      </c>
      <c r="Q333" s="4">
        <f>LEN(TRIM(P333))-LEN(SUBSTITUTE(P333," ",""))+1</f>
        <v/>
      </c>
      <c r="R333" s="4" t="n">
        <v>22.8066563</v>
      </c>
      <c r="S333" s="4" t="n">
        <v>86.2226154</v>
      </c>
      <c r="T333" s="4">
        <f>COUNTIF($G$2:G333,G333)</f>
        <v/>
      </c>
      <c r="U333" s="4">
        <f>IF(F333&lt;5,"YES","NO")</f>
        <v/>
      </c>
      <c r="V333" s="4">
        <f>IF(AND(N333&lt;&gt;"",O333&lt;&gt;""),"YES","NO")</f>
        <v/>
      </c>
      <c r="W333" s="4">
        <f>IF(HOUR(D333)&lt;12,"Morning",IF(HOUR(D333)&lt;17,"Afternoon","Evening"))</f>
        <v/>
      </c>
      <c r="X333" s="4" t="n">
        <v>7</v>
      </c>
      <c r="Y333" s="4">
        <f>IF(F333&lt;5,"&lt;5 min",IF(F333&lt;15,"5-15 min",IF(F333&lt;30,"15-30 min","30+ min")))</f>
        <v/>
      </c>
    </row>
    <row r="334">
      <c r="A334" s="3" t="n">
        <v>45985</v>
      </c>
      <c r="B334" s="4" t="inlineStr">
        <is>
          <t>Monday</t>
        </is>
      </c>
      <c r="C334" s="4" t="inlineStr">
        <is>
          <t>Nov 25</t>
        </is>
      </c>
      <c r="D334" s="4" t="inlineStr">
        <is>
          <t>24/11/2025, 7:32 pm</t>
        </is>
      </c>
      <c r="E334" s="4" t="inlineStr">
        <is>
          <t>24/11/2025, 7:33 pm</t>
        </is>
      </c>
      <c r="F334" s="4">
        <f>(E334-D334)*24*60</f>
        <v/>
      </c>
      <c r="G334" s="4" t="inlineStr">
        <is>
          <t>Sri ram traders</t>
        </is>
      </c>
      <c r="H334" s="4" t="inlineStr">
        <is>
          <t>001fw00000DI3rBAAT</t>
        </is>
      </c>
      <c r="I334" s="4" t="n">
        <v>831001</v>
      </c>
      <c r="J334" s="4" t="inlineStr">
        <is>
          <t>EAST SINGHBUM</t>
        </is>
      </c>
      <c r="K334" s="4" t="inlineStr"/>
      <c r="L334" s="4" t="inlineStr">
        <is>
          <t>Influencer</t>
        </is>
      </c>
      <c r="M334" s="4" t="inlineStr">
        <is>
          <t>Got future date</t>
        </is>
      </c>
      <c r="N334" s="4" t="inlineStr">
        <is>
          <t>Ihb contractor. Using Tata tiscon and rungta tmt. Rates given 54000 landed to the dealer.</t>
        </is>
      </c>
      <c r="O334" s="4" t="inlineStr">
        <is>
          <t>Will connect us with an inquiry will connect us .</t>
        </is>
      </c>
      <c r="P334" s="4" t="inlineStr">
        <is>
          <t>Ihb contractor. Using Tata tiscon and rungta tmt. Rates given 54000 landed to the dealer. | Will connect us with an inquiry will connect us .</t>
        </is>
      </c>
      <c r="Q334" s="4">
        <f>LEN(TRIM(P334))-LEN(SUBSTITUTE(P334," ",""))+1</f>
        <v/>
      </c>
      <c r="R334" s="4" t="n">
        <v>22.812139</v>
      </c>
      <c r="S334" s="4" t="n">
        <v>86.21518500000001</v>
      </c>
      <c r="T334" s="4">
        <f>COUNTIF($G$2:G334,G334)</f>
        <v/>
      </c>
      <c r="U334" s="4">
        <f>IF(F334&lt;5,"YES","NO")</f>
        <v/>
      </c>
      <c r="V334" s="4">
        <f>IF(AND(N334&lt;&gt;"",O334&lt;&gt;""),"YES","NO")</f>
        <v/>
      </c>
      <c r="W334" s="4">
        <f>IF(HOUR(D334)&lt;12,"Morning",IF(HOUR(D334)&lt;17,"Afternoon","Evening"))</f>
        <v/>
      </c>
      <c r="X334" s="4" t="n">
        <v>7</v>
      </c>
      <c r="Y334" s="4">
        <f>IF(F334&lt;5,"&lt;5 min",IF(F334&lt;15,"5-15 min",IF(F334&lt;30,"15-30 min","30+ min")))</f>
        <v/>
      </c>
    </row>
    <row r="335">
      <c r="A335" s="3" t="n">
        <v>45986</v>
      </c>
      <c r="B335" s="4" t="inlineStr">
        <is>
          <t>Tuesday</t>
        </is>
      </c>
      <c r="C335" s="4" t="inlineStr">
        <is>
          <t>Nov 25</t>
        </is>
      </c>
      <c r="D335" s="4" t="inlineStr">
        <is>
          <t>25/11/2025, 5:47 pm</t>
        </is>
      </c>
      <c r="E335" s="4" t="inlineStr">
        <is>
          <t>25/11/2025, 5:48 pm</t>
        </is>
      </c>
      <c r="F335" s="4">
        <f>(E335-D335)*24*60</f>
        <v/>
      </c>
      <c r="G335" s="4" t="inlineStr">
        <is>
          <t>Sri ram traders</t>
        </is>
      </c>
      <c r="H335" s="4" t="inlineStr">
        <is>
          <t>001fw00000DQPZZAA5</t>
        </is>
      </c>
      <c r="I335" s="4" t="n">
        <v>831001</v>
      </c>
      <c r="J335" s="4" t="inlineStr">
        <is>
          <t>EAST SINGHBUM</t>
        </is>
      </c>
      <c r="K335" s="4" t="inlineStr"/>
      <c r="L335" s="4" t="inlineStr">
        <is>
          <t>Influencer</t>
        </is>
      </c>
      <c r="M335" s="4" t="inlineStr">
        <is>
          <t>Got future date</t>
        </is>
      </c>
      <c r="N335" s="4" t="inlineStr">
        <is>
          <t>Ihb contractor using rungta and jsw one m rates given 55000 landed.</t>
        </is>
      </c>
      <c r="O335" s="4" t="inlineStr">
        <is>
          <t>Will pass directly inquiry to the retailer from end customer.</t>
        </is>
      </c>
      <c r="P335" s="4" t="inlineStr">
        <is>
          <t>Ihb contractor using rungta and jsw one m rates given 55000 landed. | Will pass directly inquiry to the retailer from end customer.</t>
        </is>
      </c>
      <c r="Q335" s="4">
        <f>LEN(TRIM(P335))-LEN(SUBSTITUTE(P335," ",""))+1</f>
        <v/>
      </c>
      <c r="R335" s="4" t="n">
        <v>22.8121541</v>
      </c>
      <c r="S335" s="4" t="n">
        <v>86.2152111</v>
      </c>
      <c r="T335" s="4">
        <f>COUNTIF($G$2:G335,G335)</f>
        <v/>
      </c>
      <c r="U335" s="4">
        <f>IF(F335&lt;5,"YES","NO")</f>
        <v/>
      </c>
      <c r="V335" s="4">
        <f>IF(AND(N335&lt;&gt;"",O335&lt;&gt;""),"YES","NO")</f>
        <v/>
      </c>
      <c r="W335" s="4">
        <f>IF(HOUR(D335)&lt;12,"Morning",IF(HOUR(D335)&lt;17,"Afternoon","Evening"))</f>
        <v/>
      </c>
      <c r="X335" s="4" t="n">
        <v>7</v>
      </c>
      <c r="Y335" s="4">
        <f>IF(F335&lt;5,"&lt;5 min",IF(F335&lt;15,"5-15 min",IF(F335&lt;30,"15-30 min","30+ min")))</f>
        <v/>
      </c>
    </row>
    <row r="336">
      <c r="A336" s="3" t="n">
        <v>46049</v>
      </c>
      <c r="B336" s="4" t="inlineStr">
        <is>
          <t>Tuesday</t>
        </is>
      </c>
      <c r="C336" s="4" t="inlineStr">
        <is>
          <t>Jan 26</t>
        </is>
      </c>
      <c r="D336" s="4" t="inlineStr">
        <is>
          <t>27/01/2026, 5:40 pm</t>
        </is>
      </c>
      <c r="E336" s="4" t="inlineStr">
        <is>
          <t>27/01/2026, 5:42 pm</t>
        </is>
      </c>
      <c r="F336" s="4">
        <f>(E336-D336)*24*60</f>
        <v/>
      </c>
      <c r="G336" s="4" t="inlineStr">
        <is>
          <t>Sri ram traders</t>
        </is>
      </c>
      <c r="H336" s="4" t="inlineStr">
        <is>
          <t>001fw00000DHYkBAAX</t>
        </is>
      </c>
      <c r="I336" s="4" t="n">
        <v>831001</v>
      </c>
      <c r="J336" s="4" t="inlineStr">
        <is>
          <t>EAST SINGHBUM</t>
        </is>
      </c>
      <c r="K336" s="4" t="inlineStr"/>
      <c r="L336" s="4" t="inlineStr">
        <is>
          <t>Influencer</t>
        </is>
      </c>
      <c r="M336" s="4" t="inlineStr">
        <is>
          <t>Got future date</t>
        </is>
      </c>
      <c r="N336" s="4" t="inlineStr">
        <is>
          <t>IHB CONTRACTOR USING RUNGTA TMT and shyam steel. Rates given @64 landed.will connect on inquiry.</t>
        </is>
      </c>
      <c r="O336" s="4" t="inlineStr">
        <is>
          <t>Last purchase rungta @ 54000 landed. Will share demand with us.</t>
        </is>
      </c>
      <c r="P336" s="4" t="inlineStr">
        <is>
          <t>IHB CONTRACTOR USING RUNGTA TMT and shyam steel. Rates given @64 landed.will connect on inquiry. | Last purchase rungta @ 54000 landed. Will share demand with us.</t>
        </is>
      </c>
      <c r="Q336" s="4">
        <f>LEN(TRIM(P336))-LEN(SUBSTITUTE(P336," ",""))+1</f>
        <v/>
      </c>
      <c r="R336" s="4" t="n">
        <v>22.8066062</v>
      </c>
      <c r="S336" s="4" t="n">
        <v>86.22385149999999</v>
      </c>
      <c r="T336" s="4">
        <f>COUNTIF($G$2:G336,G336)</f>
        <v/>
      </c>
      <c r="U336" s="4">
        <f>IF(F336&lt;5,"YES","NO")</f>
        <v/>
      </c>
      <c r="V336" s="4">
        <f>IF(AND(N336&lt;&gt;"",O336&lt;&gt;""),"YES","NO")</f>
        <v/>
      </c>
      <c r="W336" s="4">
        <f>IF(HOUR(D336)&lt;12,"Morning",IF(HOUR(D336)&lt;17,"Afternoon","Evening"))</f>
        <v/>
      </c>
      <c r="X336" s="4" t="n">
        <v>6</v>
      </c>
      <c r="Y336" s="4">
        <f>IF(F336&lt;5,"&lt;5 min",IF(F336&lt;15,"5-15 min",IF(F336&lt;30,"15-30 min","30+ min")))</f>
        <v/>
      </c>
    </row>
    <row r="337">
      <c r="A337" s="3" t="n">
        <v>46049</v>
      </c>
      <c r="B337" s="4" t="inlineStr">
        <is>
          <t>Tuesday</t>
        </is>
      </c>
      <c r="C337" s="4" t="inlineStr">
        <is>
          <t>Jan 26</t>
        </is>
      </c>
      <c r="D337" s="4" t="inlineStr">
        <is>
          <t>27/01/2026, 6:32 pm</t>
        </is>
      </c>
      <c r="E337" s="4" t="inlineStr">
        <is>
          <t>27/01/2026, 6:33 pm</t>
        </is>
      </c>
      <c r="F337" s="4">
        <f>(E337-D337)*24*60</f>
        <v/>
      </c>
      <c r="G337" s="4" t="inlineStr">
        <is>
          <t>Sri ram traders</t>
        </is>
      </c>
      <c r="H337" s="4" t="inlineStr">
        <is>
          <t>001fw00000DI3rBAAT</t>
        </is>
      </c>
      <c r="I337" s="4" t="n">
        <v>831001</v>
      </c>
      <c r="J337" s="4" t="inlineStr">
        <is>
          <t>EAST SINGHBUM</t>
        </is>
      </c>
      <c r="K337" s="4" t="inlineStr"/>
      <c r="L337" s="4" t="inlineStr">
        <is>
          <t>Influencer</t>
        </is>
      </c>
      <c r="M337" s="4" t="inlineStr">
        <is>
          <t>Got future date</t>
        </is>
      </c>
      <c r="N337" s="4" t="inlineStr">
        <is>
          <t>IHB CONTRACTOR USING RUNGTA TMT and kamdhenu. Rates given 64000 landed to the CUSTUMER.</t>
        </is>
      </c>
      <c r="O337" s="4" t="inlineStr">
        <is>
          <t>Will connect us on inquiry. Need time for customer to share inquiry. Will connect us on custumer demand.</t>
        </is>
      </c>
      <c r="P337" s="4" t="inlineStr">
        <is>
          <t>IHB CONTRACTOR USING RUNGTA TMT and kamdhenu. Rates given 64000 landed to the CUSTUMER. | Will connect us on inquiry. Need time for customer to share inquiry. Will connect us on custumer demand.</t>
        </is>
      </c>
      <c r="Q337" s="4">
        <f>LEN(TRIM(P337))-LEN(SUBSTITUTE(P337," ",""))+1</f>
        <v/>
      </c>
      <c r="R337" s="4" t="n">
        <v>22.8100077</v>
      </c>
      <c r="S337" s="4" t="n">
        <v>86.21946459999999</v>
      </c>
      <c r="T337" s="4">
        <f>COUNTIF($G$2:G337,G337)</f>
        <v/>
      </c>
      <c r="U337" s="4">
        <f>IF(F337&lt;5,"YES","NO")</f>
        <v/>
      </c>
      <c r="V337" s="4">
        <f>IF(AND(N337&lt;&gt;"",O337&lt;&gt;""),"YES","NO")</f>
        <v/>
      </c>
      <c r="W337" s="4">
        <f>IF(HOUR(D337)&lt;12,"Morning",IF(HOUR(D337)&lt;17,"Afternoon","Evening"))</f>
        <v/>
      </c>
      <c r="X337" s="4" t="n">
        <v>6</v>
      </c>
      <c r="Y337" s="4">
        <f>IF(F337&lt;5,"&lt;5 min",IF(F337&lt;15,"5-15 min",IF(F337&lt;30,"15-30 min","30+ min")))</f>
        <v/>
      </c>
    </row>
    <row r="338">
      <c r="A338" s="3" t="n">
        <v>45967</v>
      </c>
      <c r="B338" s="4" t="inlineStr">
        <is>
          <t>Thursday</t>
        </is>
      </c>
      <c r="C338" s="4" t="inlineStr">
        <is>
          <t>Nov 25</t>
        </is>
      </c>
      <c r="D338" s="4" t="inlineStr">
        <is>
          <t>06/11/2025, 6:52 pm</t>
        </is>
      </c>
      <c r="E338" s="4" t="inlineStr">
        <is>
          <t>06/11/2025, 6:54 pm</t>
        </is>
      </c>
      <c r="F338" s="4">
        <f>(E338-D338)*24*60</f>
        <v/>
      </c>
      <c r="G338" s="4" t="inlineStr">
        <is>
          <t>Vacon engineers &amp; contractors</t>
        </is>
      </c>
      <c r="H338" s="4" t="inlineStr">
        <is>
          <t>001fw000009ZXnGAAW</t>
        </is>
      </c>
      <c r="I338" s="4" t="n">
        <v>831003</v>
      </c>
      <c r="J338" s="4" t="inlineStr">
        <is>
          <t>EAST SINGHBUM</t>
        </is>
      </c>
      <c r="K338" s="4" t="inlineStr"/>
      <c r="L338" s="4" t="inlineStr">
        <is>
          <t>Influencer</t>
        </is>
      </c>
      <c r="M338" s="4" t="inlineStr">
        <is>
          <t>Got future date</t>
        </is>
      </c>
      <c r="N338" s="4" t="inlineStr">
        <is>
          <t>Archietect and engineer of ihb commercial and real estate projects.rates given 56000 landed to the customer through retailer.</t>
        </is>
      </c>
      <c r="O338" s="4" t="inlineStr">
        <is>
          <t>Will connect us later. Need time waiting for demand from customer end.</t>
        </is>
      </c>
      <c r="P338" s="4" t="inlineStr">
        <is>
          <t>Archietect and engineer of ihb commercial and real estate projects.rates given 56000 landed to the customer through retailer. | Will connect us later. Need time waiting for demand from customer end.</t>
        </is>
      </c>
      <c r="Q338" s="4">
        <f>LEN(TRIM(P338))-LEN(SUBSTITUTE(P338," ",""))+1</f>
        <v/>
      </c>
      <c r="R338" s="4" t="n">
        <v>22.8075006</v>
      </c>
      <c r="S338" s="4" t="n">
        <v>86.22190519999999</v>
      </c>
      <c r="T338" s="4">
        <f>COUNTIF($G$2:G338,G338)</f>
        <v/>
      </c>
      <c r="U338" s="4">
        <f>IF(F338&lt;5,"YES","NO")</f>
        <v/>
      </c>
      <c r="V338" s="4">
        <f>IF(AND(N338&lt;&gt;"",O338&lt;&gt;""),"YES","NO")</f>
        <v/>
      </c>
      <c r="W338" s="4">
        <f>IF(HOUR(D338)&lt;12,"Morning",IF(HOUR(D338)&lt;17,"Afternoon","Evening"))</f>
        <v/>
      </c>
      <c r="X338" s="4" t="n">
        <v>6</v>
      </c>
      <c r="Y338" s="4">
        <f>IF(F338&lt;5,"&lt;5 min",IF(F338&lt;15,"5-15 min",IF(F338&lt;30,"15-30 min","30+ min")))</f>
        <v/>
      </c>
    </row>
    <row r="339">
      <c r="A339" s="3" t="n">
        <v>45973</v>
      </c>
      <c r="B339" s="4" t="inlineStr">
        <is>
          <t>Wednesday</t>
        </is>
      </c>
      <c r="C339" s="4" t="inlineStr">
        <is>
          <t>Nov 25</t>
        </is>
      </c>
      <c r="D339" s="4" t="inlineStr">
        <is>
          <t>12/11/2025, 3:28 pm</t>
        </is>
      </c>
      <c r="E339" s="4" t="inlineStr">
        <is>
          <t>12/11/2025, 3:33 pm</t>
        </is>
      </c>
      <c r="F339" s="4">
        <f>(E339-D339)*24*60</f>
        <v/>
      </c>
      <c r="G339" s="4" t="inlineStr">
        <is>
          <t>Vacon engineers &amp; contractors</t>
        </is>
      </c>
      <c r="H339" s="4" t="inlineStr">
        <is>
          <t>001fw000009ZXnGAAW</t>
        </is>
      </c>
      <c r="I339" s="4" t="n">
        <v>831003</v>
      </c>
      <c r="J339" s="4" t="inlineStr">
        <is>
          <t>EAST SINGHBUM</t>
        </is>
      </c>
      <c r="K339" s="4" t="inlineStr"/>
      <c r="L339" s="4" t="inlineStr">
        <is>
          <t>Influencer</t>
        </is>
      </c>
      <c r="M339" s="4" t="inlineStr">
        <is>
          <t>Got future date</t>
        </is>
      </c>
      <c r="N339" s="4" t="inlineStr">
        <is>
          <t>Ihb contractor and influencer of commercial projects. Rates given 57500 landed to the customer. Discussed with customer.</t>
        </is>
      </c>
      <c r="O339" s="4" t="inlineStr">
        <is>
          <t>Will give us a call when inquiry comes to him .</t>
        </is>
      </c>
      <c r="P339" s="4" t="inlineStr">
        <is>
          <t>Ihb contractor and influencer of commercial projects. Rates given 57500 landed to the customer. Discussed with customer. | Will give us a call when inquiry comes to him .</t>
        </is>
      </c>
      <c r="Q339" s="4">
        <f>LEN(TRIM(P339))-LEN(SUBSTITUTE(P339," ",""))+1</f>
        <v/>
      </c>
      <c r="R339" s="4" t="n">
        <v>22.8067783</v>
      </c>
      <c r="S339" s="4" t="n">
        <v>86.22299599999999</v>
      </c>
      <c r="T339" s="4">
        <f>COUNTIF($G$2:G339,G339)</f>
        <v/>
      </c>
      <c r="U339" s="4">
        <f>IF(F339&lt;5,"YES","NO")</f>
        <v/>
      </c>
      <c r="V339" s="4">
        <f>IF(AND(N339&lt;&gt;"",O339&lt;&gt;""),"YES","NO")</f>
        <v/>
      </c>
      <c r="W339" s="4">
        <f>IF(HOUR(D339)&lt;12,"Morning",IF(HOUR(D339)&lt;17,"Afternoon","Evening"))</f>
        <v/>
      </c>
      <c r="X339" s="4" t="n">
        <v>8</v>
      </c>
      <c r="Y339" s="4">
        <f>IF(F339&lt;5,"&lt;5 min",IF(F339&lt;15,"5-15 min",IF(F339&lt;30,"15-30 min","30+ min")))</f>
        <v/>
      </c>
    </row>
    <row r="340">
      <c r="A340" s="3" t="n">
        <v>46001</v>
      </c>
      <c r="B340" s="4" t="inlineStr">
        <is>
          <t>Wednesday</t>
        </is>
      </c>
      <c r="C340" s="4" t="inlineStr">
        <is>
          <t>Dec 25</t>
        </is>
      </c>
      <c r="D340" s="4" t="inlineStr">
        <is>
          <t>10/12/2025, 6:36 pm</t>
        </is>
      </c>
      <c r="E340" s="4" t="inlineStr">
        <is>
          <t>10/12/2025, 6:38 pm</t>
        </is>
      </c>
      <c r="F340" s="4">
        <f>(E340-D340)*24*60</f>
        <v/>
      </c>
      <c r="G340" s="4" t="inlineStr">
        <is>
          <t>Vacon engineers &amp; contractors</t>
        </is>
      </c>
      <c r="H340" s="4" t="inlineStr">
        <is>
          <t>001fw000009ZXnGAAW</t>
        </is>
      </c>
      <c r="I340" s="4" t="n">
        <v>831003</v>
      </c>
      <c r="J340" s="4" t="inlineStr">
        <is>
          <t>EAST SINGHBUM</t>
        </is>
      </c>
      <c r="K340" s="4" t="inlineStr"/>
      <c r="L340" s="4" t="inlineStr">
        <is>
          <t>Influencer</t>
        </is>
      </c>
      <c r="M340" s="4" t="inlineStr">
        <is>
          <t>Got future date</t>
        </is>
      </c>
      <c r="N340" s="4" t="inlineStr">
        <is>
          <t>Ihb and commercial project contractor. Rates given 56000 landed to the dealer asking to connect later. Using rungta and shyam steel .</t>
        </is>
      </c>
      <c r="O340" s="4" t="inlineStr">
        <is>
          <t>Asking to connect later. Will share us inquiry when it comes.</t>
        </is>
      </c>
      <c r="P340" s="4" t="inlineStr">
        <is>
          <t>Ihb and commercial project contractor. Rates given 56000 landed to the dealer asking to connect later. Using rungta and shyam steel . | Asking to connect later. Will share us inquiry when it comes.</t>
        </is>
      </c>
      <c r="Q340" s="4">
        <f>LEN(TRIM(P340))-LEN(SUBSTITUTE(P340," ",""))+1</f>
        <v/>
      </c>
      <c r="R340" s="4" t="n">
        <v>22.8086463</v>
      </c>
      <c r="S340" s="4" t="n">
        <v>86.219126</v>
      </c>
      <c r="T340" s="4">
        <f>COUNTIF($G$2:G340,G340)</f>
        <v/>
      </c>
      <c r="U340" s="4">
        <f>IF(F340&lt;5,"YES","NO")</f>
        <v/>
      </c>
      <c r="V340" s="4">
        <f>IF(AND(N340&lt;&gt;"",O340&lt;&gt;""),"YES","NO")</f>
        <v/>
      </c>
      <c r="W340" s="4">
        <f>IF(HOUR(D340)&lt;12,"Morning",IF(HOUR(D340)&lt;17,"Afternoon","Evening"))</f>
        <v/>
      </c>
      <c r="X340" s="4" t="n">
        <v>7</v>
      </c>
      <c r="Y340" s="4">
        <f>IF(F340&lt;5,"&lt;5 min",IF(F340&lt;15,"5-15 min",IF(F340&lt;30,"15-30 min","30+ min")))</f>
        <v/>
      </c>
    </row>
    <row r="341">
      <c r="A341" s="3" t="n">
        <v>46028</v>
      </c>
      <c r="B341" s="4" t="inlineStr">
        <is>
          <t>Tuesday</t>
        </is>
      </c>
      <c r="C341" s="4" t="inlineStr">
        <is>
          <t>Jan 26</t>
        </is>
      </c>
      <c r="D341" s="4" t="inlineStr">
        <is>
          <t>06/01/2026, 6:40 pm</t>
        </is>
      </c>
      <c r="E341" s="4" t="inlineStr">
        <is>
          <t>06/01/2026, 6:42 pm</t>
        </is>
      </c>
      <c r="F341" s="4">
        <f>(E341-D341)*24*60</f>
        <v/>
      </c>
      <c r="G341" s="4" t="inlineStr">
        <is>
          <t>Vacon engineers &amp; contractors</t>
        </is>
      </c>
      <c r="H341" s="4" t="inlineStr">
        <is>
          <t>001fw000009ZXnGAAW</t>
        </is>
      </c>
      <c r="I341" s="4" t="n">
        <v>831003</v>
      </c>
      <c r="J341" s="4" t="inlineStr">
        <is>
          <t>EAST SINGHBUM</t>
        </is>
      </c>
      <c r="K341" s="4" t="inlineStr"/>
      <c r="L341" s="4" t="inlineStr">
        <is>
          <t>Influencer</t>
        </is>
      </c>
      <c r="M341" s="4" t="inlineStr">
        <is>
          <t>Got future date</t>
        </is>
      </c>
      <c r="N341" s="4" t="inlineStr">
        <is>
          <t>IHB and commercial project contractor. Using panther rungta and Tata. Will connect us. Rates given 59500 landed to him.</t>
        </is>
      </c>
      <c r="O341" s="4" t="inlineStr">
        <is>
          <t>Need time for sending demand. Will connect to nearby retailer or us for rates.</t>
        </is>
      </c>
      <c r="P341" s="4" t="inlineStr">
        <is>
          <t>IHB and commercial project contractor. Using panther rungta and Tata. Will connect us. Rates given 59500 landed to him. | Need time for sending demand. Will connect to nearby retailer or us for rates.</t>
        </is>
      </c>
      <c r="Q341" s="4">
        <f>LEN(TRIM(P341))-LEN(SUBSTITUTE(P341," ",""))+1</f>
        <v/>
      </c>
      <c r="R341" s="4" t="n">
        <v>22.8072484</v>
      </c>
      <c r="S341" s="4" t="n">
        <v>86.22241630000001</v>
      </c>
      <c r="T341" s="4">
        <f>COUNTIF($G$2:G341,G341)</f>
        <v/>
      </c>
      <c r="U341" s="4">
        <f>IF(F341&lt;5,"YES","NO")</f>
        <v/>
      </c>
      <c r="V341" s="4">
        <f>IF(AND(N341&lt;&gt;"",O341&lt;&gt;""),"YES","NO")</f>
        <v/>
      </c>
      <c r="W341" s="4">
        <f>IF(HOUR(D341)&lt;12,"Morning",IF(HOUR(D341)&lt;17,"Afternoon","Evening"))</f>
        <v/>
      </c>
      <c r="X341" s="4" t="n">
        <v>7</v>
      </c>
      <c r="Y341" s="4">
        <f>IF(F341&lt;5,"&lt;5 min",IF(F341&lt;15,"5-15 min",IF(F341&lt;30,"15-30 min","30+ min")))</f>
        <v/>
      </c>
    </row>
    <row r="342">
      <c r="A342" s="3" t="n">
        <v>46038</v>
      </c>
      <c r="B342" s="4" t="inlineStr">
        <is>
          <t>Friday</t>
        </is>
      </c>
      <c r="C342" s="4" t="inlineStr">
        <is>
          <t>Jan 26</t>
        </is>
      </c>
      <c r="D342" s="4" t="inlineStr">
        <is>
          <t>16/01/2026, 1:58 pm</t>
        </is>
      </c>
      <c r="E342" s="4" t="inlineStr">
        <is>
          <t>16/01/2026, 2:05 pm</t>
        </is>
      </c>
      <c r="F342" s="4">
        <f>(E342-D342)*24*60</f>
        <v/>
      </c>
      <c r="G342" s="4" t="inlineStr">
        <is>
          <t>Vacon engineers &amp; contractors</t>
        </is>
      </c>
      <c r="H342" s="4" t="inlineStr">
        <is>
          <t>001fw000009ZXnGAAW</t>
        </is>
      </c>
      <c r="I342" s="4" t="n">
        <v>831003</v>
      </c>
      <c r="J342" s="4" t="inlineStr">
        <is>
          <t>EAST SINGHBUM</t>
        </is>
      </c>
      <c r="K342" s="4" t="inlineStr"/>
      <c r="L342" s="4" t="inlineStr">
        <is>
          <t>Influencer</t>
        </is>
      </c>
      <c r="M342" s="4" t="inlineStr">
        <is>
          <t>Got future date</t>
        </is>
      </c>
      <c r="N342" s="4" t="inlineStr">
        <is>
          <t>IHB CONTRACTOR USING using rungta and shyam steel. Rates given 61500 landed to the CUSTUMER.</t>
        </is>
      </c>
      <c r="O342" s="4" t="inlineStr">
        <is>
          <t>Will connect us on inquiry received from end CUSTUMER within this week.</t>
        </is>
      </c>
      <c r="P342" s="4" t="inlineStr">
        <is>
          <t>IHB CONTRACTOR USING using rungta and shyam steel. Rates given 61500 landed to the CUSTUMER. | Will connect us on inquiry received from end CUSTUMER within this week.</t>
        </is>
      </c>
      <c r="Q342" s="4">
        <f>LEN(TRIM(P342))-LEN(SUBSTITUTE(P342," ",""))+1</f>
        <v/>
      </c>
      <c r="R342" s="4" t="n">
        <v>22.8063641</v>
      </c>
      <c r="S342" s="4" t="n">
        <v>86.222847</v>
      </c>
      <c r="T342" s="4">
        <f>COUNTIF($G$2:G342,G342)</f>
        <v/>
      </c>
      <c r="U342" s="4">
        <f>IF(F342&lt;5,"YES","NO")</f>
        <v/>
      </c>
      <c r="V342" s="4">
        <f>IF(AND(N342&lt;&gt;"",O342&lt;&gt;""),"YES","NO")</f>
        <v/>
      </c>
      <c r="W342" s="4">
        <f>IF(HOUR(D342)&lt;12,"Morning",IF(HOUR(D342)&lt;17,"Afternoon","Evening"))</f>
        <v/>
      </c>
      <c r="X342" s="4" t="n">
        <v>6</v>
      </c>
      <c r="Y342" s="4">
        <f>IF(F342&lt;5,"&lt;5 min",IF(F342&lt;15,"5-15 min",IF(F342&lt;30,"15-30 min","30+ min")))</f>
        <v/>
      </c>
    </row>
    <row r="343">
      <c r="A343" s="3" t="n">
        <v>46050</v>
      </c>
      <c r="B343" s="4" t="inlineStr">
        <is>
          <t>Wednesday</t>
        </is>
      </c>
      <c r="C343" s="4" t="inlineStr">
        <is>
          <t>Jan 26</t>
        </is>
      </c>
      <c r="D343" s="4" t="inlineStr">
        <is>
          <t>28/01/2026, 5:36 pm</t>
        </is>
      </c>
      <c r="E343" s="4" t="inlineStr">
        <is>
          <t>28/01/2026, 5:41 pm</t>
        </is>
      </c>
      <c r="F343" s="4">
        <f>(E343-D343)*24*60</f>
        <v/>
      </c>
      <c r="G343" s="4" t="inlineStr">
        <is>
          <t>Vacon engineers &amp; contractors</t>
        </is>
      </c>
      <c r="H343" s="4" t="inlineStr">
        <is>
          <t>001fw000009ZXnGAAW</t>
        </is>
      </c>
      <c r="I343" s="4" t="n">
        <v>831003</v>
      </c>
      <c r="J343" s="4" t="inlineStr">
        <is>
          <t>EAST SINGHBUM</t>
        </is>
      </c>
      <c r="K343" s="4" t="inlineStr"/>
      <c r="L343" s="4" t="inlineStr">
        <is>
          <t>Influencer</t>
        </is>
      </c>
      <c r="M343" s="4" t="inlineStr">
        <is>
          <t>Got future date</t>
        </is>
      </c>
      <c r="N343" s="4" t="inlineStr">
        <is>
          <t>IHB CONTRACTOR USING RUNGTA TMT srmb tmt. Rates given 64000 landed to the CUSTUMER. Waiting for site indent</t>
        </is>
      </c>
      <c r="O343" s="4" t="inlineStr">
        <is>
          <t>Last purchase srmb 3 Mt @ 61 landed as per Demand of custumer. Will take rates this time.</t>
        </is>
      </c>
      <c r="P343" s="4" t="inlineStr">
        <is>
          <t>IHB CONTRACTOR USING RUNGTA TMT srmb tmt. Rates given 64000 landed to the CUSTUMER. Waiting for site indent | Last purchase srmb 3 Mt @ 61 landed as per Demand of custumer. Will take rates this time.</t>
        </is>
      </c>
      <c r="Q343" s="4">
        <f>LEN(TRIM(P343))-LEN(SUBSTITUTE(P343," ",""))+1</f>
        <v/>
      </c>
      <c r="R343" s="4" t="n">
        <v>22.8121278</v>
      </c>
      <c r="S343" s="4" t="n">
        <v>86.2151506</v>
      </c>
      <c r="T343" s="4">
        <f>COUNTIF($G$2:G343,G343)</f>
        <v/>
      </c>
      <c r="U343" s="4">
        <f>IF(F343&lt;5,"YES","NO")</f>
        <v/>
      </c>
      <c r="V343" s="4">
        <f>IF(AND(N343&lt;&gt;"",O343&lt;&gt;""),"YES","NO")</f>
        <v/>
      </c>
      <c r="W343" s="4">
        <f>IF(HOUR(D343)&lt;12,"Morning",IF(HOUR(D343)&lt;17,"Afternoon","Evening"))</f>
        <v/>
      </c>
      <c r="X343" s="4" t="n">
        <v>7</v>
      </c>
      <c r="Y343" s="4">
        <f>IF(F343&lt;5,"&lt;5 min",IF(F343&lt;15,"5-15 min",IF(F343&lt;30,"15-30 min","30+ min")))</f>
        <v/>
      </c>
    </row>
    <row r="344">
      <c r="A344" s="3" t="n">
        <v>45992</v>
      </c>
      <c r="B344" s="4" t="inlineStr">
        <is>
          <t>Monday</t>
        </is>
      </c>
      <c r="C344" s="4" t="inlineStr">
        <is>
          <t>Dec 25</t>
        </is>
      </c>
      <c r="D344" s="4" t="inlineStr">
        <is>
          <t>01/12/2025, 7:15 pm</t>
        </is>
      </c>
      <c r="E344" s="4" t="inlineStr">
        <is>
          <t>01/12/2025, 7:16 pm</t>
        </is>
      </c>
      <c r="F344" s="4">
        <f>(E344-D344)*24*60</f>
        <v/>
      </c>
      <c r="G344" s="4" t="inlineStr">
        <is>
          <t>WELCOME STEEL</t>
        </is>
      </c>
      <c r="H344" s="4" t="inlineStr">
        <is>
          <t>001J100000VnqMZIAZ</t>
        </is>
      </c>
      <c r="I344" s="4" t="n">
        <v>832110</v>
      </c>
      <c r="J344" s="4" t="inlineStr">
        <is>
          <t>East Singhbhum</t>
        </is>
      </c>
      <c r="K344" s="4" t="inlineStr"/>
      <c r="L344" s="4" t="inlineStr">
        <is>
          <t>Retailer PB</t>
        </is>
      </c>
      <c r="M344" s="4" t="inlineStr">
        <is>
          <t>Got future date</t>
        </is>
      </c>
      <c r="N344" s="4" t="inlineStr">
        <is>
          <t>Dealer of shyam steel and rungta tmt. Rates given 55500 landed to the dealer. Will connect later</t>
        </is>
      </c>
      <c r="O344" s="4" t="inlineStr">
        <is>
          <t>Will connect when demand comes to him by end custumer.</t>
        </is>
      </c>
      <c r="P344" s="4" t="inlineStr">
        <is>
          <t>Dealer of shyam steel and rungta tmt. Rates given 55500 landed to the dealer. Will connect later | Will connect when demand comes to him by end custumer.</t>
        </is>
      </c>
      <c r="Q344" s="4">
        <f>LEN(TRIM(P344))-LEN(SUBSTITUTE(P344," ",""))+1</f>
        <v/>
      </c>
      <c r="R344" s="4" t="n">
        <v>22.8521128</v>
      </c>
      <c r="S344" s="4" t="n">
        <v>86.2053641</v>
      </c>
      <c r="T344" s="4">
        <f>COUNTIF($G$2:G344,G344)</f>
        <v/>
      </c>
      <c r="U344" s="4">
        <f>IF(F344&lt;5,"YES","NO")</f>
        <v/>
      </c>
      <c r="V344" s="4">
        <f>IF(AND(N344&lt;&gt;"",O344&lt;&gt;""),"YES","NO")</f>
        <v/>
      </c>
      <c r="W344" s="4">
        <f>IF(HOUR(D344)&lt;12,"Morning",IF(HOUR(D344)&lt;17,"Afternoon","Evening"))</f>
        <v/>
      </c>
      <c r="X344" s="4" t="n">
        <v>6</v>
      </c>
      <c r="Y344" s="4">
        <f>IF(F344&lt;5,"&lt;5 min",IF(F344&lt;15,"5-15 min",IF(F344&lt;30,"15-30 min","30+ min")))</f>
        <v/>
      </c>
    </row>
    <row r="345">
      <c r="A345" s="3" t="n">
        <v>45999</v>
      </c>
      <c r="B345" s="4" t="inlineStr">
        <is>
          <t>Monday</t>
        </is>
      </c>
      <c r="C345" s="4" t="inlineStr">
        <is>
          <t>Dec 25</t>
        </is>
      </c>
      <c r="D345" s="4" t="inlineStr">
        <is>
          <t>08/12/2025, 7:28 pm</t>
        </is>
      </c>
      <c r="E345" s="4" t="inlineStr">
        <is>
          <t>08/12/2025, 7:32 pm</t>
        </is>
      </c>
      <c r="F345" s="4">
        <f>(E345-D345)*24*60</f>
        <v/>
      </c>
      <c r="G345" s="4" t="inlineStr">
        <is>
          <t>WELCOME STEEL</t>
        </is>
      </c>
      <c r="H345" s="4" t="inlineStr">
        <is>
          <t>001J100000VnqMZIAZ</t>
        </is>
      </c>
      <c r="I345" s="4" t="n">
        <v>832110</v>
      </c>
      <c r="J345" s="4" t="inlineStr">
        <is>
          <t>East Singhbhum</t>
        </is>
      </c>
      <c r="K345" s="4" t="inlineStr"/>
      <c r="L345" s="4" t="inlineStr">
        <is>
          <t>Retailer PB</t>
        </is>
      </c>
      <c r="M345" s="4" t="inlineStr">
        <is>
          <t>Got future date</t>
        </is>
      </c>
      <c r="N345" s="4" t="inlineStr">
        <is>
          <t>Dealer of shyam steel and rungta tmt . Rates given 55000 landed to the dealer. Will connect us with inquiry.</t>
        </is>
      </c>
      <c r="O345" s="4" t="inlineStr">
        <is>
          <t>Will share inquiry within this week . Need this week for stock material at outlet.</t>
        </is>
      </c>
      <c r="P345" s="4" t="inlineStr">
        <is>
          <t>Dealer of shyam steel and rungta tmt . Rates given 55000 landed to the dealer. Will connect us with inquiry. | Will share inquiry within this week . Need this week for stock material at outlet.</t>
        </is>
      </c>
      <c r="Q345" s="4">
        <f>LEN(TRIM(P345))-LEN(SUBSTITUTE(P345," ",""))+1</f>
        <v/>
      </c>
      <c r="R345" s="4" t="n">
        <v>22.8436501</v>
      </c>
      <c r="S345" s="4" t="n">
        <v>86.20234689999999</v>
      </c>
      <c r="T345" s="4">
        <f>COUNTIF($G$2:G345,G345)</f>
        <v/>
      </c>
      <c r="U345" s="4">
        <f>IF(F345&lt;5,"YES","NO")</f>
        <v/>
      </c>
      <c r="V345" s="4">
        <f>IF(AND(N345&lt;&gt;"",O345&lt;&gt;""),"YES","NO")</f>
        <v/>
      </c>
      <c r="W345" s="4">
        <f>IF(HOUR(D345)&lt;12,"Morning",IF(HOUR(D345)&lt;17,"Afternoon","Evening"))</f>
        <v/>
      </c>
      <c r="X345" s="4" t="n">
        <v>6</v>
      </c>
      <c r="Y345" s="4">
        <f>IF(F345&lt;5,"&lt;5 min",IF(F345&lt;15,"5-15 min",IF(F345&lt;30,"15-30 min","30+ min")))</f>
        <v/>
      </c>
    </row>
    <row r="346">
      <c r="A346" s="3" t="n">
        <v>46015</v>
      </c>
      <c r="B346" s="4" t="inlineStr">
        <is>
          <t>Wednesday</t>
        </is>
      </c>
      <c r="C346" s="4" t="inlineStr">
        <is>
          <t>Dec 25</t>
        </is>
      </c>
      <c r="D346" s="4" t="inlineStr">
        <is>
          <t>24/12/2025, 5:44 pm</t>
        </is>
      </c>
      <c r="E346" s="4" t="inlineStr"/>
      <c r="F346" s="4">
        <f>(E346-D346)*24*60</f>
        <v/>
      </c>
      <c r="G346" s="4" t="inlineStr">
        <is>
          <t>WELCOME STEEL</t>
        </is>
      </c>
      <c r="H346" s="4" t="inlineStr">
        <is>
          <t>001J100000VnqMZIAZ</t>
        </is>
      </c>
      <c r="I346" s="4" t="n">
        <v>832110</v>
      </c>
      <c r="J346" s="4" t="inlineStr">
        <is>
          <t>East Singhbhum</t>
        </is>
      </c>
      <c r="K346" s="4" t="inlineStr"/>
      <c r="L346" s="4" t="inlineStr">
        <is>
          <t>Retailer PB</t>
        </is>
      </c>
      <c r="M346" s="4" t="inlineStr"/>
      <c r="N346" s="4" t="inlineStr">
        <is>
          <t>Dealer of jsw one Tata tiscon and rungta tmt. Rates given 57000 landed to the custumer .</t>
        </is>
      </c>
      <c r="O346" s="4" t="inlineStr"/>
      <c r="P346" s="4" t="inlineStr">
        <is>
          <t xml:space="preserve">Dealer of jsw one Tata tiscon and rungta tmt. Rates given 57000 landed to the custumer . | </t>
        </is>
      </c>
      <c r="Q346" s="4">
        <f>LEN(TRIM(P346))-LEN(SUBSTITUTE(P346," ",""))+1</f>
        <v/>
      </c>
      <c r="R346" s="4" t="n">
        <v>22.8518457</v>
      </c>
      <c r="S346" s="4" t="n">
        <v>86.20600349999999</v>
      </c>
      <c r="T346" s="4">
        <f>COUNTIF($G$2:G346,G346)</f>
        <v/>
      </c>
      <c r="U346" s="4">
        <f>IF(F346&lt;5,"YES","NO")</f>
        <v/>
      </c>
      <c r="V346" s="4">
        <f>IF(AND(N346&lt;&gt;"",O346&lt;&gt;""),"YES","NO")</f>
        <v/>
      </c>
      <c r="W346" s="4">
        <f>IF(HOUR(D346)&lt;12,"Morning",IF(HOUR(D346)&lt;17,"Afternoon","Evening"))</f>
        <v/>
      </c>
      <c r="X346" s="4" t="n">
        <v>8</v>
      </c>
      <c r="Y346" s="4">
        <f>IF(F346&lt;5,"&lt;5 min",IF(F346&lt;15,"5-15 min",IF(F346&lt;30,"15-30 min","30+ min")))</f>
        <v/>
      </c>
    </row>
    <row r="347">
      <c r="A347" s="3" t="n">
        <v>46015</v>
      </c>
      <c r="B347" s="4" t="inlineStr">
        <is>
          <t>Wednesday</t>
        </is>
      </c>
      <c r="C347" s="4" t="inlineStr">
        <is>
          <t>Dec 25</t>
        </is>
      </c>
      <c r="D347" s="4" t="inlineStr">
        <is>
          <t>24/12/2025, 6:17 pm</t>
        </is>
      </c>
      <c r="E347" s="4" t="inlineStr">
        <is>
          <t>24/12/2025, 6:18 pm</t>
        </is>
      </c>
      <c r="F347" s="4">
        <f>(E347-D347)*24*60</f>
        <v/>
      </c>
      <c r="G347" s="4" t="inlineStr">
        <is>
          <t>WELCOME STEEL</t>
        </is>
      </c>
      <c r="H347" s="4" t="inlineStr">
        <is>
          <t>001J100000VnqMZIAZ</t>
        </is>
      </c>
      <c r="I347" s="4" t="n">
        <v>832110</v>
      </c>
      <c r="J347" s="4" t="inlineStr">
        <is>
          <t>East Singhbhum</t>
        </is>
      </c>
      <c r="K347" s="4" t="inlineStr"/>
      <c r="L347" s="4" t="inlineStr">
        <is>
          <t>Retailer PB</t>
        </is>
      </c>
      <c r="M347" s="4" t="inlineStr">
        <is>
          <t>Got future date</t>
        </is>
      </c>
      <c r="N347" s="4" t="inlineStr">
        <is>
          <t>Dealer of Tata steel jsw one and shyam steel . Rates given 57000 landed to the dealer.</t>
        </is>
      </c>
      <c r="O347" s="4" t="inlineStr">
        <is>
          <t>Asking to connect once demand comes to them . Need time. Selling shyam @ 59000 landed.</t>
        </is>
      </c>
      <c r="P347" s="4" t="inlineStr">
        <is>
          <t>Dealer of Tata steel jsw one and shyam steel . Rates given 57000 landed to the dealer. | Asking to connect once demand comes to them . Need time. Selling shyam @ 59000 landed.</t>
        </is>
      </c>
      <c r="Q347" s="4">
        <f>LEN(TRIM(P347))-LEN(SUBSTITUTE(P347," ",""))+1</f>
        <v/>
      </c>
      <c r="R347" s="4" t="n">
        <v>22.852089</v>
      </c>
      <c r="S347" s="4" t="n">
        <v>86.20595710000001</v>
      </c>
      <c r="T347" s="4">
        <f>COUNTIF($G$2:G347,G347)</f>
        <v/>
      </c>
      <c r="U347" s="4">
        <f>IF(F347&lt;5,"YES","NO")</f>
        <v/>
      </c>
      <c r="V347" s="4">
        <f>IF(AND(N347&lt;&gt;"",O347&lt;&gt;""),"YES","NO")</f>
        <v/>
      </c>
      <c r="W347" s="4">
        <f>IF(HOUR(D347)&lt;12,"Morning",IF(HOUR(D347)&lt;17,"Afternoon","Evening"))</f>
        <v/>
      </c>
      <c r="X347" s="4" t="n">
        <v>8</v>
      </c>
      <c r="Y347" s="4">
        <f>IF(F347&lt;5,"&lt;5 min",IF(F347&lt;15,"5-15 min",IF(F347&lt;30,"15-30 min","30+ min")))</f>
        <v/>
      </c>
    </row>
    <row r="348">
      <c r="A348" s="3" t="n">
        <v>46020</v>
      </c>
      <c r="B348" s="4" t="inlineStr">
        <is>
          <t>Monday</t>
        </is>
      </c>
      <c r="C348" s="4" t="inlineStr">
        <is>
          <t>Dec 25</t>
        </is>
      </c>
      <c r="D348" s="4" t="inlineStr">
        <is>
          <t>29/12/2025, 5:59 pm</t>
        </is>
      </c>
      <c r="E348" s="4" t="inlineStr">
        <is>
          <t>29/12/2025, 6:01 pm</t>
        </is>
      </c>
      <c r="F348" s="4">
        <f>(E348-D348)*24*60</f>
        <v/>
      </c>
      <c r="G348" s="4" t="inlineStr">
        <is>
          <t>WELCOME STEEL</t>
        </is>
      </c>
      <c r="H348" s="4" t="inlineStr">
        <is>
          <t>001J100000VnqMZIAZ</t>
        </is>
      </c>
      <c r="I348" s="4" t="n">
        <v>832110</v>
      </c>
      <c r="J348" s="4" t="inlineStr">
        <is>
          <t>East Singhbhum</t>
        </is>
      </c>
      <c r="K348" s="4" t="inlineStr"/>
      <c r="L348" s="4" t="inlineStr">
        <is>
          <t>Retailer PB</t>
        </is>
      </c>
      <c r="M348" s="4" t="inlineStr">
        <is>
          <t>Got future date</t>
        </is>
      </c>
      <c r="N348" s="4" t="inlineStr">
        <is>
          <t>Dealer of shyam steel . Tiscon . Rc rungta. Rates given 57000 landed to the dealer .</t>
        </is>
      </c>
      <c r="O348" s="4" t="inlineStr">
        <is>
          <t>Will share inquiry to us. Need time for inquiry.</t>
        </is>
      </c>
      <c r="P348" s="4" t="inlineStr">
        <is>
          <t>Dealer of shyam steel . Tiscon . Rc rungta. Rates given 57000 landed to the dealer . | Will share inquiry to us. Need time for inquiry.</t>
        </is>
      </c>
      <c r="Q348" s="4">
        <f>LEN(TRIM(P348))-LEN(SUBSTITUTE(P348," ",""))+1</f>
        <v/>
      </c>
      <c r="R348" s="4" t="n">
        <v>22.8522961</v>
      </c>
      <c r="S348" s="4" t="n">
        <v>86.20406869999999</v>
      </c>
      <c r="T348" s="4">
        <f>COUNTIF($G$2:G348,G348)</f>
        <v/>
      </c>
      <c r="U348" s="4">
        <f>IF(F348&lt;5,"YES","NO")</f>
        <v/>
      </c>
      <c r="V348" s="4">
        <f>IF(AND(N348&lt;&gt;"",O348&lt;&gt;""),"YES","NO")</f>
        <v/>
      </c>
      <c r="W348" s="4">
        <f>IF(HOUR(D348)&lt;12,"Morning",IF(HOUR(D348)&lt;17,"Afternoon","Evening"))</f>
        <v/>
      </c>
      <c r="X348" s="4" t="n">
        <v>6</v>
      </c>
      <c r="Y348" s="4">
        <f>IF(F348&lt;5,"&lt;5 min",IF(F348&lt;15,"5-15 min",IF(F348&lt;30,"15-30 min","30+ min")))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44" customWidth="1" min="3" max="3"/>
    <col width="19" customWidth="1" min="4" max="4"/>
    <col width="27" customWidth="1" min="5" max="5"/>
    <col width="23" customWidth="1" min="6" max="6"/>
    <col width="50" customWidth="1" min="7" max="7"/>
    <col width="50" customWidth="1" min="8" max="8"/>
    <col width="22" customWidth="1" min="9" max="9"/>
  </cols>
  <sheetData>
    <row r="1">
      <c r="A1" s="2" t="inlineStr">
        <is>
          <t>Month</t>
        </is>
      </c>
      <c r="B1" s="2" t="inlineStr">
        <is>
          <t>Total Visits</t>
        </is>
      </c>
      <c r="C1" s="2" t="inlineStr">
        <is>
          <t>Working Days</t>
        </is>
      </c>
      <c r="D1" s="2" t="inlineStr">
        <is>
          <t>Avg Visits/Day</t>
        </is>
      </c>
      <c r="E1" s="2" t="inlineStr">
        <is>
          <t>Days Meeting Target (&gt;=6)</t>
        </is>
      </c>
      <c r="F1" s="2" t="inlineStr">
        <is>
          <t>% Days on Target</t>
        </is>
      </c>
      <c r="G1" s="2" t="inlineStr">
        <is>
          <t>Avg Duration (min)</t>
        </is>
      </c>
      <c r="H1" s="2" t="inlineStr">
        <is>
          <t>Total Field Hours</t>
        </is>
      </c>
      <c r="I1" s="2" t="inlineStr">
        <is>
          <t>Variance from Target</t>
        </is>
      </c>
    </row>
    <row r="2">
      <c r="A2" s="4" t="inlineStr">
        <is>
          <t>Nov 25</t>
        </is>
      </c>
      <c r="B2" s="4">
        <f>COUNTIF(Daily_Visit_Log!$C:$C,"Nov 25")</f>
        <v/>
      </c>
      <c r="C2" s="4">
        <f>COUNTIF(Daily_Visit_Log!$C:$C,"Nov 25")/6</f>
        <v/>
      </c>
      <c r="D2" s="4">
        <f>IF(C2&gt;0,B2/C2,0)</f>
        <v/>
      </c>
      <c r="E2" s="4" t="n">
        <v>0</v>
      </c>
      <c r="F2" s="4">
        <f>IF(C2&gt;0,E2/C2*100,0)</f>
        <v/>
      </c>
      <c r="G2" s="4">
        <f>AVERAGEIF(Daily_Visit_Log!$C:$C,"Nov 25",Daily_Visit_Log!$F:$F)</f>
        <v/>
      </c>
      <c r="H2" s="4">
        <f>SUMIF(Daily_Visit_Log!$C:$C,"Nov 25",Daily_Visit_Log!$F:$F)/60</f>
        <v/>
      </c>
      <c r="I2" s="4">
        <f>D2-6</f>
        <v/>
      </c>
    </row>
    <row r="3">
      <c r="A3" s="4" t="inlineStr">
        <is>
          <t>Dec 25</t>
        </is>
      </c>
      <c r="B3" s="4">
        <f>COUNTIF(Daily_Visit_Log!$C:$C,"Dec 25")</f>
        <v/>
      </c>
      <c r="C3" s="4">
        <f>COUNTIF(Daily_Visit_Log!$C:$C,"Dec 25")/6</f>
        <v/>
      </c>
      <c r="D3" s="4">
        <f>IF(C3&gt;0,B3/C3,0)</f>
        <v/>
      </c>
      <c r="E3" s="4" t="n">
        <v>0</v>
      </c>
      <c r="F3" s="4">
        <f>IF(C3&gt;0,E3/C3*100,0)</f>
        <v/>
      </c>
      <c r="G3" s="4">
        <f>AVERAGEIF(Daily_Visit_Log!$C:$C,"Dec 25",Daily_Visit_Log!$F:$F)</f>
        <v/>
      </c>
      <c r="H3" s="4">
        <f>SUMIF(Daily_Visit_Log!$C:$C,"Dec 25",Daily_Visit_Log!$F:$F)/60</f>
        <v/>
      </c>
      <c r="I3" s="4">
        <f>D3-6</f>
        <v/>
      </c>
    </row>
    <row r="4">
      <c r="A4" s="4" t="inlineStr">
        <is>
          <t>Jan 26</t>
        </is>
      </c>
      <c r="B4" s="4">
        <f>COUNTIF(Daily_Visit_Log!$C:$C,"Jan 26")</f>
        <v/>
      </c>
      <c r="C4" s="4">
        <f>COUNTIF(Daily_Visit_Log!$C:$C,"Jan 26")/6</f>
        <v/>
      </c>
      <c r="D4" s="4">
        <f>IF(C4&gt;0,B4/C4,0)</f>
        <v/>
      </c>
      <c r="E4" s="4" t="n">
        <v>0</v>
      </c>
      <c r="F4" s="4">
        <f>IF(C4&gt;0,E4/C4*100,0)</f>
        <v/>
      </c>
      <c r="G4" s="4">
        <f>AVERAGEIF(Daily_Visit_Log!$C:$C,"Jan 26",Daily_Visit_Log!$F:$F)</f>
        <v/>
      </c>
      <c r="H4" s="4">
        <f>SUMIF(Daily_Visit_Log!$C:$C,"Jan 26",Daily_Visit_Log!$F:$F)/60</f>
        <v/>
      </c>
      <c r="I4" s="4">
        <f>D4-6</f>
        <v/>
      </c>
    </row>
    <row r="5">
      <c r="A5" s="4" t="inlineStr">
        <is>
          <t>Feb 26</t>
        </is>
      </c>
      <c r="B5" s="4">
        <f>COUNTIF(Daily_Visit_Log!$C:$C,"Feb 26")</f>
        <v/>
      </c>
      <c r="C5" s="4">
        <f>COUNTIF(Daily_Visit_Log!$C:$C,"Feb 26")/6</f>
        <v/>
      </c>
      <c r="D5" s="4">
        <f>IF(C5&gt;0,B5/C5,0)</f>
        <v/>
      </c>
      <c r="E5" s="4" t="n">
        <v>0</v>
      </c>
      <c r="F5" s="4">
        <f>IF(C5&gt;0,E5/C5*100,0)</f>
        <v/>
      </c>
      <c r="G5" s="4">
        <f>AVERAGEIF(Daily_Visit_Log!$C:$C,"Feb 26",Daily_Visit_Log!$F:$F)</f>
        <v/>
      </c>
      <c r="H5" s="4">
        <f>SUMIF(Daily_Visit_Log!$C:$C,"Feb 26",Daily_Visit_Log!$F:$F)/60</f>
        <v/>
      </c>
      <c r="I5" s="4">
        <f>D5-6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42" customWidth="1" min="5" max="5"/>
    <col width="23" customWidth="1" min="6" max="6"/>
    <col width="18" customWidth="1" min="7" max="7"/>
    <col width="50" customWidth="1" min="8" max="8"/>
    <col width="50" customWidth="1" min="9" max="9"/>
    <col width="23" customWidth="1" min="10" max="10"/>
    <col width="23" customWidth="1" min="11" max="11"/>
    <col width="14" customWidth="1" min="12" max="12"/>
  </cols>
  <sheetData>
    <row r="1">
      <c r="A1" s="2" t="inlineStr">
        <is>
          <t>Month</t>
        </is>
      </c>
      <c r="B1" s="2" t="inlineStr">
        <is>
          <t>Unique Customers</t>
        </is>
      </c>
      <c r="C1" s="2" t="inlineStr">
        <is>
          <t>New Customers</t>
        </is>
      </c>
      <c r="D1" s="2" t="inlineStr">
        <is>
          <t>Repeat Customers</t>
        </is>
      </c>
      <c r="E1" s="2" t="inlineStr">
        <is>
          <t>Total Visits</t>
        </is>
      </c>
      <c r="F1" s="2" t="inlineStr">
        <is>
          <t>Repeat Visit Rate (%)</t>
        </is>
      </c>
      <c r="G1" s="2" t="inlineStr">
        <is>
          <t>Unique Pin Codes</t>
        </is>
      </c>
      <c r="H1" s="2" t="inlineStr">
        <is>
          <t>Unique Districts</t>
        </is>
      </c>
      <c r="I1" s="2" t="inlineStr">
        <is>
          <t>Retailer PB Count</t>
        </is>
      </c>
      <c r="J1" s="2" t="inlineStr">
        <is>
          <t>Influencer Count</t>
        </is>
      </c>
      <c r="K1" s="2" t="inlineStr">
        <is>
          <t>Retailer %</t>
        </is>
      </c>
      <c r="L1" s="2" t="inlineStr">
        <is>
          <t>Influencer %</t>
        </is>
      </c>
    </row>
    <row r="2">
      <c r="A2" s="4" t="inlineStr">
        <is>
          <t>Nov 25</t>
        </is>
      </c>
      <c r="B2" s="4" t="n">
        <v>0</v>
      </c>
      <c r="C2" s="4" t="n">
        <v>0</v>
      </c>
      <c r="D2" s="4" t="n">
        <v>0</v>
      </c>
      <c r="E2" s="4">
        <f>COUNTIF(Daily_Visit_Log!$C:$C,"Nov 25")</f>
        <v/>
      </c>
      <c r="F2" s="4" t="n">
        <v>0</v>
      </c>
      <c r="G2" s="4" t="n">
        <v>0</v>
      </c>
      <c r="H2" s="4">
        <f>COUNTIFS(Daily_Visit_Log!$C:$C,"Nov 25",Daily_Visit_Log!$L:$L,"Retailer PB")</f>
        <v/>
      </c>
      <c r="I2" s="4">
        <f>COUNTIFS(Daily_Visit_Log!$C:$C,"Nov 25",Daily_Visit_Log!$L:$L,"Influencer")</f>
        <v/>
      </c>
      <c r="J2" s="4">
        <f>IF(E2&gt;0,H2/E2*100,0)</f>
        <v/>
      </c>
      <c r="K2" s="4">
        <f>IF(E2&gt;0,I2/E2*100,0)</f>
        <v/>
      </c>
      <c r="L2" s="4" t="n">
        <v>0</v>
      </c>
    </row>
    <row r="3">
      <c r="A3" s="4" t="inlineStr">
        <is>
          <t>Dec 25</t>
        </is>
      </c>
      <c r="B3" s="4" t="n">
        <v>0</v>
      </c>
      <c r="C3" s="4" t="n">
        <v>0</v>
      </c>
      <c r="D3" s="4" t="n">
        <v>0</v>
      </c>
      <c r="E3" s="4">
        <f>COUNTIF(Daily_Visit_Log!$C:$C,"Dec 25")</f>
        <v/>
      </c>
      <c r="F3" s="4" t="n">
        <v>0</v>
      </c>
      <c r="G3" s="4" t="n">
        <v>0</v>
      </c>
      <c r="H3" s="4">
        <f>COUNTIFS(Daily_Visit_Log!$C:$C,"Dec 25",Daily_Visit_Log!$L:$L,"Retailer PB")</f>
        <v/>
      </c>
      <c r="I3" s="4">
        <f>COUNTIFS(Daily_Visit_Log!$C:$C,"Dec 25",Daily_Visit_Log!$L:$L,"Influencer")</f>
        <v/>
      </c>
      <c r="J3" s="4">
        <f>IF(E3&gt;0,H3/E3*100,0)</f>
        <v/>
      </c>
      <c r="K3" s="4">
        <f>IF(E3&gt;0,I3/E3*100,0)</f>
        <v/>
      </c>
      <c r="L3" s="4" t="n">
        <v>0</v>
      </c>
    </row>
    <row r="4">
      <c r="A4" s="4" t="inlineStr">
        <is>
          <t>Jan 26</t>
        </is>
      </c>
      <c r="B4" s="4" t="n">
        <v>0</v>
      </c>
      <c r="C4" s="4" t="n">
        <v>0</v>
      </c>
      <c r="D4" s="4" t="n">
        <v>0</v>
      </c>
      <c r="E4" s="4">
        <f>COUNTIF(Daily_Visit_Log!$C:$C,"Jan 26")</f>
        <v/>
      </c>
      <c r="F4" s="4" t="n">
        <v>0</v>
      </c>
      <c r="G4" s="4" t="n">
        <v>0</v>
      </c>
      <c r="H4" s="4">
        <f>COUNTIFS(Daily_Visit_Log!$C:$C,"Jan 26",Daily_Visit_Log!$L:$L,"Retailer PB")</f>
        <v/>
      </c>
      <c r="I4" s="4">
        <f>COUNTIFS(Daily_Visit_Log!$C:$C,"Jan 26",Daily_Visit_Log!$L:$L,"Influencer")</f>
        <v/>
      </c>
      <c r="J4" s="4">
        <f>IF(E4&gt;0,H4/E4*100,0)</f>
        <v/>
      </c>
      <c r="K4" s="4">
        <f>IF(E4&gt;0,I4/E4*100,0)</f>
        <v/>
      </c>
      <c r="L4" s="4" t="n">
        <v>0</v>
      </c>
    </row>
    <row r="5">
      <c r="A5" s="4" t="inlineStr">
        <is>
          <t>Feb 26</t>
        </is>
      </c>
      <c r="B5" s="4" t="n">
        <v>0</v>
      </c>
      <c r="C5" s="4" t="n">
        <v>0</v>
      </c>
      <c r="D5" s="4" t="n">
        <v>0</v>
      </c>
      <c r="E5" s="4">
        <f>COUNTIF(Daily_Visit_Log!$C:$C,"Feb 26")</f>
        <v/>
      </c>
      <c r="F5" s="4" t="n">
        <v>0</v>
      </c>
      <c r="G5" s="4" t="n">
        <v>0</v>
      </c>
      <c r="H5" s="4">
        <f>COUNTIFS(Daily_Visit_Log!$C:$C,"Feb 26",Daily_Visit_Log!$L:$L,"Retailer PB")</f>
        <v/>
      </c>
      <c r="I5" s="4">
        <f>COUNTIFS(Daily_Visit_Log!$C:$C,"Feb 26",Daily_Visit_Log!$L:$L,"Influencer")</f>
        <v/>
      </c>
      <c r="J5" s="4">
        <f>IF(E5&gt;0,H5/E5*100,0)</f>
        <v/>
      </c>
      <c r="K5" s="4">
        <f>IF(E5&gt;0,I5/E5*100,0)</f>
        <v/>
      </c>
      <c r="L5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2" t="inlineStr">
        <is>
          <t>Metric</t>
        </is>
      </c>
      <c r="B1" s="2" t="inlineStr">
        <is>
          <t>Nov 25</t>
        </is>
      </c>
      <c r="C1" s="2" t="inlineStr">
        <is>
          <t>Dec 25</t>
        </is>
      </c>
      <c r="D1" s="2" t="inlineStr">
        <is>
          <t>Jan 26</t>
        </is>
      </c>
      <c r="E1" s="2" t="inlineStr">
        <is>
          <t>Feb 26</t>
        </is>
      </c>
      <c r="F1" s="2" t="inlineStr">
        <is>
          <t>Trend</t>
        </is>
      </c>
      <c r="G1" s="2" t="inlineStr">
        <is>
          <t>% Change (Nov-Feb)</t>
        </is>
      </c>
    </row>
    <row r="2">
      <c r="A2" s="4" t="inlineStr">
        <is>
          <t>Total Visits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inlineStr"/>
      <c r="G2" s="4" t="n">
        <v>0</v>
      </c>
    </row>
    <row r="3">
      <c r="A3" s="4" t="inlineStr">
        <is>
          <t>Avg Visits/Day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inlineStr"/>
      <c r="G3" s="4" t="n">
        <v>0</v>
      </c>
    </row>
    <row r="4">
      <c r="A4" s="4" t="inlineStr">
        <is>
          <t>Unique Customers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inlineStr"/>
      <c r="G4" s="4" t="n">
        <v>0</v>
      </c>
    </row>
    <row r="5">
      <c r="A5" s="4" t="inlineStr">
        <is>
          <t>Unique Pin Codes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inlineStr"/>
      <c r="G5" s="4" t="n">
        <v>0</v>
      </c>
    </row>
    <row r="6">
      <c r="A6" s="4" t="inlineStr">
        <is>
          <t>Avg Duration (min)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inlineStr"/>
      <c r="G6" s="4" t="n">
        <v>0</v>
      </c>
    </row>
    <row r="7">
      <c r="A7" s="4" t="inlineStr">
        <is>
          <t>Total Field Hours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inlineStr"/>
      <c r="G7" s="4" t="n">
        <v>0</v>
      </c>
    </row>
    <row r="8">
      <c r="A8" s="4" t="inlineStr">
        <is>
          <t>% Short Visits (&lt;5 min)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inlineStr"/>
      <c r="G8" s="4" t="n">
        <v>0</v>
      </c>
    </row>
    <row r="9">
      <c r="A9" s="4" t="inlineStr">
        <is>
          <t>% Complete Documentation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/>
      <c r="G9" s="4" t="n">
        <v>0</v>
      </c>
    </row>
    <row r="10">
      <c r="A10" s="4" t="inlineStr">
        <is>
          <t>Working Days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inlineStr"/>
      <c r="G10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4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Performance Dimension</t>
        </is>
      </c>
      <c r="B1" s="2" t="inlineStr">
        <is>
          <t>Metric</t>
        </is>
      </c>
      <c r="C1" s="2" t="inlineStr">
        <is>
          <t>Target/Benchmark</t>
        </is>
      </c>
      <c r="D1" s="2" t="inlineStr">
        <is>
          <t>Nov 25</t>
        </is>
      </c>
      <c r="E1" s="2" t="inlineStr">
        <is>
          <t>Dec 25</t>
        </is>
      </c>
      <c r="F1" s="2" t="inlineStr">
        <is>
          <t>Jan 26</t>
        </is>
      </c>
      <c r="G1" s="2" t="inlineStr">
        <is>
          <t>Feb 26</t>
        </is>
      </c>
      <c r="H1" s="2" t="inlineStr">
        <is>
          <t>Overall</t>
        </is>
      </c>
      <c r="I1" s="2" t="inlineStr">
        <is>
          <t>Rating</t>
        </is>
      </c>
    </row>
    <row r="2">
      <c r="A2" s="4" t="inlineStr">
        <is>
          <t>Visit Productivity</t>
        </is>
      </c>
      <c r="B2" s="4" t="inlineStr">
        <is>
          <t>Visits per Day</t>
        </is>
      </c>
      <c r="C2" s="4" t="n">
        <v>6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inlineStr"/>
    </row>
    <row r="3">
      <c r="A3" s="4" t="inlineStr">
        <is>
          <t>Territory Coverage</t>
        </is>
      </c>
      <c r="B3" s="4" t="inlineStr">
        <is>
          <t>Unique Customers per Month</t>
        </is>
      </c>
      <c r="C3" s="4" t="n">
        <v>50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inlineStr"/>
    </row>
    <row r="4">
      <c r="A4" s="4" t="inlineStr">
        <is>
          <t>Geographic Spread</t>
        </is>
      </c>
      <c r="B4" s="4" t="inlineStr">
        <is>
          <t>Unique Pin Codes</t>
        </is>
      </c>
      <c r="C4" s="4" t="n">
        <v>10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inlineStr"/>
    </row>
    <row r="5">
      <c r="A5" s="4" t="inlineStr">
        <is>
          <t>Visit Quality</t>
        </is>
      </c>
      <c r="B5" s="4" t="inlineStr">
        <is>
          <t>Avg Duration (min)</t>
        </is>
      </c>
      <c r="C5" s="4" t="n">
        <v>15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inlineStr"/>
    </row>
    <row r="6">
      <c r="A6" s="4" t="inlineStr">
        <is>
          <t>Quality Red Flags: Short Visits</t>
        </is>
      </c>
      <c r="B6" s="4" t="inlineStr">
        <is>
          <t>% Short Visits (&lt;5 min)</t>
        </is>
      </c>
      <c r="C6" s="4" t="inlineStr">
        <is>
          <t>&lt;10%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inlineStr"/>
    </row>
    <row r="7">
      <c r="A7" s="4" t="inlineStr">
        <is>
          <t>Quality Red Flags: High Frequency Repeats</t>
        </is>
      </c>
      <c r="B7" s="4" t="inlineStr">
        <is>
          <t>% High Frequency Customers (10+ visits)</t>
        </is>
      </c>
      <c r="C7" s="4" t="inlineStr">
        <is>
          <t>&lt;5%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7" customWidth="1" min="4" max="4"/>
    <col width="20" customWidth="1" min="5" max="5"/>
    <col width="20" customWidth="1" min="6" max="6"/>
    <col width="22" customWidth="1" min="7" max="7"/>
  </cols>
  <sheetData>
    <row r="1">
      <c r="A1" s="2" t="inlineStr">
        <is>
          <t>Customer Name</t>
        </is>
      </c>
      <c r="B1" s="2" t="inlineStr">
        <is>
          <t>Total Visits</t>
        </is>
      </c>
      <c r="C1" s="2" t="inlineStr">
        <is>
          <t>Visit Dates (first 10)</t>
        </is>
      </c>
      <c r="D1" s="2" t="inlineStr">
        <is>
          <t>Outcomes</t>
        </is>
      </c>
      <c r="E1" s="2" t="inlineStr">
        <is>
          <t>Account SF Id</t>
        </is>
      </c>
      <c r="F1" s="2" t="inlineStr">
        <is>
          <t>Avg Duration (min)</t>
        </is>
      </c>
      <c r="G1" s="2" t="inlineStr">
        <is>
          <t>Visit Frequency Flag</t>
        </is>
      </c>
    </row>
    <row r="2">
      <c r="A2" s="4" t="inlineStr">
        <is>
          <t>AAKASH INDIA PROJECTS &amp; BUILDERS PRIVATE LIMITED</t>
        </is>
      </c>
      <c r="B2" s="4" t="n">
        <v>10</v>
      </c>
      <c r="C2" s="4" t="inlineStr">
        <is>
          <t>05/11/2025, 14/11/2025, 20/11/2025, 03/12/2025, 22/12/2025, 29/12/2025, 05/01/2026, 13/01/2026, 19/01/2026, 04/02/2026</t>
        </is>
      </c>
      <c r="D2" s="4" t="inlineStr">
        <is>
          <t>Got future date</t>
        </is>
      </c>
      <c r="E2" s="4" t="inlineStr">
        <is>
          <t>001J100000Vo0f6IAB</t>
        </is>
      </c>
      <c r="F2" s="4" t="n">
        <v>0</v>
      </c>
      <c r="G2" s="4" t="inlineStr">
        <is>
          <t>High (10+)</t>
        </is>
      </c>
    </row>
    <row r="3">
      <c r="A3" s="4" t="inlineStr">
        <is>
          <t>Aakash india construction</t>
        </is>
      </c>
      <c r="B3" s="4" t="n">
        <v>16</v>
      </c>
      <c r="C3" s="4" t="inlineStr">
        <is>
          <t>05/11/2025, 06/11/2025, 08/11/2025, 12/11/2025, 13/11/2025, 17/11/2025, 21/11/2025, 10/12/2025, 12/12/2025, 16/12/2025</t>
        </is>
      </c>
      <c r="D3" s="4" t="inlineStr">
        <is>
          <t>Got future date</t>
        </is>
      </c>
      <c r="E3" s="4" t="inlineStr">
        <is>
          <t>001fw000007kcXiAAI</t>
        </is>
      </c>
      <c r="F3" s="4" t="n">
        <v>0</v>
      </c>
      <c r="G3" s="4" t="inlineStr">
        <is>
          <t>High (10+)</t>
        </is>
      </c>
    </row>
    <row r="4">
      <c r="A4" s="4" t="inlineStr">
        <is>
          <t>SOIL TO SKY PROJECTS PRIVATE LIMITED</t>
        </is>
      </c>
      <c r="B4" s="4" t="n">
        <v>10</v>
      </c>
      <c r="C4" s="4" t="inlineStr">
        <is>
          <t>13/11/2025, 05/12/2025, 10/12/2025, 19/12/2025, 31/12/2025, 07/01/2026, 12/01/2026, 21/01/2026, 23/01/2026, 30/01/2026</t>
        </is>
      </c>
      <c r="D4" s="4" t="inlineStr">
        <is>
          <t>Got future date</t>
        </is>
      </c>
      <c r="E4" s="4" t="inlineStr">
        <is>
          <t>001fw000004W8jPAAS</t>
        </is>
      </c>
      <c r="F4" s="4" t="n">
        <v>0</v>
      </c>
      <c r="G4" s="4" t="inlineStr">
        <is>
          <t>High (10+)</t>
        </is>
      </c>
    </row>
    <row r="5">
      <c r="A5" s="4" t="inlineStr">
        <is>
          <t>Sahu contruction</t>
        </is>
      </c>
      <c r="B5" s="4" t="n">
        <v>10</v>
      </c>
      <c r="C5" s="4" t="inlineStr">
        <is>
          <t>14/11/2025, 21/11/2025, 24/11/2025, 05/12/2025, 12/12/2025, 26/12/2025, 31/12/2025, 05/01/2026, 09/01/2026, 30/01/2026</t>
        </is>
      </c>
      <c r="D5" s="4" t="inlineStr">
        <is>
          <t>Got future date</t>
        </is>
      </c>
      <c r="E5" s="4" t="inlineStr">
        <is>
          <t>001fw00000CFFeFAAX</t>
        </is>
      </c>
      <c r="F5" s="4" t="n">
        <v>0</v>
      </c>
      <c r="G5" s="4" t="inlineStr">
        <is>
          <t>High (10+)</t>
        </is>
      </c>
    </row>
    <row r="6">
      <c r="A6" s="4" t="inlineStr">
        <is>
          <t>Samay construction</t>
        </is>
      </c>
      <c r="B6" s="4" t="n">
        <v>33</v>
      </c>
      <c r="C6" s="4" t="inlineStr">
        <is>
          <t>06/11/2025, 06/11/2025, 07/11/2025, 08/11/2025, 12/11/2025, 13/11/2025, 17/11/2025, 20/11/2025, 10/12/2025, 12/12/2025</t>
        </is>
      </c>
      <c r="D6" s="4" t="inlineStr">
        <is>
          <t>Got future date</t>
        </is>
      </c>
      <c r="E6" s="4" t="inlineStr">
        <is>
          <t>001fw000007kg6fAAA</t>
        </is>
      </c>
      <c r="F6" s="4" t="n">
        <v>0</v>
      </c>
      <c r="G6" s="4" t="inlineStr">
        <is>
          <t>High (10+)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50" customWidth="1" min="2" max="2"/>
    <col width="22" customWidth="1" min="3" max="3"/>
    <col width="22" customWidth="1" min="4" max="4"/>
    <col width="23" customWidth="1" min="5" max="5"/>
    <col width="23" customWidth="1" min="6" max="6"/>
    <col width="23" customWidth="1" min="7" max="7"/>
    <col width="23" customWidth="1" min="8" max="8"/>
    <col width="24" customWidth="1" min="9" max="9"/>
    <col width="50" customWidth="1" min="10" max="10"/>
  </cols>
  <sheetData>
    <row r="1">
      <c r="A1" s="2" t="inlineStr">
        <is>
          <t>Date</t>
        </is>
      </c>
      <c r="B1" s="2" t="inlineStr">
        <is>
          <t>Account: Registered Company Name</t>
        </is>
      </c>
      <c r="C1" s="2" t="inlineStr">
        <is>
          <t>Check-in Date/Time</t>
        </is>
      </c>
      <c r="D1" s="2" t="inlineStr">
        <is>
          <t>Check-out Date/Time</t>
        </is>
      </c>
      <c r="E1" s="2" t="inlineStr">
        <is>
          <t>Meeting outcome</t>
        </is>
      </c>
      <c r="F1" s="2" t="inlineStr">
        <is>
          <t>Duration (min)</t>
        </is>
      </c>
      <c r="G1" s="2" t="inlineStr">
        <is>
          <t>Duration Band</t>
        </is>
      </c>
      <c r="H1" s="2" t="inlineStr">
        <is>
          <t>Comments Word Count</t>
        </is>
      </c>
      <c r="I1" s="2" t="inlineStr">
        <is>
          <t>Red Flag</t>
        </is>
      </c>
      <c r="J1" s="2" t="inlineStr">
        <is>
          <t>Quality Score</t>
        </is>
      </c>
    </row>
    <row r="2">
      <c r="A2" s="3" t="n">
        <v>45995</v>
      </c>
      <c r="B2" s="4" t="inlineStr">
        <is>
          <t>A.S ENTERPRISES</t>
        </is>
      </c>
      <c r="C2" s="4" t="inlineStr">
        <is>
          <t>04/12/2025, 5:09 pm</t>
        </is>
      </c>
      <c r="D2" s="4" t="inlineStr">
        <is>
          <t>04/12/2025, 5:10 pm</t>
        </is>
      </c>
      <c r="E2" s="4" t="inlineStr">
        <is>
          <t>Account created</t>
        </is>
      </c>
      <c r="F2" s="4">
        <f>Daily_Visit_Log!F2</f>
        <v/>
      </c>
      <c r="G2" s="4">
        <f>Daily_Visit_Log!Y2</f>
        <v/>
      </c>
      <c r="H2" s="4">
        <f>Daily_Visit_Log!Q2</f>
        <v/>
      </c>
      <c r="I2" s="4">
        <f>IF(F2&lt;5,"YES","NO")</f>
        <v/>
      </c>
      <c r="J2" s="4">
        <f>MIN(100,IF(F2&gt;=30,50,IF(F2&gt;=15,40,IF(F2&gt;=5,25,10)))+IF(H2&gt;=50,50,IF(H2&gt;=30,40,IF(H2&gt;=20,30,IF(H2&gt;=10,20,10)))))</f>
        <v/>
      </c>
    </row>
    <row r="3">
      <c r="A3" s="3" t="n">
        <v>45966</v>
      </c>
      <c r="B3" s="4" t="inlineStr">
        <is>
          <t>AAKASH INDIA PROJECTS &amp; BUILDERS PRIVATE LIMITED</t>
        </is>
      </c>
      <c r="C3" s="4" t="inlineStr">
        <is>
          <t>05/11/2025, 4:25 pm</t>
        </is>
      </c>
      <c r="D3" s="4" t="inlineStr">
        <is>
          <t>05/11/2025, 4:28 pm</t>
        </is>
      </c>
      <c r="E3" s="4" t="inlineStr">
        <is>
          <t>Got future date</t>
        </is>
      </c>
      <c r="F3" s="4">
        <f>Daily_Visit_Log!F3</f>
        <v/>
      </c>
      <c r="G3" s="4">
        <f>Daily_Visit_Log!Y3</f>
        <v/>
      </c>
      <c r="H3" s="4">
        <f>Daily_Visit_Log!Q3</f>
        <v/>
      </c>
      <c r="I3" s="4">
        <f>IF(F3&lt;5,"YES","NO")</f>
        <v/>
      </c>
      <c r="J3" s="4">
        <f>MIN(100,IF(F3&gt;=30,50,IF(F3&gt;=15,40,IF(F3&gt;=5,25,10)))+IF(H3&gt;=50,50,IF(H3&gt;=30,40,IF(H3&gt;=20,30,IF(H3&gt;=10,20,10)))))</f>
        <v/>
      </c>
    </row>
    <row r="4">
      <c r="A4" s="3" t="n">
        <v>45975</v>
      </c>
      <c r="B4" s="4" t="inlineStr">
        <is>
          <t>AAKASH INDIA PROJECTS &amp; BUILDERS PRIVATE LIMITED</t>
        </is>
      </c>
      <c r="C4" s="4" t="inlineStr">
        <is>
          <t>14/11/2025, 3:58 pm</t>
        </is>
      </c>
      <c r="D4" s="4" t="inlineStr">
        <is>
          <t>14/11/2025, 3:58 pm</t>
        </is>
      </c>
      <c r="E4" s="4" t="inlineStr">
        <is>
          <t>Got future date</t>
        </is>
      </c>
      <c r="F4" s="4">
        <f>Daily_Visit_Log!F4</f>
        <v/>
      </c>
      <c r="G4" s="4">
        <f>Daily_Visit_Log!Y4</f>
        <v/>
      </c>
      <c r="H4" s="4">
        <f>Daily_Visit_Log!Q4</f>
        <v/>
      </c>
      <c r="I4" s="4">
        <f>IF(F4&lt;5,"YES","NO")</f>
        <v/>
      </c>
      <c r="J4" s="4">
        <f>MIN(100,IF(F4&gt;=30,50,IF(F4&gt;=15,40,IF(F4&gt;=5,25,10)))+IF(H4&gt;=50,50,IF(H4&gt;=30,40,IF(H4&gt;=20,30,IF(H4&gt;=10,20,10)))))</f>
        <v/>
      </c>
    </row>
    <row r="5">
      <c r="A5" s="3" t="n">
        <v>45981</v>
      </c>
      <c r="B5" s="4" t="inlineStr">
        <is>
          <t>AAKASH INDIA PROJECTS &amp; BUILDERS PRIVATE LIMITED</t>
        </is>
      </c>
      <c r="C5" s="4" t="inlineStr">
        <is>
          <t>20/11/2025, 5:30 pm</t>
        </is>
      </c>
      <c r="D5" s="4" t="inlineStr">
        <is>
          <t>20/11/2025, 5:32 pm</t>
        </is>
      </c>
      <c r="E5" s="4" t="inlineStr">
        <is>
          <t>Got future date</t>
        </is>
      </c>
      <c r="F5" s="4">
        <f>Daily_Visit_Log!F5</f>
        <v/>
      </c>
      <c r="G5" s="4">
        <f>Daily_Visit_Log!Y5</f>
        <v/>
      </c>
      <c r="H5" s="4">
        <f>Daily_Visit_Log!Q5</f>
        <v/>
      </c>
      <c r="I5" s="4">
        <f>IF(F5&lt;5,"YES","NO")</f>
        <v/>
      </c>
      <c r="J5" s="4">
        <f>MIN(100,IF(F5&gt;=30,50,IF(F5&gt;=15,40,IF(F5&gt;=5,25,10)))+IF(H5&gt;=50,50,IF(H5&gt;=30,40,IF(H5&gt;=20,30,IF(H5&gt;=10,20,10)))))</f>
        <v/>
      </c>
    </row>
    <row r="6">
      <c r="A6" s="3" t="n">
        <v>45994</v>
      </c>
      <c r="B6" s="4" t="inlineStr">
        <is>
          <t>AAKASH INDIA PROJECTS &amp; BUILDERS PRIVATE LIMITED</t>
        </is>
      </c>
      <c r="C6" s="4" t="inlineStr">
        <is>
          <t>03/12/2025, 11:41 am</t>
        </is>
      </c>
      <c r="D6" s="4" t="inlineStr">
        <is>
          <t>03/12/2025, 11:43 am</t>
        </is>
      </c>
      <c r="E6" s="4" t="inlineStr">
        <is>
          <t>Got future date</t>
        </is>
      </c>
      <c r="F6" s="4">
        <f>Daily_Visit_Log!F6</f>
        <v/>
      </c>
      <c r="G6" s="4">
        <f>Daily_Visit_Log!Y6</f>
        <v/>
      </c>
      <c r="H6" s="4">
        <f>Daily_Visit_Log!Q6</f>
        <v/>
      </c>
      <c r="I6" s="4">
        <f>IF(F6&lt;5,"YES","NO")</f>
        <v/>
      </c>
      <c r="J6" s="4">
        <f>MIN(100,IF(F6&gt;=30,50,IF(F6&gt;=15,40,IF(F6&gt;=5,25,10)))+IF(H6&gt;=50,50,IF(H6&gt;=30,40,IF(H6&gt;=20,30,IF(H6&gt;=10,20,10)))))</f>
        <v/>
      </c>
    </row>
    <row r="7">
      <c r="A7" s="3" t="n">
        <v>46013</v>
      </c>
      <c r="B7" s="4" t="inlineStr">
        <is>
          <t>AAKASH INDIA PROJECTS &amp; BUILDERS PRIVATE LIMITED</t>
        </is>
      </c>
      <c r="C7" s="4" t="inlineStr">
        <is>
          <t>22/12/2025, 1:57 pm</t>
        </is>
      </c>
      <c r="D7" s="4" t="inlineStr">
        <is>
          <t>22/12/2025, 1:58 pm</t>
        </is>
      </c>
      <c r="E7" s="4" t="inlineStr">
        <is>
          <t>Got future date</t>
        </is>
      </c>
      <c r="F7" s="4">
        <f>Daily_Visit_Log!F7</f>
        <v/>
      </c>
      <c r="G7" s="4">
        <f>Daily_Visit_Log!Y7</f>
        <v/>
      </c>
      <c r="H7" s="4">
        <f>Daily_Visit_Log!Q7</f>
        <v/>
      </c>
      <c r="I7" s="4">
        <f>IF(F7&lt;5,"YES","NO")</f>
        <v/>
      </c>
      <c r="J7" s="4">
        <f>MIN(100,IF(F7&gt;=30,50,IF(F7&gt;=15,40,IF(F7&gt;=5,25,10)))+IF(H7&gt;=50,50,IF(H7&gt;=30,40,IF(H7&gt;=20,30,IF(H7&gt;=10,20,10)))))</f>
        <v/>
      </c>
    </row>
    <row r="8">
      <c r="A8" s="3" t="n">
        <v>46020</v>
      </c>
      <c r="B8" s="4" t="inlineStr">
        <is>
          <t>AAKASH INDIA PROJECTS &amp; BUILDERS PRIVATE LIMITED</t>
        </is>
      </c>
      <c r="C8" s="4" t="inlineStr">
        <is>
          <t>29/12/2025, 2:02 pm</t>
        </is>
      </c>
      <c r="D8" s="4" t="inlineStr">
        <is>
          <t>29/12/2025, 2:04 pm</t>
        </is>
      </c>
      <c r="E8" s="4" t="inlineStr">
        <is>
          <t>Got future date</t>
        </is>
      </c>
      <c r="F8" s="4">
        <f>Daily_Visit_Log!F8</f>
        <v/>
      </c>
      <c r="G8" s="4">
        <f>Daily_Visit_Log!Y8</f>
        <v/>
      </c>
      <c r="H8" s="4">
        <f>Daily_Visit_Log!Q8</f>
        <v/>
      </c>
      <c r="I8" s="4">
        <f>IF(F8&lt;5,"YES","NO")</f>
        <v/>
      </c>
      <c r="J8" s="4">
        <f>MIN(100,IF(F8&gt;=30,50,IF(F8&gt;=15,40,IF(F8&gt;=5,25,10)))+IF(H8&gt;=50,50,IF(H8&gt;=30,40,IF(H8&gt;=20,30,IF(H8&gt;=10,20,10)))))</f>
        <v/>
      </c>
    </row>
    <row r="9">
      <c r="A9" s="3" t="n">
        <v>46027</v>
      </c>
      <c r="B9" s="4" t="inlineStr">
        <is>
          <t>AAKASH INDIA PROJECTS &amp; BUILDERS PRIVATE LIMITED</t>
        </is>
      </c>
      <c r="C9" s="4" t="inlineStr">
        <is>
          <t>05/01/2026, 6:05 pm</t>
        </is>
      </c>
      <c r="D9" s="4" t="inlineStr">
        <is>
          <t>05/01/2026, 6:07 pm</t>
        </is>
      </c>
      <c r="E9" s="4" t="inlineStr">
        <is>
          <t>Got future date</t>
        </is>
      </c>
      <c r="F9" s="4">
        <f>Daily_Visit_Log!F9</f>
        <v/>
      </c>
      <c r="G9" s="4">
        <f>Daily_Visit_Log!Y9</f>
        <v/>
      </c>
      <c r="H9" s="4">
        <f>Daily_Visit_Log!Q9</f>
        <v/>
      </c>
      <c r="I9" s="4">
        <f>IF(F9&lt;5,"YES","NO")</f>
        <v/>
      </c>
      <c r="J9" s="4">
        <f>MIN(100,IF(F9&gt;=30,50,IF(F9&gt;=15,40,IF(F9&gt;=5,25,10)))+IF(H9&gt;=50,50,IF(H9&gt;=30,40,IF(H9&gt;=20,30,IF(H9&gt;=10,20,10)))))</f>
        <v/>
      </c>
    </row>
    <row r="10">
      <c r="A10" s="3" t="n">
        <v>46035</v>
      </c>
      <c r="B10" s="4" t="inlineStr">
        <is>
          <t>AAKASH INDIA PROJECTS &amp; BUILDERS PRIVATE LIMITED</t>
        </is>
      </c>
      <c r="C10" s="4" t="inlineStr">
        <is>
          <t>13/01/2026, 7:33 pm</t>
        </is>
      </c>
      <c r="D10" s="4" t="inlineStr">
        <is>
          <t>13/01/2026, 7:42 pm</t>
        </is>
      </c>
      <c r="E10" s="4" t="inlineStr">
        <is>
          <t>Got future date</t>
        </is>
      </c>
      <c r="F10" s="4">
        <f>Daily_Visit_Log!F10</f>
        <v/>
      </c>
      <c r="G10" s="4">
        <f>Daily_Visit_Log!Y10</f>
        <v/>
      </c>
      <c r="H10" s="4">
        <f>Daily_Visit_Log!Q10</f>
        <v/>
      </c>
      <c r="I10" s="4">
        <f>IF(F10&lt;5,"YES","NO")</f>
        <v/>
      </c>
      <c r="J10" s="4">
        <f>MIN(100,IF(F10&gt;=30,50,IF(F10&gt;=15,40,IF(F10&gt;=5,25,10)))+IF(H10&gt;=50,50,IF(H10&gt;=30,40,IF(H10&gt;=20,30,IF(H10&gt;=10,20,10)))))</f>
        <v/>
      </c>
    </row>
    <row r="11">
      <c r="A11" s="3" t="n">
        <v>46041</v>
      </c>
      <c r="B11" s="4" t="inlineStr">
        <is>
          <t>AAKASH INDIA PROJECTS &amp; BUILDERS PRIVATE LIMITED</t>
        </is>
      </c>
      <c r="C11" s="4" t="inlineStr">
        <is>
          <t>19/01/2026, 6:44 pm</t>
        </is>
      </c>
      <c r="D11" s="4" t="inlineStr">
        <is>
          <t>19/01/2026, 6:45 pm</t>
        </is>
      </c>
      <c r="E11" s="4" t="inlineStr">
        <is>
          <t>Got future date</t>
        </is>
      </c>
      <c r="F11" s="4">
        <f>Daily_Visit_Log!F11</f>
        <v/>
      </c>
      <c r="G11" s="4">
        <f>Daily_Visit_Log!Y11</f>
        <v/>
      </c>
      <c r="H11" s="4">
        <f>Daily_Visit_Log!Q11</f>
        <v/>
      </c>
      <c r="I11" s="4">
        <f>IF(F11&lt;5,"YES","NO")</f>
        <v/>
      </c>
      <c r="J11" s="4">
        <f>MIN(100,IF(F11&gt;=30,50,IF(F11&gt;=15,40,IF(F11&gt;=5,25,10)))+IF(H11&gt;=50,50,IF(H11&gt;=30,40,IF(H11&gt;=20,30,IF(H11&gt;=10,20,10)))))</f>
        <v/>
      </c>
    </row>
    <row r="12">
      <c r="A12" s="3" t="n">
        <v>46057</v>
      </c>
      <c r="B12" s="4" t="inlineStr">
        <is>
          <t>AAKASH INDIA PROJECTS &amp; BUILDERS PRIVATE LIMITED</t>
        </is>
      </c>
      <c r="C12" s="4" t="inlineStr">
        <is>
          <t>04/02/2026, 10:47 am</t>
        </is>
      </c>
      <c r="D12" s="4" t="inlineStr">
        <is>
          <t>04/02/2026, 10:48 am</t>
        </is>
      </c>
      <c r="E12" s="4" t="inlineStr">
        <is>
          <t>Got future date</t>
        </is>
      </c>
      <c r="F12" s="4">
        <f>Daily_Visit_Log!F12</f>
        <v/>
      </c>
      <c r="G12" s="4">
        <f>Daily_Visit_Log!Y12</f>
        <v/>
      </c>
      <c r="H12" s="4">
        <f>Daily_Visit_Log!Q12</f>
        <v/>
      </c>
      <c r="I12" s="4">
        <f>IF(F12&lt;5,"YES","NO")</f>
        <v/>
      </c>
      <c r="J12" s="4">
        <f>MIN(100,IF(F12&gt;=30,50,IF(F12&gt;=15,40,IF(F12&gt;=5,25,10)))+IF(H12&gt;=50,50,IF(H12&gt;=30,40,IF(H12&gt;=20,30,IF(H12&gt;=10,20,10)))))</f>
        <v/>
      </c>
    </row>
    <row r="13">
      <c r="A13" s="3" t="n">
        <v>45965</v>
      </c>
      <c r="B13" s="4" t="inlineStr">
        <is>
          <t>AAKRITI CONSULTANTS</t>
        </is>
      </c>
      <c r="C13" s="4" t="inlineStr">
        <is>
          <t>04/11/2025, 12:27 pm</t>
        </is>
      </c>
      <c r="D13" s="4" t="inlineStr">
        <is>
          <t>04/11/2025, 12:28 pm</t>
        </is>
      </c>
      <c r="E13" s="4" t="inlineStr">
        <is>
          <t>Got future date</t>
        </is>
      </c>
      <c r="F13" s="4">
        <f>Daily_Visit_Log!F13</f>
        <v/>
      </c>
      <c r="G13" s="4">
        <f>Daily_Visit_Log!Y13</f>
        <v/>
      </c>
      <c r="H13" s="4">
        <f>Daily_Visit_Log!Q13</f>
        <v/>
      </c>
      <c r="I13" s="4">
        <f>IF(F13&lt;5,"YES","NO")</f>
        <v/>
      </c>
      <c r="J13" s="4">
        <f>MIN(100,IF(F13&gt;=30,50,IF(F13&gt;=15,40,IF(F13&gt;=5,25,10)))+IF(H13&gt;=50,50,IF(H13&gt;=30,40,IF(H13&gt;=20,30,IF(H13&gt;=10,20,10)))))</f>
        <v/>
      </c>
    </row>
    <row r="14">
      <c r="A14" s="3" t="n">
        <v>45981</v>
      </c>
      <c r="B14" s="4" t="inlineStr">
        <is>
          <t>AAKRITI CONSULTANTS</t>
        </is>
      </c>
      <c r="C14" s="4" t="inlineStr">
        <is>
          <t>20/11/2025, 4:43 pm</t>
        </is>
      </c>
      <c r="D14" s="4" t="inlineStr">
        <is>
          <t>20/11/2025, 4:45 pm</t>
        </is>
      </c>
      <c r="E14" s="4" t="inlineStr">
        <is>
          <t>Got future date</t>
        </is>
      </c>
      <c r="F14" s="4">
        <f>Daily_Visit_Log!F14</f>
        <v/>
      </c>
      <c r="G14" s="4">
        <f>Daily_Visit_Log!Y14</f>
        <v/>
      </c>
      <c r="H14" s="4">
        <f>Daily_Visit_Log!Q14</f>
        <v/>
      </c>
      <c r="I14" s="4">
        <f>IF(F14&lt;5,"YES","NO")</f>
        <v/>
      </c>
      <c r="J14" s="4">
        <f>MIN(100,IF(F14&gt;=30,50,IF(F14&gt;=15,40,IF(F14&gt;=5,25,10)))+IF(H14&gt;=50,50,IF(H14&gt;=30,40,IF(H14&gt;=20,30,IF(H14&gt;=10,20,10)))))</f>
        <v/>
      </c>
    </row>
    <row r="15">
      <c r="A15" s="3" t="n">
        <v>45993</v>
      </c>
      <c r="B15" s="4" t="inlineStr">
        <is>
          <t>AAKRITI CONSULTANTS</t>
        </is>
      </c>
      <c r="C15" s="4" t="inlineStr">
        <is>
          <t>02/12/2025, 11:46 am</t>
        </is>
      </c>
      <c r="D15" s="4" t="inlineStr">
        <is>
          <t>02/12/2025, 11:50 am</t>
        </is>
      </c>
      <c r="E15" s="4" t="inlineStr">
        <is>
          <t>Got future date</t>
        </is>
      </c>
      <c r="F15" s="4">
        <f>Daily_Visit_Log!F15</f>
        <v/>
      </c>
      <c r="G15" s="4">
        <f>Daily_Visit_Log!Y15</f>
        <v/>
      </c>
      <c r="H15" s="4">
        <f>Daily_Visit_Log!Q15</f>
        <v/>
      </c>
      <c r="I15" s="4">
        <f>IF(F15&lt;5,"YES","NO")</f>
        <v/>
      </c>
      <c r="J15" s="4">
        <f>MIN(100,IF(F15&gt;=30,50,IF(F15&gt;=15,40,IF(F15&gt;=5,25,10)))+IF(H15&gt;=50,50,IF(H15&gt;=30,40,IF(H15&gt;=20,30,IF(H15&gt;=10,20,10)))))</f>
        <v/>
      </c>
    </row>
    <row r="16">
      <c r="A16" s="3" t="n">
        <v>45999</v>
      </c>
      <c r="B16" s="4" t="inlineStr">
        <is>
          <t>AAKRITI CONSULTANTS</t>
        </is>
      </c>
      <c r="C16" s="4" t="inlineStr">
        <is>
          <t>08/12/2025, 12:07 pm</t>
        </is>
      </c>
      <c r="D16" s="4" t="inlineStr">
        <is>
          <t>08/12/2025, 12:11 pm</t>
        </is>
      </c>
      <c r="E16" s="4" t="inlineStr">
        <is>
          <t>Got future date</t>
        </is>
      </c>
      <c r="F16" s="4">
        <f>Daily_Visit_Log!F16</f>
        <v/>
      </c>
      <c r="G16" s="4">
        <f>Daily_Visit_Log!Y16</f>
        <v/>
      </c>
      <c r="H16" s="4">
        <f>Daily_Visit_Log!Q16</f>
        <v/>
      </c>
      <c r="I16" s="4">
        <f>IF(F16&lt;5,"YES","NO")</f>
        <v/>
      </c>
      <c r="J16" s="4">
        <f>MIN(100,IF(F16&gt;=30,50,IF(F16&gt;=15,40,IF(F16&gt;=5,25,10)))+IF(H16&gt;=50,50,IF(H16&gt;=30,40,IF(H16&gt;=20,30,IF(H16&gt;=10,20,10)))))</f>
        <v/>
      </c>
    </row>
    <row r="17">
      <c r="A17" s="3" t="n">
        <v>46017</v>
      </c>
      <c r="B17" s="4" t="inlineStr">
        <is>
          <t>AAKRITI CONSULTANTS</t>
        </is>
      </c>
      <c r="C17" s="4" t="inlineStr">
        <is>
          <t>26/12/2025, 11:07 am</t>
        </is>
      </c>
      <c r="D17" s="4" t="inlineStr">
        <is>
          <t>26/12/2025, 11:08 am</t>
        </is>
      </c>
      <c r="E17" s="4" t="inlineStr">
        <is>
          <t>Got future date</t>
        </is>
      </c>
      <c r="F17" s="4">
        <f>Daily_Visit_Log!F17</f>
        <v/>
      </c>
      <c r="G17" s="4">
        <f>Daily_Visit_Log!Y17</f>
        <v/>
      </c>
      <c r="H17" s="4">
        <f>Daily_Visit_Log!Q17</f>
        <v/>
      </c>
      <c r="I17" s="4">
        <f>IF(F17&lt;5,"YES","NO")</f>
        <v/>
      </c>
      <c r="J17" s="4">
        <f>MIN(100,IF(F17&gt;=30,50,IF(F17&gt;=15,40,IF(F17&gt;=5,25,10)))+IF(H17&gt;=50,50,IF(H17&gt;=30,40,IF(H17&gt;=20,30,IF(H17&gt;=10,20,10)))))</f>
        <v/>
      </c>
    </row>
    <row r="18">
      <c r="A18" s="3" t="n">
        <v>46027</v>
      </c>
      <c r="B18" s="4" t="inlineStr">
        <is>
          <t>AAKRITI CONSULTANTS</t>
        </is>
      </c>
      <c r="C18" s="4" t="inlineStr">
        <is>
          <t>05/01/2026, 7:20 pm</t>
        </is>
      </c>
      <c r="D18" s="4" t="inlineStr">
        <is>
          <t>05/01/2026, 7:22 pm</t>
        </is>
      </c>
      <c r="E18" s="4" t="inlineStr">
        <is>
          <t>Got future date</t>
        </is>
      </c>
      <c r="F18" s="4">
        <f>Daily_Visit_Log!F18</f>
        <v/>
      </c>
      <c r="G18" s="4">
        <f>Daily_Visit_Log!Y18</f>
        <v/>
      </c>
      <c r="H18" s="4">
        <f>Daily_Visit_Log!Q18</f>
        <v/>
      </c>
      <c r="I18" s="4">
        <f>IF(F18&lt;5,"YES","NO")</f>
        <v/>
      </c>
      <c r="J18" s="4">
        <f>MIN(100,IF(F18&gt;=30,50,IF(F18&gt;=15,40,IF(F18&gt;=5,25,10)))+IF(H18&gt;=50,50,IF(H18&gt;=30,40,IF(H18&gt;=20,30,IF(H18&gt;=10,20,10)))))</f>
        <v/>
      </c>
    </row>
    <row r="19">
      <c r="A19" s="3" t="n">
        <v>46036</v>
      </c>
      <c r="B19" s="4" t="inlineStr">
        <is>
          <t>AAKRITI CONSULTANTS</t>
        </is>
      </c>
      <c r="C19" s="4" t="inlineStr">
        <is>
          <t>14/01/2026, 11:23 am</t>
        </is>
      </c>
      <c r="D19" s="4" t="inlineStr">
        <is>
          <t>14/01/2026, 11:24 am</t>
        </is>
      </c>
      <c r="E19" s="4" t="inlineStr">
        <is>
          <t>Got future date</t>
        </is>
      </c>
      <c r="F19" s="4">
        <f>Daily_Visit_Log!F19</f>
        <v/>
      </c>
      <c r="G19" s="4">
        <f>Daily_Visit_Log!Y19</f>
        <v/>
      </c>
      <c r="H19" s="4">
        <f>Daily_Visit_Log!Q19</f>
        <v/>
      </c>
      <c r="I19" s="4">
        <f>IF(F19&lt;5,"YES","NO")</f>
        <v/>
      </c>
      <c r="J19" s="4">
        <f>MIN(100,IF(F19&gt;=30,50,IF(F19&gt;=15,40,IF(F19&gt;=5,25,10)))+IF(H19&gt;=50,50,IF(H19&gt;=30,40,IF(H19&gt;=20,30,IF(H19&gt;=10,20,10)))))</f>
        <v/>
      </c>
    </row>
    <row r="20">
      <c r="A20" s="3" t="n">
        <v>46050</v>
      </c>
      <c r="B20" s="4" t="inlineStr">
        <is>
          <t>AAKRITI CONSULTANTS</t>
        </is>
      </c>
      <c r="C20" s="4" t="inlineStr">
        <is>
          <t>28/01/2026, 6:41 pm</t>
        </is>
      </c>
      <c r="D20" s="4" t="inlineStr">
        <is>
          <t>28/01/2026, 6:47 pm</t>
        </is>
      </c>
      <c r="E20" s="4" t="inlineStr">
        <is>
          <t>Got future date</t>
        </is>
      </c>
      <c r="F20" s="4">
        <f>Daily_Visit_Log!F20</f>
        <v/>
      </c>
      <c r="G20" s="4">
        <f>Daily_Visit_Log!Y20</f>
        <v/>
      </c>
      <c r="H20" s="4">
        <f>Daily_Visit_Log!Q20</f>
        <v/>
      </c>
      <c r="I20" s="4">
        <f>IF(F20&lt;5,"YES","NO")</f>
        <v/>
      </c>
      <c r="J20" s="4">
        <f>MIN(100,IF(F20&gt;=30,50,IF(F20&gt;=15,40,IF(F20&gt;=5,25,10)))+IF(H20&gt;=50,50,IF(H20&gt;=30,40,IF(H20&gt;=20,30,IF(H20&gt;=10,20,10)))))</f>
        <v/>
      </c>
    </row>
    <row r="21">
      <c r="A21" s="3" t="n">
        <v>45969</v>
      </c>
      <c r="B21" s="4" t="inlineStr">
        <is>
          <t>AMI INFRA</t>
        </is>
      </c>
      <c r="C21" s="4" t="inlineStr">
        <is>
          <t>08/11/2025, 1:23 pm</t>
        </is>
      </c>
      <c r="D21" s="4" t="inlineStr">
        <is>
          <t>08/11/2025, 1:24 pm</t>
        </is>
      </c>
      <c r="E21" s="4" t="inlineStr">
        <is>
          <t>Got future date</t>
        </is>
      </c>
      <c r="F21" s="4">
        <f>Daily_Visit_Log!F21</f>
        <v/>
      </c>
      <c r="G21" s="4">
        <f>Daily_Visit_Log!Y21</f>
        <v/>
      </c>
      <c r="H21" s="4">
        <f>Daily_Visit_Log!Q21</f>
        <v/>
      </c>
      <c r="I21" s="4">
        <f>IF(F21&lt;5,"YES","NO")</f>
        <v/>
      </c>
      <c r="J21" s="4">
        <f>MIN(100,IF(F21&gt;=30,50,IF(F21&gt;=15,40,IF(F21&gt;=5,25,10)))+IF(H21&gt;=50,50,IF(H21&gt;=30,40,IF(H21&gt;=20,30,IF(H21&gt;=10,20,10)))))</f>
        <v/>
      </c>
    </row>
    <row r="22">
      <c r="A22" s="3" t="n">
        <v>45973</v>
      </c>
      <c r="B22" s="4" t="inlineStr">
        <is>
          <t>AMI INFRA</t>
        </is>
      </c>
      <c r="C22" s="4" t="inlineStr">
        <is>
          <t>12/11/2025, 10:44 am</t>
        </is>
      </c>
      <c r="D22" s="4" t="inlineStr">
        <is>
          <t>12/11/2025, 10:48 am</t>
        </is>
      </c>
      <c r="E22" s="4" t="inlineStr">
        <is>
          <t>Got future date</t>
        </is>
      </c>
      <c r="F22" s="4">
        <f>Daily_Visit_Log!F22</f>
        <v/>
      </c>
      <c r="G22" s="4">
        <f>Daily_Visit_Log!Y22</f>
        <v/>
      </c>
      <c r="H22" s="4">
        <f>Daily_Visit_Log!Q22</f>
        <v/>
      </c>
      <c r="I22" s="4">
        <f>IF(F22&lt;5,"YES","NO")</f>
        <v/>
      </c>
      <c r="J22" s="4">
        <f>MIN(100,IF(F22&gt;=30,50,IF(F22&gt;=15,40,IF(F22&gt;=5,25,10)))+IF(H22&gt;=50,50,IF(H22&gt;=30,40,IF(H22&gt;=20,30,IF(H22&gt;=10,20,10)))))</f>
        <v/>
      </c>
    </row>
    <row r="23">
      <c r="A23" s="3" t="n">
        <v>45995</v>
      </c>
      <c r="B23" s="4" t="inlineStr">
        <is>
          <t>AMI INFRA</t>
        </is>
      </c>
      <c r="C23" s="4" t="inlineStr">
        <is>
          <t>04/12/2025, 11:46 am</t>
        </is>
      </c>
      <c r="D23" s="4" t="inlineStr">
        <is>
          <t>04/12/2025, 11:50 am</t>
        </is>
      </c>
      <c r="E23" s="4" t="inlineStr">
        <is>
          <t>Got future date</t>
        </is>
      </c>
      <c r="F23" s="4">
        <f>Daily_Visit_Log!F23</f>
        <v/>
      </c>
      <c r="G23" s="4">
        <f>Daily_Visit_Log!Y23</f>
        <v/>
      </c>
      <c r="H23" s="4">
        <f>Daily_Visit_Log!Q23</f>
        <v/>
      </c>
      <c r="I23" s="4">
        <f>IF(F23&lt;5,"YES","NO")</f>
        <v/>
      </c>
      <c r="J23" s="4">
        <f>MIN(100,IF(F23&gt;=30,50,IF(F23&gt;=15,40,IF(F23&gt;=5,25,10)))+IF(H23&gt;=50,50,IF(H23&gt;=30,40,IF(H23&gt;=20,30,IF(H23&gt;=10,20,10)))))</f>
        <v/>
      </c>
    </row>
    <row r="24">
      <c r="A24" s="3" t="n">
        <v>46010</v>
      </c>
      <c r="B24" s="4" t="inlineStr">
        <is>
          <t>AMI INFRA</t>
        </is>
      </c>
      <c r="C24" s="4" t="inlineStr">
        <is>
          <t>19/12/2025, 5:10 pm</t>
        </is>
      </c>
      <c r="D24" s="4" t="inlineStr">
        <is>
          <t>19/12/2025, 5:11 pm</t>
        </is>
      </c>
      <c r="E24" s="4" t="inlineStr">
        <is>
          <t>Got future date</t>
        </is>
      </c>
      <c r="F24" s="4">
        <f>Daily_Visit_Log!F24</f>
        <v/>
      </c>
      <c r="G24" s="4">
        <f>Daily_Visit_Log!Y24</f>
        <v/>
      </c>
      <c r="H24" s="4">
        <f>Daily_Visit_Log!Q24</f>
        <v/>
      </c>
      <c r="I24" s="4">
        <f>IF(F24&lt;5,"YES","NO")</f>
        <v/>
      </c>
      <c r="J24" s="4">
        <f>MIN(100,IF(F24&gt;=30,50,IF(F24&gt;=15,40,IF(F24&gt;=5,25,10)))+IF(H24&gt;=50,50,IF(H24&gt;=30,40,IF(H24&gt;=20,30,IF(H24&gt;=10,20,10)))))</f>
        <v/>
      </c>
    </row>
    <row r="25">
      <c r="A25" s="3" t="n">
        <v>46034</v>
      </c>
      <c r="B25" s="4" t="inlineStr">
        <is>
          <t>AMI INFRA</t>
        </is>
      </c>
      <c r="C25" s="4" t="inlineStr">
        <is>
          <t>12/01/2026, 6:18 pm</t>
        </is>
      </c>
      <c r="D25" s="4" t="inlineStr">
        <is>
          <t>12/01/2026, 6:19 pm</t>
        </is>
      </c>
      <c r="E25" s="4" t="inlineStr">
        <is>
          <t>Got future date</t>
        </is>
      </c>
      <c r="F25" s="4">
        <f>Daily_Visit_Log!F25</f>
        <v/>
      </c>
      <c r="G25" s="4">
        <f>Daily_Visit_Log!Y25</f>
        <v/>
      </c>
      <c r="H25" s="4">
        <f>Daily_Visit_Log!Q25</f>
        <v/>
      </c>
      <c r="I25" s="4">
        <f>IF(F25&lt;5,"YES","NO")</f>
        <v/>
      </c>
      <c r="J25" s="4">
        <f>MIN(100,IF(F25&gt;=30,50,IF(F25&gt;=15,40,IF(F25&gt;=5,25,10)))+IF(H25&gt;=50,50,IF(H25&gt;=30,40,IF(H25&gt;=20,30,IF(H25&gt;=10,20,10)))))</f>
        <v/>
      </c>
    </row>
    <row r="26">
      <c r="A26" s="3" t="n">
        <v>46051</v>
      </c>
      <c r="B26" s="4" t="inlineStr">
        <is>
          <t>AMI INFRA</t>
        </is>
      </c>
      <c r="C26" s="4" t="inlineStr">
        <is>
          <t>29/01/2026, 7:02 pm</t>
        </is>
      </c>
      <c r="D26" s="4" t="inlineStr">
        <is>
          <t>29/01/2026, 7:04 pm</t>
        </is>
      </c>
      <c r="E26" s="4" t="inlineStr">
        <is>
          <t>Got future date</t>
        </is>
      </c>
      <c r="F26" s="4">
        <f>Daily_Visit_Log!F26</f>
        <v/>
      </c>
      <c r="G26" s="4">
        <f>Daily_Visit_Log!Y26</f>
        <v/>
      </c>
      <c r="H26" s="4">
        <f>Daily_Visit_Log!Q26</f>
        <v/>
      </c>
      <c r="I26" s="4">
        <f>IF(F26&lt;5,"YES","NO")</f>
        <v/>
      </c>
      <c r="J26" s="4">
        <f>MIN(100,IF(F26&gt;=30,50,IF(F26&gt;=15,40,IF(F26&gt;=5,25,10)))+IF(H26&gt;=50,50,IF(H26&gt;=30,40,IF(H26&gt;=20,30,IF(H26&gt;=10,20,10)))))</f>
        <v/>
      </c>
    </row>
    <row r="27">
      <c r="A27" s="3" t="n">
        <v>45973</v>
      </c>
      <c r="B27" s="4" t="inlineStr">
        <is>
          <t>APEX ENGINEERING</t>
        </is>
      </c>
      <c r="C27" s="4" t="inlineStr">
        <is>
          <t>12/11/2025, 2:11 pm</t>
        </is>
      </c>
      <c r="D27" s="4" t="inlineStr">
        <is>
          <t>12/11/2025, 2:12 pm</t>
        </is>
      </c>
      <c r="E27" s="4" t="inlineStr">
        <is>
          <t>Got future date</t>
        </is>
      </c>
      <c r="F27" s="4">
        <f>Daily_Visit_Log!F27</f>
        <v/>
      </c>
      <c r="G27" s="4">
        <f>Daily_Visit_Log!Y27</f>
        <v/>
      </c>
      <c r="H27" s="4">
        <f>Daily_Visit_Log!Q27</f>
        <v/>
      </c>
      <c r="I27" s="4">
        <f>IF(F27&lt;5,"YES","NO")</f>
        <v/>
      </c>
      <c r="J27" s="4">
        <f>MIN(100,IF(F27&gt;=30,50,IF(F27&gt;=15,40,IF(F27&gt;=5,25,10)))+IF(H27&gt;=50,50,IF(H27&gt;=30,40,IF(H27&gt;=20,30,IF(H27&gt;=10,20,10)))))</f>
        <v/>
      </c>
    </row>
    <row r="28">
      <c r="A28" s="3" t="n">
        <v>45986</v>
      </c>
      <c r="B28" s="4" t="inlineStr">
        <is>
          <t>APEX ENGINEERING</t>
        </is>
      </c>
      <c r="C28" s="4" t="inlineStr">
        <is>
          <t>25/11/2025, 12:55 pm</t>
        </is>
      </c>
      <c r="D28" s="4" t="inlineStr">
        <is>
          <t>25/11/2025, 12:56 pm</t>
        </is>
      </c>
      <c r="E28" s="4" t="inlineStr">
        <is>
          <t>Got future date</t>
        </is>
      </c>
      <c r="F28" s="4">
        <f>Daily_Visit_Log!F28</f>
        <v/>
      </c>
      <c r="G28" s="4">
        <f>Daily_Visit_Log!Y28</f>
        <v/>
      </c>
      <c r="H28" s="4">
        <f>Daily_Visit_Log!Q28</f>
        <v/>
      </c>
      <c r="I28" s="4">
        <f>IF(F28&lt;5,"YES","NO")</f>
        <v/>
      </c>
      <c r="J28" s="4">
        <f>MIN(100,IF(F28&gt;=30,50,IF(F28&gt;=15,40,IF(F28&gt;=5,25,10)))+IF(H28&gt;=50,50,IF(H28&gt;=30,40,IF(H28&gt;=20,30,IF(H28&gt;=10,20,10)))))</f>
        <v/>
      </c>
    </row>
    <row r="29">
      <c r="A29" s="3" t="n">
        <v>45999</v>
      </c>
      <c r="B29" s="4" t="inlineStr">
        <is>
          <t>APEX ENGINEERING</t>
        </is>
      </c>
      <c r="C29" s="4" t="inlineStr">
        <is>
          <t>08/12/2025, 7:16 pm</t>
        </is>
      </c>
      <c r="D29" s="4" t="inlineStr">
        <is>
          <t>08/12/2025, 7:17 pm</t>
        </is>
      </c>
      <c r="E29" s="4" t="inlineStr">
        <is>
          <t>Got future date</t>
        </is>
      </c>
      <c r="F29" s="4">
        <f>Daily_Visit_Log!F29</f>
        <v/>
      </c>
      <c r="G29" s="4">
        <f>Daily_Visit_Log!Y29</f>
        <v/>
      </c>
      <c r="H29" s="4">
        <f>Daily_Visit_Log!Q29</f>
        <v/>
      </c>
      <c r="I29" s="4">
        <f>IF(F29&lt;5,"YES","NO")</f>
        <v/>
      </c>
      <c r="J29" s="4">
        <f>MIN(100,IF(F29&gt;=30,50,IF(F29&gt;=15,40,IF(F29&gt;=5,25,10)))+IF(H29&gt;=50,50,IF(H29&gt;=30,40,IF(H29&gt;=20,30,IF(H29&gt;=10,20,10)))))</f>
        <v/>
      </c>
    </row>
    <row r="30">
      <c r="A30" s="3" t="n">
        <v>46036</v>
      </c>
      <c r="B30" s="4" t="inlineStr">
        <is>
          <t>APEX ENGINEERING</t>
        </is>
      </c>
      <c r="C30" s="4" t="inlineStr">
        <is>
          <t>14/01/2026, 5:23 pm</t>
        </is>
      </c>
      <c r="D30" s="4" t="inlineStr">
        <is>
          <t>14/01/2026, 5:24 pm</t>
        </is>
      </c>
      <c r="E30" s="4" t="inlineStr">
        <is>
          <t>Got future date</t>
        </is>
      </c>
      <c r="F30" s="4">
        <f>Daily_Visit_Log!F30</f>
        <v/>
      </c>
      <c r="G30" s="4">
        <f>Daily_Visit_Log!Y30</f>
        <v/>
      </c>
      <c r="H30" s="4">
        <f>Daily_Visit_Log!Q30</f>
        <v/>
      </c>
      <c r="I30" s="4">
        <f>IF(F30&lt;5,"YES","NO")</f>
        <v/>
      </c>
      <c r="J30" s="4">
        <f>MIN(100,IF(F30&gt;=30,50,IF(F30&gt;=15,40,IF(F30&gt;=5,25,10)))+IF(H30&gt;=50,50,IF(H30&gt;=30,40,IF(H30&gt;=20,30,IF(H30&gt;=10,20,10)))))</f>
        <v/>
      </c>
    </row>
    <row r="31">
      <c r="A31" s="3" t="n">
        <v>46027</v>
      </c>
      <c r="B31" s="4" t="inlineStr">
        <is>
          <t>Aakash construction Ltd</t>
        </is>
      </c>
      <c r="C31" s="4" t="inlineStr">
        <is>
          <t>05/01/2026, 7:54 pm</t>
        </is>
      </c>
      <c r="D31" s="4" t="inlineStr">
        <is>
          <t>05/01/2026, 7:57 pm</t>
        </is>
      </c>
      <c r="E31" s="4" t="inlineStr">
        <is>
          <t>Got future date</t>
        </is>
      </c>
      <c r="F31" s="4">
        <f>Daily_Visit_Log!F31</f>
        <v/>
      </c>
      <c r="G31" s="4">
        <f>Daily_Visit_Log!Y31</f>
        <v/>
      </c>
      <c r="H31" s="4">
        <f>Daily_Visit_Log!Q31</f>
        <v/>
      </c>
      <c r="I31" s="4">
        <f>IF(F31&lt;5,"YES","NO")</f>
        <v/>
      </c>
      <c r="J31" s="4">
        <f>MIN(100,IF(F31&gt;=30,50,IF(F31&gt;=15,40,IF(F31&gt;=5,25,10)))+IF(H31&gt;=50,50,IF(H31&gt;=30,40,IF(H31&gt;=20,30,IF(H31&gt;=10,20,10)))))</f>
        <v/>
      </c>
    </row>
    <row r="32">
      <c r="A32" s="3" t="n">
        <v>46041</v>
      </c>
      <c r="B32" s="4" t="inlineStr">
        <is>
          <t>Aakash construction Ltd</t>
        </is>
      </c>
      <c r="C32" s="4" t="inlineStr">
        <is>
          <t>19/01/2026, 5:29 pm</t>
        </is>
      </c>
      <c r="D32" s="4" t="inlineStr">
        <is>
          <t>19/01/2026, 5:31 pm</t>
        </is>
      </c>
      <c r="E32" s="4" t="inlineStr">
        <is>
          <t>Got future date</t>
        </is>
      </c>
      <c r="F32" s="4">
        <f>Daily_Visit_Log!F32</f>
        <v/>
      </c>
      <c r="G32" s="4">
        <f>Daily_Visit_Log!Y32</f>
        <v/>
      </c>
      <c r="H32" s="4">
        <f>Daily_Visit_Log!Q32</f>
        <v/>
      </c>
      <c r="I32" s="4">
        <f>IF(F32&lt;5,"YES","NO")</f>
        <v/>
      </c>
      <c r="J32" s="4">
        <f>MIN(100,IF(F32&gt;=30,50,IF(F32&gt;=15,40,IF(F32&gt;=5,25,10)))+IF(H32&gt;=50,50,IF(H32&gt;=30,40,IF(H32&gt;=20,30,IF(H32&gt;=10,20,10)))))</f>
        <v/>
      </c>
    </row>
    <row r="33">
      <c r="A33" s="3" t="n">
        <v>46050</v>
      </c>
      <c r="B33" s="4" t="inlineStr">
        <is>
          <t>Aakash construction Ltd</t>
        </is>
      </c>
      <c r="C33" s="4" t="inlineStr">
        <is>
          <t>28/01/2026, 6:25 pm</t>
        </is>
      </c>
      <c r="D33" s="4" t="inlineStr">
        <is>
          <t>28/01/2026, 6:27 pm</t>
        </is>
      </c>
      <c r="E33" s="4" t="inlineStr">
        <is>
          <t>Got future date</t>
        </is>
      </c>
      <c r="F33" s="4">
        <f>Daily_Visit_Log!F33</f>
        <v/>
      </c>
      <c r="G33" s="4">
        <f>Daily_Visit_Log!Y33</f>
        <v/>
      </c>
      <c r="H33" s="4">
        <f>Daily_Visit_Log!Q33</f>
        <v/>
      </c>
      <c r="I33" s="4">
        <f>IF(F33&lt;5,"YES","NO")</f>
        <v/>
      </c>
      <c r="J33" s="4">
        <f>MIN(100,IF(F33&gt;=30,50,IF(F33&gt;=15,40,IF(F33&gt;=5,25,10)))+IF(H33&gt;=50,50,IF(H33&gt;=30,40,IF(H33&gt;=20,30,IF(H33&gt;=10,20,10)))))</f>
        <v/>
      </c>
    </row>
    <row r="34">
      <c r="A34" s="3" t="n">
        <v>46031</v>
      </c>
      <c r="B34" s="4" t="inlineStr">
        <is>
          <t>Aakash india</t>
        </is>
      </c>
      <c r="C34" s="4" t="inlineStr">
        <is>
          <t>09/01/2026, 10:26 am</t>
        </is>
      </c>
      <c r="D34" s="4" t="inlineStr">
        <is>
          <t>09/01/2026, 10:35 am</t>
        </is>
      </c>
      <c r="E34" s="4" t="inlineStr">
        <is>
          <t>Got future date</t>
        </is>
      </c>
      <c r="F34" s="4">
        <f>Daily_Visit_Log!F34</f>
        <v/>
      </c>
      <c r="G34" s="4">
        <f>Daily_Visit_Log!Y34</f>
        <v/>
      </c>
      <c r="H34" s="4">
        <f>Daily_Visit_Log!Q34</f>
        <v/>
      </c>
      <c r="I34" s="4">
        <f>IF(F34&lt;5,"YES","NO")</f>
        <v/>
      </c>
      <c r="J34" s="4">
        <f>MIN(100,IF(F34&gt;=30,50,IF(F34&gt;=15,40,IF(F34&gt;=5,25,10)))+IF(H34&gt;=50,50,IF(H34&gt;=30,40,IF(H34&gt;=20,30,IF(H34&gt;=10,20,10)))))</f>
        <v/>
      </c>
    </row>
    <row r="35">
      <c r="A35" s="3" t="n">
        <v>46057</v>
      </c>
      <c r="B35" s="4" t="inlineStr">
        <is>
          <t>Aakash india</t>
        </is>
      </c>
      <c r="C35" s="4" t="inlineStr">
        <is>
          <t>04/02/2026, 10:56 am</t>
        </is>
      </c>
      <c r="D35" s="4" t="inlineStr">
        <is>
          <t>04/02/2026, 10:57 am</t>
        </is>
      </c>
      <c r="E35" s="4" t="inlineStr">
        <is>
          <t>Got future date</t>
        </is>
      </c>
      <c r="F35" s="4">
        <f>Daily_Visit_Log!F35</f>
        <v/>
      </c>
      <c r="G35" s="4">
        <f>Daily_Visit_Log!Y35</f>
        <v/>
      </c>
      <c r="H35" s="4">
        <f>Daily_Visit_Log!Q35</f>
        <v/>
      </c>
      <c r="I35" s="4">
        <f>IF(F35&lt;5,"YES","NO")</f>
        <v/>
      </c>
      <c r="J35" s="4">
        <f>MIN(100,IF(F35&gt;=30,50,IF(F35&gt;=15,40,IF(F35&gt;=5,25,10)))+IF(H35&gt;=50,50,IF(H35&gt;=30,40,IF(H35&gt;=20,30,IF(H35&gt;=10,20,10)))))</f>
        <v/>
      </c>
    </row>
    <row r="36">
      <c r="A36" s="3" t="n">
        <v>45966</v>
      </c>
      <c r="B36" s="4" t="inlineStr">
        <is>
          <t>Aakash india construction</t>
        </is>
      </c>
      <c r="C36" s="4" t="inlineStr">
        <is>
          <t>05/11/2025, 7:26 pm</t>
        </is>
      </c>
      <c r="D36" s="4" t="inlineStr">
        <is>
          <t>05/11/2025, 7:30 pm</t>
        </is>
      </c>
      <c r="E36" s="4" t="inlineStr">
        <is>
          <t>Got future date</t>
        </is>
      </c>
      <c r="F36" s="4">
        <f>Daily_Visit_Log!F36</f>
        <v/>
      </c>
      <c r="G36" s="4">
        <f>Daily_Visit_Log!Y36</f>
        <v/>
      </c>
      <c r="H36" s="4">
        <f>Daily_Visit_Log!Q36</f>
        <v/>
      </c>
      <c r="I36" s="4">
        <f>IF(F36&lt;5,"YES","NO")</f>
        <v/>
      </c>
      <c r="J36" s="4">
        <f>MIN(100,IF(F36&gt;=30,50,IF(F36&gt;=15,40,IF(F36&gt;=5,25,10)))+IF(H36&gt;=50,50,IF(H36&gt;=30,40,IF(H36&gt;=20,30,IF(H36&gt;=10,20,10)))))</f>
        <v/>
      </c>
    </row>
    <row r="37">
      <c r="A37" s="3" t="n">
        <v>45967</v>
      </c>
      <c r="B37" s="4" t="inlineStr">
        <is>
          <t>Aakash india construction</t>
        </is>
      </c>
      <c r="C37" s="4" t="inlineStr">
        <is>
          <t>06/11/2025, 5:30 pm</t>
        </is>
      </c>
      <c r="D37" s="4" t="inlineStr">
        <is>
          <t>06/11/2025, 5:31 pm</t>
        </is>
      </c>
      <c r="E37" s="4" t="inlineStr">
        <is>
          <t>Got future date</t>
        </is>
      </c>
      <c r="F37" s="4">
        <f>Daily_Visit_Log!F37</f>
        <v/>
      </c>
      <c r="G37" s="4">
        <f>Daily_Visit_Log!Y37</f>
        <v/>
      </c>
      <c r="H37" s="4">
        <f>Daily_Visit_Log!Q37</f>
        <v/>
      </c>
      <c r="I37" s="4">
        <f>IF(F37&lt;5,"YES","NO")</f>
        <v/>
      </c>
      <c r="J37" s="4">
        <f>MIN(100,IF(F37&gt;=30,50,IF(F37&gt;=15,40,IF(F37&gt;=5,25,10)))+IF(H37&gt;=50,50,IF(H37&gt;=30,40,IF(H37&gt;=20,30,IF(H37&gt;=10,20,10)))))</f>
        <v/>
      </c>
    </row>
    <row r="38">
      <c r="A38" s="3" t="n">
        <v>45969</v>
      </c>
      <c r="B38" s="4" t="inlineStr">
        <is>
          <t>Aakash india construction</t>
        </is>
      </c>
      <c r="C38" s="4" t="inlineStr">
        <is>
          <t>08/11/2025, 6:29 pm</t>
        </is>
      </c>
      <c r="D38" s="4" t="inlineStr">
        <is>
          <t>08/11/2025, 6:29 pm</t>
        </is>
      </c>
      <c r="E38" s="4" t="inlineStr">
        <is>
          <t>Got future date</t>
        </is>
      </c>
      <c r="F38" s="4">
        <f>Daily_Visit_Log!F38</f>
        <v/>
      </c>
      <c r="G38" s="4">
        <f>Daily_Visit_Log!Y38</f>
        <v/>
      </c>
      <c r="H38" s="4">
        <f>Daily_Visit_Log!Q38</f>
        <v/>
      </c>
      <c r="I38" s="4">
        <f>IF(F38&lt;5,"YES","NO")</f>
        <v/>
      </c>
      <c r="J38" s="4">
        <f>MIN(100,IF(F38&gt;=30,50,IF(F38&gt;=15,40,IF(F38&gt;=5,25,10)))+IF(H38&gt;=50,50,IF(H38&gt;=30,40,IF(H38&gt;=20,30,IF(H38&gt;=10,20,10)))))</f>
        <v/>
      </c>
    </row>
    <row r="39">
      <c r="A39" s="3" t="n">
        <v>45973</v>
      </c>
      <c r="B39" s="4" t="inlineStr">
        <is>
          <t>Aakash india construction</t>
        </is>
      </c>
      <c r="C39" s="4" t="inlineStr">
        <is>
          <t>12/11/2025, 6:47 pm</t>
        </is>
      </c>
      <c r="D39" s="4" t="inlineStr">
        <is>
          <t>12/11/2025, 6:55 pm</t>
        </is>
      </c>
      <c r="E39" s="4" t="inlineStr">
        <is>
          <t>Got future date</t>
        </is>
      </c>
      <c r="F39" s="4">
        <f>Daily_Visit_Log!F39</f>
        <v/>
      </c>
      <c r="G39" s="4">
        <f>Daily_Visit_Log!Y39</f>
        <v/>
      </c>
      <c r="H39" s="4">
        <f>Daily_Visit_Log!Q39</f>
        <v/>
      </c>
      <c r="I39" s="4">
        <f>IF(F39&lt;5,"YES","NO")</f>
        <v/>
      </c>
      <c r="J39" s="4">
        <f>MIN(100,IF(F39&gt;=30,50,IF(F39&gt;=15,40,IF(F39&gt;=5,25,10)))+IF(H39&gt;=50,50,IF(H39&gt;=30,40,IF(H39&gt;=20,30,IF(H39&gt;=10,20,10)))))</f>
        <v/>
      </c>
    </row>
    <row r="40">
      <c r="A40" s="3" t="n">
        <v>45974</v>
      </c>
      <c r="B40" s="4" t="inlineStr">
        <is>
          <t>Aakash india construction</t>
        </is>
      </c>
      <c r="C40" s="4" t="inlineStr">
        <is>
          <t>13/11/2025, 6:39 pm</t>
        </is>
      </c>
      <c r="D40" s="4" t="inlineStr">
        <is>
          <t>13/11/2025, 6:44 pm</t>
        </is>
      </c>
      <c r="E40" s="4" t="inlineStr">
        <is>
          <t>Got future date</t>
        </is>
      </c>
      <c r="F40" s="4">
        <f>Daily_Visit_Log!F40</f>
        <v/>
      </c>
      <c r="G40" s="4">
        <f>Daily_Visit_Log!Y40</f>
        <v/>
      </c>
      <c r="H40" s="4">
        <f>Daily_Visit_Log!Q40</f>
        <v/>
      </c>
      <c r="I40" s="4">
        <f>IF(F40&lt;5,"YES","NO")</f>
        <v/>
      </c>
      <c r="J40" s="4">
        <f>MIN(100,IF(F40&gt;=30,50,IF(F40&gt;=15,40,IF(F40&gt;=5,25,10)))+IF(H40&gt;=50,50,IF(H40&gt;=30,40,IF(H40&gt;=20,30,IF(H40&gt;=10,20,10)))))</f>
        <v/>
      </c>
    </row>
    <row r="41">
      <c r="A41" s="3" t="n">
        <v>45978</v>
      </c>
      <c r="B41" s="4" t="inlineStr">
        <is>
          <t>Aakash india construction</t>
        </is>
      </c>
      <c r="C41" s="4" t="inlineStr">
        <is>
          <t>17/11/2025, 6:33 pm</t>
        </is>
      </c>
      <c r="D41" s="4" t="inlineStr">
        <is>
          <t>17/11/2025, 6:34 pm</t>
        </is>
      </c>
      <c r="E41" s="4" t="inlineStr">
        <is>
          <t>Got future date</t>
        </is>
      </c>
      <c r="F41" s="4">
        <f>Daily_Visit_Log!F41</f>
        <v/>
      </c>
      <c r="G41" s="4">
        <f>Daily_Visit_Log!Y41</f>
        <v/>
      </c>
      <c r="H41" s="4">
        <f>Daily_Visit_Log!Q41</f>
        <v/>
      </c>
      <c r="I41" s="4">
        <f>IF(F41&lt;5,"YES","NO")</f>
        <v/>
      </c>
      <c r="J41" s="4">
        <f>MIN(100,IF(F41&gt;=30,50,IF(F41&gt;=15,40,IF(F41&gt;=5,25,10)))+IF(H41&gt;=50,50,IF(H41&gt;=30,40,IF(H41&gt;=20,30,IF(H41&gt;=10,20,10)))))</f>
        <v/>
      </c>
    </row>
    <row r="42">
      <c r="A42" s="3" t="n">
        <v>45982</v>
      </c>
      <c r="B42" s="4" t="inlineStr">
        <is>
          <t>Aakash india construction</t>
        </is>
      </c>
      <c r="C42" s="4" t="inlineStr">
        <is>
          <t>21/11/2025, 4:15 pm</t>
        </is>
      </c>
      <c r="D42" s="4" t="inlineStr">
        <is>
          <t>21/11/2025, 4:16 pm</t>
        </is>
      </c>
      <c r="E42" s="4" t="inlineStr">
        <is>
          <t>Got future date</t>
        </is>
      </c>
      <c r="F42" s="4">
        <f>Daily_Visit_Log!F42</f>
        <v/>
      </c>
      <c r="G42" s="4">
        <f>Daily_Visit_Log!Y42</f>
        <v/>
      </c>
      <c r="H42" s="4">
        <f>Daily_Visit_Log!Q42</f>
        <v/>
      </c>
      <c r="I42" s="4">
        <f>IF(F42&lt;5,"YES","NO")</f>
        <v/>
      </c>
      <c r="J42" s="4">
        <f>MIN(100,IF(F42&gt;=30,50,IF(F42&gt;=15,40,IF(F42&gt;=5,25,10)))+IF(H42&gt;=50,50,IF(H42&gt;=30,40,IF(H42&gt;=20,30,IF(H42&gt;=10,20,10)))))</f>
        <v/>
      </c>
    </row>
    <row r="43">
      <c r="A43" s="3" t="n">
        <v>46001</v>
      </c>
      <c r="B43" s="4" t="inlineStr">
        <is>
          <t>Aakash india construction</t>
        </is>
      </c>
      <c r="C43" s="4" t="inlineStr">
        <is>
          <t>10/12/2025, 7:12 pm</t>
        </is>
      </c>
      <c r="D43" s="4" t="inlineStr">
        <is>
          <t>10/12/2025, 7:14 pm</t>
        </is>
      </c>
      <c r="E43" s="4" t="inlineStr">
        <is>
          <t>Got future date</t>
        </is>
      </c>
      <c r="F43" s="4">
        <f>Daily_Visit_Log!F43</f>
        <v/>
      </c>
      <c r="G43" s="4">
        <f>Daily_Visit_Log!Y43</f>
        <v/>
      </c>
      <c r="H43" s="4">
        <f>Daily_Visit_Log!Q43</f>
        <v/>
      </c>
      <c r="I43" s="4">
        <f>IF(F43&lt;5,"YES","NO")</f>
        <v/>
      </c>
      <c r="J43" s="4">
        <f>MIN(100,IF(F43&gt;=30,50,IF(F43&gt;=15,40,IF(F43&gt;=5,25,10)))+IF(H43&gt;=50,50,IF(H43&gt;=30,40,IF(H43&gt;=20,30,IF(H43&gt;=10,20,10)))))</f>
        <v/>
      </c>
    </row>
    <row r="44">
      <c r="A44" s="3" t="n">
        <v>46003</v>
      </c>
      <c r="B44" s="4" t="inlineStr">
        <is>
          <t>Aakash india construction</t>
        </is>
      </c>
      <c r="C44" s="4" t="inlineStr">
        <is>
          <t>12/12/2025, 1:44 pm</t>
        </is>
      </c>
      <c r="D44" s="4" t="inlineStr">
        <is>
          <t>12/12/2025, 1:45 pm</t>
        </is>
      </c>
      <c r="E44" s="4" t="inlineStr">
        <is>
          <t>Got future date</t>
        </is>
      </c>
      <c r="F44" s="4">
        <f>Daily_Visit_Log!F44</f>
        <v/>
      </c>
      <c r="G44" s="4">
        <f>Daily_Visit_Log!Y44</f>
        <v/>
      </c>
      <c r="H44" s="4">
        <f>Daily_Visit_Log!Q44</f>
        <v/>
      </c>
      <c r="I44" s="4">
        <f>IF(F44&lt;5,"YES","NO")</f>
        <v/>
      </c>
      <c r="J44" s="4">
        <f>MIN(100,IF(F44&gt;=30,50,IF(F44&gt;=15,40,IF(F44&gt;=5,25,10)))+IF(H44&gt;=50,50,IF(H44&gt;=30,40,IF(H44&gt;=20,30,IF(H44&gt;=10,20,10)))))</f>
        <v/>
      </c>
    </row>
    <row r="45">
      <c r="A45" s="3" t="n">
        <v>46007</v>
      </c>
      <c r="B45" s="4" t="inlineStr">
        <is>
          <t>Aakash india construction</t>
        </is>
      </c>
      <c r="C45" s="4" t="inlineStr">
        <is>
          <t>16/12/2025, 7:08 pm</t>
        </is>
      </c>
      <c r="D45" s="4" t="inlineStr">
        <is>
          <t>16/12/2025, 7:09 pm</t>
        </is>
      </c>
      <c r="E45" s="4" t="inlineStr">
        <is>
          <t>Got future date</t>
        </is>
      </c>
      <c r="F45" s="4">
        <f>Daily_Visit_Log!F45</f>
        <v/>
      </c>
      <c r="G45" s="4">
        <f>Daily_Visit_Log!Y45</f>
        <v/>
      </c>
      <c r="H45" s="4">
        <f>Daily_Visit_Log!Q45</f>
        <v/>
      </c>
      <c r="I45" s="4">
        <f>IF(F45&lt;5,"YES","NO")</f>
        <v/>
      </c>
      <c r="J45" s="4">
        <f>MIN(100,IF(F45&gt;=30,50,IF(F45&gt;=15,40,IF(F45&gt;=5,25,10)))+IF(H45&gt;=50,50,IF(H45&gt;=30,40,IF(H45&gt;=20,30,IF(H45&gt;=10,20,10)))))</f>
        <v/>
      </c>
    </row>
    <row r="46">
      <c r="A46" s="3" t="n">
        <v>46010</v>
      </c>
      <c r="B46" s="4" t="inlineStr">
        <is>
          <t>Aakash india construction</t>
        </is>
      </c>
      <c r="C46" s="4" t="inlineStr">
        <is>
          <t>19/12/2025, 3:56 pm</t>
        </is>
      </c>
      <c r="D46" s="4" t="inlineStr">
        <is>
          <t>19/12/2025, 3:57 pm</t>
        </is>
      </c>
      <c r="E46" s="4" t="inlineStr">
        <is>
          <t>Got future date</t>
        </is>
      </c>
      <c r="F46" s="4">
        <f>Daily_Visit_Log!F46</f>
        <v/>
      </c>
      <c r="G46" s="4">
        <f>Daily_Visit_Log!Y46</f>
        <v/>
      </c>
      <c r="H46" s="4">
        <f>Daily_Visit_Log!Q46</f>
        <v/>
      </c>
      <c r="I46" s="4">
        <f>IF(F46&lt;5,"YES","NO")</f>
        <v/>
      </c>
      <c r="J46" s="4">
        <f>MIN(100,IF(F46&gt;=30,50,IF(F46&gt;=15,40,IF(F46&gt;=5,25,10)))+IF(H46&gt;=50,50,IF(H46&gt;=30,40,IF(H46&gt;=20,30,IF(H46&gt;=10,20,10)))))</f>
        <v/>
      </c>
    </row>
    <row r="47">
      <c r="A47" s="3" t="n">
        <v>46014</v>
      </c>
      <c r="B47" s="4" t="inlineStr">
        <is>
          <t>Aakash india construction</t>
        </is>
      </c>
      <c r="C47" s="4" t="inlineStr">
        <is>
          <t>23/12/2025, 12:05 pm</t>
        </is>
      </c>
      <c r="D47" s="4" t="inlineStr">
        <is>
          <t>23/12/2025, 12:10 pm</t>
        </is>
      </c>
      <c r="E47" s="4" t="inlineStr">
        <is>
          <t>Got future date</t>
        </is>
      </c>
      <c r="F47" s="4">
        <f>Daily_Visit_Log!F47</f>
        <v/>
      </c>
      <c r="G47" s="4">
        <f>Daily_Visit_Log!Y47</f>
        <v/>
      </c>
      <c r="H47" s="4">
        <f>Daily_Visit_Log!Q47</f>
        <v/>
      </c>
      <c r="I47" s="4">
        <f>IF(F47&lt;5,"YES","NO")</f>
        <v/>
      </c>
      <c r="J47" s="4">
        <f>MIN(100,IF(F47&gt;=30,50,IF(F47&gt;=15,40,IF(F47&gt;=5,25,10)))+IF(H47&gt;=50,50,IF(H47&gt;=30,40,IF(H47&gt;=20,30,IF(H47&gt;=10,20,10)))))</f>
        <v/>
      </c>
    </row>
    <row r="48">
      <c r="A48" s="3" t="n">
        <v>46028</v>
      </c>
      <c r="B48" s="4" t="inlineStr">
        <is>
          <t>Aakash india construction</t>
        </is>
      </c>
      <c r="C48" s="4" t="inlineStr">
        <is>
          <t>06/01/2026, 6:20 pm</t>
        </is>
      </c>
      <c r="D48" s="4" t="inlineStr">
        <is>
          <t>06/01/2026, 6:21 pm</t>
        </is>
      </c>
      <c r="E48" s="4" t="inlineStr">
        <is>
          <t>Got future date</t>
        </is>
      </c>
      <c r="F48" s="4">
        <f>Daily_Visit_Log!F48</f>
        <v/>
      </c>
      <c r="G48" s="4">
        <f>Daily_Visit_Log!Y48</f>
        <v/>
      </c>
      <c r="H48" s="4">
        <f>Daily_Visit_Log!Q48</f>
        <v/>
      </c>
      <c r="I48" s="4">
        <f>IF(F48&lt;5,"YES","NO")</f>
        <v/>
      </c>
      <c r="J48" s="4">
        <f>MIN(100,IF(F48&gt;=30,50,IF(F48&gt;=15,40,IF(F48&gt;=5,25,10)))+IF(H48&gt;=50,50,IF(H48&gt;=30,40,IF(H48&gt;=20,30,IF(H48&gt;=10,20,10)))))</f>
        <v/>
      </c>
    </row>
    <row r="49">
      <c r="A49" s="3" t="n">
        <v>46030</v>
      </c>
      <c r="B49" s="4" t="inlineStr">
        <is>
          <t>Aakash india construction</t>
        </is>
      </c>
      <c r="C49" s="4" t="inlineStr">
        <is>
          <t>08/01/2026, 5:08 pm</t>
        </is>
      </c>
      <c r="D49" s="4" t="inlineStr">
        <is>
          <t>08/01/2026, 5:09 pm</t>
        </is>
      </c>
      <c r="E49" s="4" t="inlineStr">
        <is>
          <t>Got future date</t>
        </is>
      </c>
      <c r="F49" s="4">
        <f>Daily_Visit_Log!F49</f>
        <v/>
      </c>
      <c r="G49" s="4">
        <f>Daily_Visit_Log!Y49</f>
        <v/>
      </c>
      <c r="H49" s="4">
        <f>Daily_Visit_Log!Q49</f>
        <v/>
      </c>
      <c r="I49" s="4">
        <f>IF(F49&lt;5,"YES","NO")</f>
        <v/>
      </c>
      <c r="J49" s="4">
        <f>MIN(100,IF(F49&gt;=30,50,IF(F49&gt;=15,40,IF(F49&gt;=5,25,10)))+IF(H49&gt;=50,50,IF(H49&gt;=30,40,IF(H49&gt;=20,30,IF(H49&gt;=10,20,10)))))</f>
        <v/>
      </c>
    </row>
    <row r="50">
      <c r="A50" s="3" t="n">
        <v>46042</v>
      </c>
      <c r="B50" s="4" t="inlineStr">
        <is>
          <t>Aakash india construction</t>
        </is>
      </c>
      <c r="C50" s="4" t="inlineStr">
        <is>
          <t>20/01/2026, 7:34 pm</t>
        </is>
      </c>
      <c r="D50" s="4" t="inlineStr">
        <is>
          <t>20/01/2026, 7:39 pm</t>
        </is>
      </c>
      <c r="E50" s="4" t="inlineStr">
        <is>
          <t>Got future date</t>
        </is>
      </c>
      <c r="F50" s="4">
        <f>Daily_Visit_Log!F50</f>
        <v/>
      </c>
      <c r="G50" s="4">
        <f>Daily_Visit_Log!Y50</f>
        <v/>
      </c>
      <c r="H50" s="4">
        <f>Daily_Visit_Log!Q50</f>
        <v/>
      </c>
      <c r="I50" s="4">
        <f>IF(F50&lt;5,"YES","NO")</f>
        <v/>
      </c>
      <c r="J50" s="4">
        <f>MIN(100,IF(F50&gt;=30,50,IF(F50&gt;=15,40,IF(F50&gt;=5,25,10)))+IF(H50&gt;=50,50,IF(H50&gt;=30,40,IF(H50&gt;=20,30,IF(H50&gt;=10,20,10)))))</f>
        <v/>
      </c>
    </row>
    <row r="51">
      <c r="A51" s="3" t="n">
        <v>46044</v>
      </c>
      <c r="B51" s="4" t="inlineStr">
        <is>
          <t>Aakash india construction</t>
        </is>
      </c>
      <c r="C51" s="4" t="inlineStr">
        <is>
          <t>22/01/2026, 7:24 pm</t>
        </is>
      </c>
      <c r="D51" s="4" t="inlineStr">
        <is>
          <t>22/01/2026, 7:28 pm</t>
        </is>
      </c>
      <c r="E51" s="4" t="inlineStr">
        <is>
          <t>Got future date</t>
        </is>
      </c>
      <c r="F51" s="4">
        <f>Daily_Visit_Log!F51</f>
        <v/>
      </c>
      <c r="G51" s="4">
        <f>Daily_Visit_Log!Y51</f>
        <v/>
      </c>
      <c r="H51" s="4">
        <f>Daily_Visit_Log!Q51</f>
        <v/>
      </c>
      <c r="I51" s="4">
        <f>IF(F51&lt;5,"YES","NO")</f>
        <v/>
      </c>
      <c r="J51" s="4">
        <f>MIN(100,IF(F51&gt;=30,50,IF(F51&gt;=15,40,IF(F51&gt;=5,25,10)))+IF(H51&gt;=50,50,IF(H51&gt;=30,40,IF(H51&gt;=20,30,IF(H51&gt;=10,20,10)))))</f>
        <v/>
      </c>
    </row>
    <row r="52">
      <c r="A52" s="3" t="n">
        <v>46038</v>
      </c>
      <c r="B52" s="4" t="inlineStr">
        <is>
          <t>Akriti construction</t>
        </is>
      </c>
      <c r="C52" s="4" t="inlineStr">
        <is>
          <t>16/01/2026, 1:35 pm</t>
        </is>
      </c>
      <c r="D52" s="4" t="inlineStr">
        <is>
          <t>16/01/2026, 1:35 pm</t>
        </is>
      </c>
      <c r="E52" s="4" t="inlineStr">
        <is>
          <t>Got future date</t>
        </is>
      </c>
      <c r="F52" s="4">
        <f>Daily_Visit_Log!F52</f>
        <v/>
      </c>
      <c r="G52" s="4">
        <f>Daily_Visit_Log!Y52</f>
        <v/>
      </c>
      <c r="H52" s="4">
        <f>Daily_Visit_Log!Q52</f>
        <v/>
      </c>
      <c r="I52" s="4">
        <f>IF(F52&lt;5,"YES","NO")</f>
        <v/>
      </c>
      <c r="J52" s="4">
        <f>MIN(100,IF(F52&gt;=30,50,IF(F52&gt;=15,40,IF(F52&gt;=5,25,10)))+IF(H52&gt;=50,50,IF(H52&gt;=30,40,IF(H52&gt;=20,30,IF(H52&gt;=10,20,10)))))</f>
        <v/>
      </c>
    </row>
    <row r="53">
      <c r="A53" s="3" t="n">
        <v>46041</v>
      </c>
      <c r="B53" s="4" t="inlineStr">
        <is>
          <t>Akriti construction</t>
        </is>
      </c>
      <c r="C53" s="4" t="inlineStr">
        <is>
          <t>19/01/2026, 5:58 pm</t>
        </is>
      </c>
      <c r="D53" s="4" t="inlineStr">
        <is>
          <t>19/01/2026, 5:59 pm</t>
        </is>
      </c>
      <c r="E53" s="4" t="inlineStr">
        <is>
          <t>Got future date</t>
        </is>
      </c>
      <c r="F53" s="4">
        <f>Daily_Visit_Log!F53</f>
        <v/>
      </c>
      <c r="G53" s="4">
        <f>Daily_Visit_Log!Y53</f>
        <v/>
      </c>
      <c r="H53" s="4">
        <f>Daily_Visit_Log!Q53</f>
        <v/>
      </c>
      <c r="I53" s="4">
        <f>IF(F53&lt;5,"YES","NO")</f>
        <v/>
      </c>
      <c r="J53" s="4">
        <f>MIN(100,IF(F53&gt;=30,50,IF(F53&gt;=15,40,IF(F53&gt;=5,25,10)))+IF(H53&gt;=50,50,IF(H53&gt;=30,40,IF(H53&gt;=20,30,IF(H53&gt;=10,20,10)))))</f>
        <v/>
      </c>
    </row>
    <row r="54">
      <c r="A54" s="3" t="n">
        <v>45978</v>
      </c>
      <c r="B54" s="4" t="inlineStr">
        <is>
          <t>Believe enterprises</t>
        </is>
      </c>
      <c r="C54" s="4" t="inlineStr">
        <is>
          <t>17/11/2025, 6:30 pm</t>
        </is>
      </c>
      <c r="D54" s="4" t="inlineStr">
        <is>
          <t>17/11/2025, 6:31 pm</t>
        </is>
      </c>
      <c r="E54" s="4" t="inlineStr">
        <is>
          <t>Got future date</t>
        </is>
      </c>
      <c r="F54" s="4">
        <f>Daily_Visit_Log!F54</f>
        <v/>
      </c>
      <c r="G54" s="4">
        <f>Daily_Visit_Log!Y54</f>
        <v/>
      </c>
      <c r="H54" s="4">
        <f>Daily_Visit_Log!Q54</f>
        <v/>
      </c>
      <c r="I54" s="4">
        <f>IF(F54&lt;5,"YES","NO")</f>
        <v/>
      </c>
      <c r="J54" s="4">
        <f>MIN(100,IF(F54&gt;=30,50,IF(F54&gt;=15,40,IF(F54&gt;=5,25,10)))+IF(H54&gt;=50,50,IF(H54&gt;=30,40,IF(H54&gt;=20,30,IF(H54&gt;=10,20,10)))))</f>
        <v/>
      </c>
    </row>
    <row r="55">
      <c r="A55" s="3" t="n">
        <v>45996</v>
      </c>
      <c r="B55" s="4" t="inlineStr">
        <is>
          <t>Believe enterprises</t>
        </is>
      </c>
      <c r="C55" s="4" t="inlineStr">
        <is>
          <t>05/12/2025, 5:31 pm</t>
        </is>
      </c>
      <c r="D55" s="4" t="inlineStr">
        <is>
          <t>05/12/2025, 5:33 pm</t>
        </is>
      </c>
      <c r="E55" s="4" t="inlineStr">
        <is>
          <t>Got future date</t>
        </is>
      </c>
      <c r="F55" s="4">
        <f>Daily_Visit_Log!F55</f>
        <v/>
      </c>
      <c r="G55" s="4">
        <f>Daily_Visit_Log!Y55</f>
        <v/>
      </c>
      <c r="H55" s="4">
        <f>Daily_Visit_Log!Q55</f>
        <v/>
      </c>
      <c r="I55" s="4">
        <f>IF(F55&lt;5,"YES","NO")</f>
        <v/>
      </c>
      <c r="J55" s="4">
        <f>MIN(100,IF(F55&gt;=30,50,IF(F55&gt;=15,40,IF(F55&gt;=5,25,10)))+IF(H55&gt;=50,50,IF(H55&gt;=30,40,IF(H55&gt;=20,30,IF(H55&gt;=10,20,10)))))</f>
        <v/>
      </c>
    </row>
    <row r="56">
      <c r="A56" s="3" t="n">
        <v>46000</v>
      </c>
      <c r="B56" s="4" t="inlineStr">
        <is>
          <t>Believe enterprises</t>
        </is>
      </c>
      <c r="C56" s="4" t="inlineStr">
        <is>
          <t>09/12/2025, 7:54 pm</t>
        </is>
      </c>
      <c r="D56" s="4" t="inlineStr">
        <is>
          <t>09/12/2025, 7:56 pm</t>
        </is>
      </c>
      <c r="E56" s="4" t="inlineStr">
        <is>
          <t>Got future date</t>
        </is>
      </c>
      <c r="F56" s="4">
        <f>Daily_Visit_Log!F56</f>
        <v/>
      </c>
      <c r="G56" s="4">
        <f>Daily_Visit_Log!Y56</f>
        <v/>
      </c>
      <c r="H56" s="4">
        <f>Daily_Visit_Log!Q56</f>
        <v/>
      </c>
      <c r="I56" s="4">
        <f>IF(F56&lt;5,"YES","NO")</f>
        <v/>
      </c>
      <c r="J56" s="4">
        <f>MIN(100,IF(F56&gt;=30,50,IF(F56&gt;=15,40,IF(F56&gt;=5,25,10)))+IF(H56&gt;=50,50,IF(H56&gt;=30,40,IF(H56&gt;=20,30,IF(H56&gt;=10,20,10)))))</f>
        <v/>
      </c>
    </row>
    <row r="57">
      <c r="A57" s="3" t="n">
        <v>46029</v>
      </c>
      <c r="B57" s="4" t="inlineStr">
        <is>
          <t>Believe enterprises</t>
        </is>
      </c>
      <c r="C57" s="4" t="inlineStr">
        <is>
          <t>07/01/2026, 12:11 pm</t>
        </is>
      </c>
      <c r="D57" s="4" t="inlineStr">
        <is>
          <t>07/01/2026, 12:13 pm</t>
        </is>
      </c>
      <c r="E57" s="4" t="inlineStr">
        <is>
          <t>Got future date</t>
        </is>
      </c>
      <c r="F57" s="4">
        <f>Daily_Visit_Log!F57</f>
        <v/>
      </c>
      <c r="G57" s="4">
        <f>Daily_Visit_Log!Y57</f>
        <v/>
      </c>
      <c r="H57" s="4">
        <f>Daily_Visit_Log!Q57</f>
        <v/>
      </c>
      <c r="I57" s="4">
        <f>IF(F57&lt;5,"YES","NO")</f>
        <v/>
      </c>
      <c r="J57" s="4">
        <f>MIN(100,IF(F57&gt;=30,50,IF(F57&gt;=15,40,IF(F57&gt;=5,25,10)))+IF(H57&gt;=50,50,IF(H57&gt;=30,40,IF(H57&gt;=20,30,IF(H57&gt;=10,20,10)))))</f>
        <v/>
      </c>
    </row>
    <row r="58">
      <c r="A58" s="3" t="n">
        <v>46031</v>
      </c>
      <c r="B58" s="4" t="inlineStr">
        <is>
          <t>Build tect contruction</t>
        </is>
      </c>
      <c r="C58" s="4" t="inlineStr">
        <is>
          <t>09/01/2026, 1:28 pm</t>
        </is>
      </c>
      <c r="D58" s="4" t="inlineStr">
        <is>
          <t>09/01/2026, 1:29 pm</t>
        </is>
      </c>
      <c r="E58" s="4" t="inlineStr">
        <is>
          <t>Got future date</t>
        </is>
      </c>
      <c r="F58" s="4">
        <f>Daily_Visit_Log!F58</f>
        <v/>
      </c>
      <c r="G58" s="4">
        <f>Daily_Visit_Log!Y58</f>
        <v/>
      </c>
      <c r="H58" s="4">
        <f>Daily_Visit_Log!Q58</f>
        <v/>
      </c>
      <c r="I58" s="4">
        <f>IF(F58&lt;5,"YES","NO")</f>
        <v/>
      </c>
      <c r="J58" s="4">
        <f>MIN(100,IF(F58&gt;=30,50,IF(F58&gt;=15,40,IF(F58&gt;=5,25,10)))+IF(H58&gt;=50,50,IF(H58&gt;=30,40,IF(H58&gt;=20,30,IF(H58&gt;=10,20,10)))))</f>
        <v/>
      </c>
    </row>
    <row r="59">
      <c r="A59" s="3" t="n">
        <v>45978</v>
      </c>
      <c r="B59" s="4" t="inlineStr">
        <is>
          <t>Csn developers pvt Ltd</t>
        </is>
      </c>
      <c r="C59" s="4" t="inlineStr">
        <is>
          <t>17/11/2025, 1:31 pm</t>
        </is>
      </c>
      <c r="D59" s="4" t="inlineStr">
        <is>
          <t>17/11/2025, 1:36 pm</t>
        </is>
      </c>
      <c r="E59" s="4" t="inlineStr">
        <is>
          <t>Got future date</t>
        </is>
      </c>
      <c r="F59" s="4">
        <f>Daily_Visit_Log!F59</f>
        <v/>
      </c>
      <c r="G59" s="4">
        <f>Daily_Visit_Log!Y59</f>
        <v/>
      </c>
      <c r="H59" s="4">
        <f>Daily_Visit_Log!Q59</f>
        <v/>
      </c>
      <c r="I59" s="4">
        <f>IF(F59&lt;5,"YES","NO")</f>
        <v/>
      </c>
      <c r="J59" s="4">
        <f>MIN(100,IF(F59&gt;=30,50,IF(F59&gt;=15,40,IF(F59&gt;=5,25,10)))+IF(H59&gt;=50,50,IF(H59&gt;=30,40,IF(H59&gt;=20,30,IF(H59&gt;=10,20,10)))))</f>
        <v/>
      </c>
    </row>
    <row r="60">
      <c r="A60" s="3" t="n">
        <v>45981</v>
      </c>
      <c r="B60" s="4" t="inlineStr">
        <is>
          <t>Csn developers pvt Ltd</t>
        </is>
      </c>
      <c r="C60" s="4" t="inlineStr">
        <is>
          <t>20/11/2025, 11:27 am</t>
        </is>
      </c>
      <c r="D60" s="4" t="inlineStr">
        <is>
          <t>20/11/2025, 11:28 am</t>
        </is>
      </c>
      <c r="E60" s="4" t="inlineStr">
        <is>
          <t>Got future date</t>
        </is>
      </c>
      <c r="F60" s="4">
        <f>Daily_Visit_Log!F60</f>
        <v/>
      </c>
      <c r="G60" s="4">
        <f>Daily_Visit_Log!Y60</f>
        <v/>
      </c>
      <c r="H60" s="4">
        <f>Daily_Visit_Log!Q60</f>
        <v/>
      </c>
      <c r="I60" s="4">
        <f>IF(F60&lt;5,"YES","NO")</f>
        <v/>
      </c>
      <c r="J60" s="4">
        <f>MIN(100,IF(F60&gt;=30,50,IF(F60&gt;=15,40,IF(F60&gt;=5,25,10)))+IF(H60&gt;=50,50,IF(H60&gt;=30,40,IF(H60&gt;=20,30,IF(H60&gt;=10,20,10)))))</f>
        <v/>
      </c>
    </row>
    <row r="61">
      <c r="A61" s="3" t="n">
        <v>46001</v>
      </c>
      <c r="B61" s="4" t="inlineStr">
        <is>
          <t>Csn developers pvt Ltd</t>
        </is>
      </c>
      <c r="C61" s="4" t="inlineStr">
        <is>
          <t>10/12/2025, 4:55 pm</t>
        </is>
      </c>
      <c r="D61" s="4" t="inlineStr">
        <is>
          <t>10/12/2025, 4:58 pm</t>
        </is>
      </c>
      <c r="E61" s="4" t="inlineStr">
        <is>
          <t>Got future date</t>
        </is>
      </c>
      <c r="F61" s="4">
        <f>Daily_Visit_Log!F61</f>
        <v/>
      </c>
      <c r="G61" s="4">
        <f>Daily_Visit_Log!Y61</f>
        <v/>
      </c>
      <c r="H61" s="4">
        <f>Daily_Visit_Log!Q61</f>
        <v/>
      </c>
      <c r="I61" s="4">
        <f>IF(F61&lt;5,"YES","NO")</f>
        <v/>
      </c>
      <c r="J61" s="4">
        <f>MIN(100,IF(F61&gt;=30,50,IF(F61&gt;=15,40,IF(F61&gt;=5,25,10)))+IF(H61&gt;=50,50,IF(H61&gt;=30,40,IF(H61&gt;=20,30,IF(H61&gt;=10,20,10)))))</f>
        <v/>
      </c>
    </row>
    <row r="62">
      <c r="A62" s="3" t="n">
        <v>46013</v>
      </c>
      <c r="B62" s="4" t="inlineStr">
        <is>
          <t>Csn developers pvt Ltd</t>
        </is>
      </c>
      <c r="C62" s="4" t="inlineStr">
        <is>
          <t>22/12/2025, 5:49 pm</t>
        </is>
      </c>
      <c r="D62" s="4" t="inlineStr">
        <is>
          <t>22/12/2025, 5:51 pm</t>
        </is>
      </c>
      <c r="E62" s="4" t="inlineStr">
        <is>
          <t>Got future date</t>
        </is>
      </c>
      <c r="F62" s="4">
        <f>Daily_Visit_Log!F62</f>
        <v/>
      </c>
      <c r="G62" s="4">
        <f>Daily_Visit_Log!Y62</f>
        <v/>
      </c>
      <c r="H62" s="4">
        <f>Daily_Visit_Log!Q62</f>
        <v/>
      </c>
      <c r="I62" s="4">
        <f>IF(F62&lt;5,"YES","NO")</f>
        <v/>
      </c>
      <c r="J62" s="4">
        <f>MIN(100,IF(F62&gt;=30,50,IF(F62&gt;=15,40,IF(F62&gt;=5,25,10)))+IF(H62&gt;=50,50,IF(H62&gt;=30,40,IF(H62&gt;=20,30,IF(H62&gt;=10,20,10)))))</f>
        <v/>
      </c>
    </row>
    <row r="63">
      <c r="A63" s="3" t="n">
        <v>46028</v>
      </c>
      <c r="B63" s="4" t="inlineStr">
        <is>
          <t>Csn developers pvt Ltd</t>
        </is>
      </c>
      <c r="C63" s="4" t="inlineStr">
        <is>
          <t>06/01/2026, 7:13 pm</t>
        </is>
      </c>
      <c r="D63" s="4" t="inlineStr">
        <is>
          <t>06/01/2026, 7:15 pm</t>
        </is>
      </c>
      <c r="E63" s="4" t="inlineStr">
        <is>
          <t>Got future date</t>
        </is>
      </c>
      <c r="F63" s="4">
        <f>Daily_Visit_Log!F63</f>
        <v/>
      </c>
      <c r="G63" s="4">
        <f>Daily_Visit_Log!Y63</f>
        <v/>
      </c>
      <c r="H63" s="4">
        <f>Daily_Visit_Log!Q63</f>
        <v/>
      </c>
      <c r="I63" s="4">
        <f>IF(F63&lt;5,"YES","NO")</f>
        <v/>
      </c>
      <c r="J63" s="4">
        <f>MIN(100,IF(F63&gt;=30,50,IF(F63&gt;=15,40,IF(F63&gt;=5,25,10)))+IF(H63&gt;=50,50,IF(H63&gt;=30,40,IF(H63&gt;=20,30,IF(H63&gt;=10,20,10)))))</f>
        <v/>
      </c>
    </row>
    <row r="64">
      <c r="A64" s="3" t="n">
        <v>46035</v>
      </c>
      <c r="B64" s="4" t="inlineStr">
        <is>
          <t>Csn developers pvt Ltd</t>
        </is>
      </c>
      <c r="C64" s="4" t="inlineStr">
        <is>
          <t>13/01/2026, 12:02 pm</t>
        </is>
      </c>
      <c r="D64" s="4" t="inlineStr">
        <is>
          <t>13/01/2026, 12:03 pm</t>
        </is>
      </c>
      <c r="E64" s="4" t="inlineStr">
        <is>
          <t>Got future date</t>
        </is>
      </c>
      <c r="F64" s="4">
        <f>Daily_Visit_Log!F64</f>
        <v/>
      </c>
      <c r="G64" s="4">
        <f>Daily_Visit_Log!Y64</f>
        <v/>
      </c>
      <c r="H64" s="4">
        <f>Daily_Visit_Log!Q64</f>
        <v/>
      </c>
      <c r="I64" s="4">
        <f>IF(F64&lt;5,"YES","NO")</f>
        <v/>
      </c>
      <c r="J64" s="4">
        <f>MIN(100,IF(F64&gt;=30,50,IF(F64&gt;=15,40,IF(F64&gt;=5,25,10)))+IF(H64&gt;=50,50,IF(H64&gt;=30,40,IF(H64&gt;=20,30,IF(H64&gt;=10,20,10)))))</f>
        <v/>
      </c>
    </row>
    <row r="65">
      <c r="A65" s="3" t="n">
        <v>46052</v>
      </c>
      <c r="B65" s="4" t="inlineStr">
        <is>
          <t>Csn developers pvt Ltd</t>
        </is>
      </c>
      <c r="C65" s="4" t="inlineStr">
        <is>
          <t>30/01/2026, 4:42 pm</t>
        </is>
      </c>
      <c r="D65" s="4" t="inlineStr">
        <is>
          <t>30/01/2026, 4:45 pm</t>
        </is>
      </c>
      <c r="E65" s="4" t="inlineStr">
        <is>
          <t>Got future date</t>
        </is>
      </c>
      <c r="F65" s="4">
        <f>Daily_Visit_Log!F65</f>
        <v/>
      </c>
      <c r="G65" s="4">
        <f>Daily_Visit_Log!Y65</f>
        <v/>
      </c>
      <c r="H65" s="4">
        <f>Daily_Visit_Log!Q65</f>
        <v/>
      </c>
      <c r="I65" s="4">
        <f>IF(F65&lt;5,"YES","NO")</f>
        <v/>
      </c>
      <c r="J65" s="4">
        <f>MIN(100,IF(F65&gt;=30,50,IF(F65&gt;=15,40,IF(F65&gt;=5,25,10)))+IF(H65&gt;=50,50,IF(H65&gt;=30,40,IF(H65&gt;=20,30,IF(H65&gt;=10,20,10)))))</f>
        <v/>
      </c>
    </row>
    <row r="66">
      <c r="A66" s="3" t="n">
        <v>45992</v>
      </c>
      <c r="B66" s="4" t="inlineStr">
        <is>
          <t>Dhruwan sahu</t>
        </is>
      </c>
      <c r="C66" s="4" t="inlineStr">
        <is>
          <t>01/12/2025, 3:25 pm</t>
        </is>
      </c>
      <c r="D66" s="4" t="inlineStr">
        <is>
          <t>01/12/2025, 3:27 pm</t>
        </is>
      </c>
      <c r="E66" s="4" t="inlineStr">
        <is>
          <t>Got future date</t>
        </is>
      </c>
      <c r="F66" s="4">
        <f>Daily_Visit_Log!F66</f>
        <v/>
      </c>
      <c r="G66" s="4">
        <f>Daily_Visit_Log!Y66</f>
        <v/>
      </c>
      <c r="H66" s="4">
        <f>Daily_Visit_Log!Q66</f>
        <v/>
      </c>
      <c r="I66" s="4">
        <f>IF(F66&lt;5,"YES","NO")</f>
        <v/>
      </c>
      <c r="J66" s="4">
        <f>MIN(100,IF(F66&gt;=30,50,IF(F66&gt;=15,40,IF(F66&gt;=5,25,10)))+IF(H66&gt;=50,50,IF(H66&gt;=30,40,IF(H66&gt;=20,30,IF(H66&gt;=10,20,10)))))</f>
        <v/>
      </c>
    </row>
    <row r="67">
      <c r="A67" s="3" t="n">
        <v>46043</v>
      </c>
      <c r="B67" s="4" t="inlineStr">
        <is>
          <t>Dhruwan sahu</t>
        </is>
      </c>
      <c r="C67" s="4" t="inlineStr">
        <is>
          <t>21/01/2026, 7:10 pm</t>
        </is>
      </c>
      <c r="D67" s="4" t="inlineStr">
        <is>
          <t>21/01/2026, 7:12 pm</t>
        </is>
      </c>
      <c r="E67" s="4" t="inlineStr">
        <is>
          <t>Got future date</t>
        </is>
      </c>
      <c r="F67" s="4">
        <f>Daily_Visit_Log!F67</f>
        <v/>
      </c>
      <c r="G67" s="4">
        <f>Daily_Visit_Log!Y67</f>
        <v/>
      </c>
      <c r="H67" s="4">
        <f>Daily_Visit_Log!Q67</f>
        <v/>
      </c>
      <c r="I67" s="4">
        <f>IF(F67&lt;5,"YES","NO")</f>
        <v/>
      </c>
      <c r="J67" s="4">
        <f>MIN(100,IF(F67&gt;=30,50,IF(F67&gt;=15,40,IF(F67&gt;=5,25,10)))+IF(H67&gt;=50,50,IF(H67&gt;=30,40,IF(H67&gt;=20,30,IF(H67&gt;=10,20,10)))))</f>
        <v/>
      </c>
    </row>
    <row r="68">
      <c r="A68" s="3" t="n">
        <v>45968</v>
      </c>
      <c r="B68" s="4" t="inlineStr">
        <is>
          <t>Faithrive engineer pvt ltd</t>
        </is>
      </c>
      <c r="C68" s="4" t="inlineStr">
        <is>
          <t>07/11/2025, 11:00 am</t>
        </is>
      </c>
      <c r="D68" s="4" t="inlineStr">
        <is>
          <t>07/11/2025, 11:01 am</t>
        </is>
      </c>
      <c r="E68" s="4" t="inlineStr">
        <is>
          <t>Got future date</t>
        </is>
      </c>
      <c r="F68" s="4">
        <f>Daily_Visit_Log!F68</f>
        <v/>
      </c>
      <c r="G68" s="4">
        <f>Daily_Visit_Log!Y68</f>
        <v/>
      </c>
      <c r="H68" s="4">
        <f>Daily_Visit_Log!Q68</f>
        <v/>
      </c>
      <c r="I68" s="4">
        <f>IF(F68&lt;5,"YES","NO")</f>
        <v/>
      </c>
      <c r="J68" s="4">
        <f>MIN(100,IF(F68&gt;=30,50,IF(F68&gt;=15,40,IF(F68&gt;=5,25,10)))+IF(H68&gt;=50,50,IF(H68&gt;=30,40,IF(H68&gt;=20,30,IF(H68&gt;=10,20,10)))))</f>
        <v/>
      </c>
    </row>
    <row r="69">
      <c r="A69" s="3" t="n">
        <v>45975</v>
      </c>
      <c r="B69" s="4" t="inlineStr">
        <is>
          <t>Faithrive engineer pvt ltd</t>
        </is>
      </c>
      <c r="C69" s="4" t="inlineStr">
        <is>
          <t>14/11/2025, 11:18 am</t>
        </is>
      </c>
      <c r="D69" s="4" t="inlineStr">
        <is>
          <t>14/11/2025, 11:19 am</t>
        </is>
      </c>
      <c r="E69" s="4" t="inlineStr">
        <is>
          <t>Got future date</t>
        </is>
      </c>
      <c r="F69" s="4">
        <f>Daily_Visit_Log!F69</f>
        <v/>
      </c>
      <c r="G69" s="4">
        <f>Daily_Visit_Log!Y69</f>
        <v/>
      </c>
      <c r="H69" s="4">
        <f>Daily_Visit_Log!Q69</f>
        <v/>
      </c>
      <c r="I69" s="4">
        <f>IF(F69&lt;5,"YES","NO")</f>
        <v/>
      </c>
      <c r="J69" s="4">
        <f>MIN(100,IF(F69&gt;=30,50,IF(F69&gt;=15,40,IF(F69&gt;=5,25,10)))+IF(H69&gt;=50,50,IF(H69&gt;=30,40,IF(H69&gt;=20,30,IF(H69&gt;=10,20,10)))))</f>
        <v/>
      </c>
    </row>
    <row r="70">
      <c r="A70" s="3" t="n">
        <v>45978</v>
      </c>
      <c r="B70" s="4" t="inlineStr">
        <is>
          <t>Faithrive engineer pvt ltd</t>
        </is>
      </c>
      <c r="C70" s="4" t="inlineStr">
        <is>
          <t>17/11/2025, 7:32 pm</t>
        </is>
      </c>
      <c r="D70" s="4" t="inlineStr">
        <is>
          <t>17/11/2025, 7:37 pm</t>
        </is>
      </c>
      <c r="E70" s="4" t="inlineStr">
        <is>
          <t>Got future date</t>
        </is>
      </c>
      <c r="F70" s="4">
        <f>Daily_Visit_Log!F70</f>
        <v/>
      </c>
      <c r="G70" s="4">
        <f>Daily_Visit_Log!Y70</f>
        <v/>
      </c>
      <c r="H70" s="4">
        <f>Daily_Visit_Log!Q70</f>
        <v/>
      </c>
      <c r="I70" s="4">
        <f>IF(F70&lt;5,"YES","NO")</f>
        <v/>
      </c>
      <c r="J70" s="4">
        <f>MIN(100,IF(F70&gt;=30,50,IF(F70&gt;=15,40,IF(F70&gt;=5,25,10)))+IF(H70&gt;=50,50,IF(H70&gt;=30,40,IF(H70&gt;=20,30,IF(H70&gt;=10,20,10)))))</f>
        <v/>
      </c>
    </row>
    <row r="71">
      <c r="A71" s="3" t="n">
        <v>45996</v>
      </c>
      <c r="B71" s="4" t="inlineStr">
        <is>
          <t>Faithrive engineer pvt ltd</t>
        </is>
      </c>
      <c r="C71" s="4" t="inlineStr">
        <is>
          <t>05/12/2025, 4:14 pm</t>
        </is>
      </c>
      <c r="D71" s="4" t="inlineStr">
        <is>
          <t>05/12/2025, 4:16 pm</t>
        </is>
      </c>
      <c r="E71" s="4" t="inlineStr">
        <is>
          <t>Got future date</t>
        </is>
      </c>
      <c r="F71" s="4">
        <f>Daily_Visit_Log!F71</f>
        <v/>
      </c>
      <c r="G71" s="4">
        <f>Daily_Visit_Log!Y71</f>
        <v/>
      </c>
      <c r="H71" s="4">
        <f>Daily_Visit_Log!Q71</f>
        <v/>
      </c>
      <c r="I71" s="4">
        <f>IF(F71&lt;5,"YES","NO")</f>
        <v/>
      </c>
      <c r="J71" s="4">
        <f>MIN(100,IF(F71&gt;=30,50,IF(F71&gt;=15,40,IF(F71&gt;=5,25,10)))+IF(H71&gt;=50,50,IF(H71&gt;=30,40,IF(H71&gt;=20,30,IF(H71&gt;=10,20,10)))))</f>
        <v/>
      </c>
    </row>
    <row r="72">
      <c r="A72" s="3" t="n">
        <v>46013</v>
      </c>
      <c r="B72" s="4" t="inlineStr">
        <is>
          <t>Faithrive engineer pvt ltd</t>
        </is>
      </c>
      <c r="C72" s="4" t="inlineStr">
        <is>
          <t>22/12/2025, 5:14 pm</t>
        </is>
      </c>
      <c r="D72" s="4" t="inlineStr">
        <is>
          <t>22/12/2025, 5:16 pm</t>
        </is>
      </c>
      <c r="E72" s="4" t="inlineStr">
        <is>
          <t>Got future date</t>
        </is>
      </c>
      <c r="F72" s="4">
        <f>Daily_Visit_Log!F72</f>
        <v/>
      </c>
      <c r="G72" s="4">
        <f>Daily_Visit_Log!Y72</f>
        <v/>
      </c>
      <c r="H72" s="4">
        <f>Daily_Visit_Log!Q72</f>
        <v/>
      </c>
      <c r="I72" s="4">
        <f>IF(F72&lt;5,"YES","NO")</f>
        <v/>
      </c>
      <c r="J72" s="4">
        <f>MIN(100,IF(F72&gt;=30,50,IF(F72&gt;=15,40,IF(F72&gt;=5,25,10)))+IF(H72&gt;=50,50,IF(H72&gt;=30,40,IF(H72&gt;=20,30,IF(H72&gt;=10,20,10)))))</f>
        <v/>
      </c>
    </row>
    <row r="73">
      <c r="A73" s="3" t="n">
        <v>46029</v>
      </c>
      <c r="B73" s="4" t="inlineStr">
        <is>
          <t>Faithrive engineer pvt ltd</t>
        </is>
      </c>
      <c r="C73" s="4" t="inlineStr">
        <is>
          <t>07/01/2026, 6:25 pm</t>
        </is>
      </c>
      <c r="D73" s="4" t="inlineStr">
        <is>
          <t>07/01/2026, 6:26 pm</t>
        </is>
      </c>
      <c r="E73" s="4" t="inlineStr">
        <is>
          <t>Got future date</t>
        </is>
      </c>
      <c r="F73" s="4">
        <f>Daily_Visit_Log!F73</f>
        <v/>
      </c>
      <c r="G73" s="4">
        <f>Daily_Visit_Log!Y73</f>
        <v/>
      </c>
      <c r="H73" s="4">
        <f>Daily_Visit_Log!Q73</f>
        <v/>
      </c>
      <c r="I73" s="4">
        <f>IF(F73&lt;5,"YES","NO")</f>
        <v/>
      </c>
      <c r="J73" s="4">
        <f>MIN(100,IF(F73&gt;=30,50,IF(F73&gt;=15,40,IF(F73&gt;=5,25,10)))+IF(H73&gt;=50,50,IF(H73&gt;=30,40,IF(H73&gt;=20,30,IF(H73&gt;=10,20,10)))))</f>
        <v/>
      </c>
    </row>
    <row r="74">
      <c r="A74" s="3" t="n">
        <v>46034</v>
      </c>
      <c r="B74" s="4" t="inlineStr">
        <is>
          <t>Faithrive engineer pvt ltd</t>
        </is>
      </c>
      <c r="C74" s="4" t="inlineStr">
        <is>
          <t>12/01/2026, 6:28 pm</t>
        </is>
      </c>
      <c r="D74" s="4" t="inlineStr">
        <is>
          <t>12/01/2026, 6:29 pm</t>
        </is>
      </c>
      <c r="E74" s="4" t="inlineStr">
        <is>
          <t>Got future date</t>
        </is>
      </c>
      <c r="F74" s="4">
        <f>Daily_Visit_Log!F74</f>
        <v/>
      </c>
      <c r="G74" s="4">
        <f>Daily_Visit_Log!Y74</f>
        <v/>
      </c>
      <c r="H74" s="4">
        <f>Daily_Visit_Log!Q74</f>
        <v/>
      </c>
      <c r="I74" s="4">
        <f>IF(F74&lt;5,"YES","NO")</f>
        <v/>
      </c>
      <c r="J74" s="4">
        <f>MIN(100,IF(F74&gt;=30,50,IF(F74&gt;=15,40,IF(F74&gt;=5,25,10)))+IF(H74&gt;=50,50,IF(H74&gt;=30,40,IF(H74&gt;=20,30,IF(H74&gt;=10,20,10)))))</f>
        <v/>
      </c>
    </row>
    <row r="75">
      <c r="A75" s="3" t="n">
        <v>46050</v>
      </c>
      <c r="B75" s="4" t="inlineStr">
        <is>
          <t>Faithrive engineer pvt ltd</t>
        </is>
      </c>
      <c r="C75" s="4" t="inlineStr">
        <is>
          <t>28/01/2026, 3:11 pm</t>
        </is>
      </c>
      <c r="D75" s="4" t="inlineStr">
        <is>
          <t>28/01/2026, 3:16 pm</t>
        </is>
      </c>
      <c r="E75" s="4" t="inlineStr">
        <is>
          <t>Got future date</t>
        </is>
      </c>
      <c r="F75" s="4">
        <f>Daily_Visit_Log!F75</f>
        <v/>
      </c>
      <c r="G75" s="4">
        <f>Daily_Visit_Log!Y75</f>
        <v/>
      </c>
      <c r="H75" s="4">
        <f>Daily_Visit_Log!Q75</f>
        <v/>
      </c>
      <c r="I75" s="4">
        <f>IF(F75&lt;5,"YES","NO")</f>
        <v/>
      </c>
      <c r="J75" s="4">
        <f>MIN(100,IF(F75&gt;=30,50,IF(F75&gt;=15,40,IF(F75&gt;=5,25,10)))+IF(H75&gt;=50,50,IF(H75&gt;=30,40,IF(H75&gt;=20,30,IF(H75&gt;=10,20,10)))))</f>
        <v/>
      </c>
    </row>
    <row r="76">
      <c r="A76" s="3" t="n">
        <v>45965</v>
      </c>
      <c r="B76" s="4" t="inlineStr">
        <is>
          <t>Green Vatican construction pvt Ltd</t>
        </is>
      </c>
      <c r="C76" s="4" t="inlineStr">
        <is>
          <t>04/11/2025, 5:48 pm</t>
        </is>
      </c>
      <c r="D76" s="4" t="inlineStr">
        <is>
          <t>04/11/2025, 5:51 pm</t>
        </is>
      </c>
      <c r="E76" s="4" t="inlineStr">
        <is>
          <t>Got future date</t>
        </is>
      </c>
      <c r="F76" s="4">
        <f>Daily_Visit_Log!F76</f>
        <v/>
      </c>
      <c r="G76" s="4">
        <f>Daily_Visit_Log!Y76</f>
        <v/>
      </c>
      <c r="H76" s="4">
        <f>Daily_Visit_Log!Q76</f>
        <v/>
      </c>
      <c r="I76" s="4">
        <f>IF(F76&lt;5,"YES","NO")</f>
        <v/>
      </c>
      <c r="J76" s="4">
        <f>MIN(100,IF(F76&gt;=30,50,IF(F76&gt;=15,40,IF(F76&gt;=5,25,10)))+IF(H76&gt;=50,50,IF(H76&gt;=30,40,IF(H76&gt;=20,30,IF(H76&gt;=10,20,10)))))</f>
        <v/>
      </c>
    </row>
    <row r="77">
      <c r="A77" s="3" t="n">
        <v>45981</v>
      </c>
      <c r="B77" s="4" t="inlineStr">
        <is>
          <t>Green Vatican construction pvt Ltd</t>
        </is>
      </c>
      <c r="C77" s="4" t="inlineStr">
        <is>
          <t>20/11/2025, 5:23 pm</t>
        </is>
      </c>
      <c r="D77" s="4" t="inlineStr">
        <is>
          <t>20/11/2025, 5:24 pm</t>
        </is>
      </c>
      <c r="E77" s="4" t="inlineStr">
        <is>
          <t>Got future date</t>
        </is>
      </c>
      <c r="F77" s="4">
        <f>Daily_Visit_Log!F77</f>
        <v/>
      </c>
      <c r="G77" s="4">
        <f>Daily_Visit_Log!Y77</f>
        <v/>
      </c>
      <c r="H77" s="4">
        <f>Daily_Visit_Log!Q77</f>
        <v/>
      </c>
      <c r="I77" s="4">
        <f>IF(F77&lt;5,"YES","NO")</f>
        <v/>
      </c>
      <c r="J77" s="4">
        <f>MIN(100,IF(F77&gt;=30,50,IF(F77&gt;=15,40,IF(F77&gt;=5,25,10)))+IF(H77&gt;=50,50,IF(H77&gt;=30,40,IF(H77&gt;=20,30,IF(H77&gt;=10,20,10)))))</f>
        <v/>
      </c>
    </row>
    <row r="78">
      <c r="A78" s="3" t="n">
        <v>45982</v>
      </c>
      <c r="B78" s="4" t="inlineStr">
        <is>
          <t>Green Vatican construction pvt Ltd</t>
        </is>
      </c>
      <c r="C78" s="4" t="inlineStr">
        <is>
          <t>21/11/2025, 4:24 pm</t>
        </is>
      </c>
      <c r="D78" s="4" t="inlineStr">
        <is>
          <t>21/11/2025, 4:25 pm</t>
        </is>
      </c>
      <c r="E78" s="4" t="inlineStr">
        <is>
          <t>Got future date</t>
        </is>
      </c>
      <c r="F78" s="4">
        <f>Daily_Visit_Log!F78</f>
        <v/>
      </c>
      <c r="G78" s="4">
        <f>Daily_Visit_Log!Y78</f>
        <v/>
      </c>
      <c r="H78" s="4">
        <f>Daily_Visit_Log!Q78</f>
        <v/>
      </c>
      <c r="I78" s="4">
        <f>IF(F78&lt;5,"YES","NO")</f>
        <v/>
      </c>
      <c r="J78" s="4">
        <f>MIN(100,IF(F78&gt;=30,50,IF(F78&gt;=15,40,IF(F78&gt;=5,25,10)))+IF(H78&gt;=50,50,IF(H78&gt;=30,40,IF(H78&gt;=20,30,IF(H78&gt;=10,20,10)))))</f>
        <v/>
      </c>
    </row>
    <row r="79">
      <c r="A79" s="3" t="n">
        <v>46002</v>
      </c>
      <c r="B79" s="4" t="inlineStr">
        <is>
          <t>Green Vatican construction pvt Ltd</t>
        </is>
      </c>
      <c r="C79" s="4" t="inlineStr">
        <is>
          <t>11/12/2025, 12:16 pm</t>
        </is>
      </c>
      <c r="D79" s="4" t="inlineStr">
        <is>
          <t>11/12/2025, 12:19 pm</t>
        </is>
      </c>
      <c r="E79" s="4" t="inlineStr">
        <is>
          <t>Got future date</t>
        </is>
      </c>
      <c r="F79" s="4">
        <f>Daily_Visit_Log!F79</f>
        <v/>
      </c>
      <c r="G79" s="4">
        <f>Daily_Visit_Log!Y79</f>
        <v/>
      </c>
      <c r="H79" s="4">
        <f>Daily_Visit_Log!Q79</f>
        <v/>
      </c>
      <c r="I79" s="4">
        <f>IF(F79&lt;5,"YES","NO")</f>
        <v/>
      </c>
      <c r="J79" s="4">
        <f>MIN(100,IF(F79&gt;=30,50,IF(F79&gt;=15,40,IF(F79&gt;=5,25,10)))+IF(H79&gt;=50,50,IF(H79&gt;=30,40,IF(H79&gt;=20,30,IF(H79&gt;=10,20,10)))))</f>
        <v/>
      </c>
    </row>
    <row r="80">
      <c r="A80" s="3" t="n">
        <v>46028</v>
      </c>
      <c r="B80" s="4" t="inlineStr">
        <is>
          <t>Green Vatican construction pvt Ltd</t>
        </is>
      </c>
      <c r="C80" s="4" t="inlineStr">
        <is>
          <t>06/01/2026, 11:13 am</t>
        </is>
      </c>
      <c r="D80" s="4" t="inlineStr">
        <is>
          <t>06/01/2026, 11:17 am</t>
        </is>
      </c>
      <c r="E80" s="4" t="inlineStr">
        <is>
          <t>Got future date</t>
        </is>
      </c>
      <c r="F80" s="4">
        <f>Daily_Visit_Log!F80</f>
        <v/>
      </c>
      <c r="G80" s="4">
        <f>Daily_Visit_Log!Y80</f>
        <v/>
      </c>
      <c r="H80" s="4">
        <f>Daily_Visit_Log!Q80</f>
        <v/>
      </c>
      <c r="I80" s="4">
        <f>IF(F80&lt;5,"YES","NO")</f>
        <v/>
      </c>
      <c r="J80" s="4">
        <f>MIN(100,IF(F80&gt;=30,50,IF(F80&gt;=15,40,IF(F80&gt;=5,25,10)))+IF(H80&gt;=50,50,IF(H80&gt;=30,40,IF(H80&gt;=20,30,IF(H80&gt;=10,20,10)))))</f>
        <v/>
      </c>
    </row>
    <row r="81">
      <c r="A81" s="3" t="n">
        <v>46034</v>
      </c>
      <c r="B81" s="4" t="inlineStr">
        <is>
          <t>Green Vatican construction pvt Ltd</t>
        </is>
      </c>
      <c r="C81" s="4" t="inlineStr">
        <is>
          <t>12/01/2026, 4:56 pm</t>
        </is>
      </c>
      <c r="D81" s="4" t="inlineStr">
        <is>
          <t>12/01/2026, 4:57 pm</t>
        </is>
      </c>
      <c r="E81" s="4" t="inlineStr">
        <is>
          <t>Got future date</t>
        </is>
      </c>
      <c r="F81" s="4">
        <f>Daily_Visit_Log!F81</f>
        <v/>
      </c>
      <c r="G81" s="4">
        <f>Daily_Visit_Log!Y81</f>
        <v/>
      </c>
      <c r="H81" s="4">
        <f>Daily_Visit_Log!Q81</f>
        <v/>
      </c>
      <c r="I81" s="4">
        <f>IF(F81&lt;5,"YES","NO")</f>
        <v/>
      </c>
      <c r="J81" s="4">
        <f>MIN(100,IF(F81&gt;=30,50,IF(F81&gt;=15,40,IF(F81&gt;=5,25,10)))+IF(H81&gt;=50,50,IF(H81&gt;=30,40,IF(H81&gt;=20,30,IF(H81&gt;=10,20,10)))))</f>
        <v/>
      </c>
    </row>
    <row r="82">
      <c r="A82" s="3" t="n">
        <v>46038</v>
      </c>
      <c r="B82" s="4" t="inlineStr">
        <is>
          <t>Green Vatican construction pvt Ltd</t>
        </is>
      </c>
      <c r="C82" s="4" t="inlineStr">
        <is>
          <t>16/01/2026, 4:35 pm</t>
        </is>
      </c>
      <c r="D82" s="4" t="inlineStr">
        <is>
          <t>16/01/2026, 4:36 pm</t>
        </is>
      </c>
      <c r="E82" s="4" t="inlineStr">
        <is>
          <t>Got future date</t>
        </is>
      </c>
      <c r="F82" s="4">
        <f>Daily_Visit_Log!F82</f>
        <v/>
      </c>
      <c r="G82" s="4">
        <f>Daily_Visit_Log!Y82</f>
        <v/>
      </c>
      <c r="H82" s="4">
        <f>Daily_Visit_Log!Q82</f>
        <v/>
      </c>
      <c r="I82" s="4">
        <f>IF(F82&lt;5,"YES","NO")</f>
        <v/>
      </c>
      <c r="J82" s="4">
        <f>MIN(100,IF(F82&gt;=30,50,IF(F82&gt;=15,40,IF(F82&gt;=5,25,10)))+IF(H82&gt;=50,50,IF(H82&gt;=30,40,IF(H82&gt;=20,30,IF(H82&gt;=10,20,10)))))</f>
        <v/>
      </c>
    </row>
    <row r="83">
      <c r="A83" s="3" t="n">
        <v>46042</v>
      </c>
      <c r="B83" s="4" t="inlineStr">
        <is>
          <t>Green Vatican construction pvt Ltd</t>
        </is>
      </c>
      <c r="C83" s="4" t="inlineStr">
        <is>
          <t>20/01/2026, 12:55 pm</t>
        </is>
      </c>
      <c r="D83" s="4" t="inlineStr">
        <is>
          <t>20/01/2026, 12:58 pm</t>
        </is>
      </c>
      <c r="E83" s="4" t="inlineStr">
        <is>
          <t>Got future date</t>
        </is>
      </c>
      <c r="F83" s="4">
        <f>Daily_Visit_Log!F83</f>
        <v/>
      </c>
      <c r="G83" s="4">
        <f>Daily_Visit_Log!Y83</f>
        <v/>
      </c>
      <c r="H83" s="4">
        <f>Daily_Visit_Log!Q83</f>
        <v/>
      </c>
      <c r="I83" s="4">
        <f>IF(F83&lt;5,"YES","NO")</f>
        <v/>
      </c>
      <c r="J83" s="4">
        <f>MIN(100,IF(F83&gt;=30,50,IF(F83&gt;=15,40,IF(F83&gt;=5,25,10)))+IF(H83&gt;=50,50,IF(H83&gt;=30,40,IF(H83&gt;=20,30,IF(H83&gt;=10,20,10)))))</f>
        <v/>
      </c>
    </row>
    <row r="84">
      <c r="A84" s="3" t="n">
        <v>46050</v>
      </c>
      <c r="B84" s="4" t="inlineStr">
        <is>
          <t>Green Vatican construction pvt Ltd</t>
        </is>
      </c>
      <c r="C84" s="4" t="inlineStr">
        <is>
          <t>28/01/2026, 11:29 am</t>
        </is>
      </c>
      <c r="D84" s="4" t="inlineStr">
        <is>
          <t>28/01/2026, 11:31 am</t>
        </is>
      </c>
      <c r="E84" s="4" t="inlineStr">
        <is>
          <t>Got future date</t>
        </is>
      </c>
      <c r="F84" s="4">
        <f>Daily_Visit_Log!F84</f>
        <v/>
      </c>
      <c r="G84" s="4">
        <f>Daily_Visit_Log!Y84</f>
        <v/>
      </c>
      <c r="H84" s="4">
        <f>Daily_Visit_Log!Q84</f>
        <v/>
      </c>
      <c r="I84" s="4">
        <f>IF(F84&lt;5,"YES","NO")</f>
        <v/>
      </c>
      <c r="J84" s="4">
        <f>MIN(100,IF(F84&gt;=30,50,IF(F84&gt;=15,40,IF(F84&gt;=5,25,10)))+IF(H84&gt;=50,50,IF(H84&gt;=30,40,IF(H84&gt;=20,30,IF(H84&gt;=10,20,10)))))</f>
        <v/>
      </c>
    </row>
    <row r="85">
      <c r="A85" s="3" t="n">
        <v>45965</v>
      </c>
      <c r="B85" s="4" t="inlineStr">
        <is>
          <t>Green sky realty</t>
        </is>
      </c>
      <c r="C85" s="4" t="inlineStr">
        <is>
          <t>04/11/2025, 5:30 pm</t>
        </is>
      </c>
      <c r="D85" s="4" t="inlineStr">
        <is>
          <t>04/11/2025, 5:33 pm</t>
        </is>
      </c>
      <c r="E85" s="4" t="inlineStr">
        <is>
          <t>Got future date</t>
        </is>
      </c>
      <c r="F85" s="4">
        <f>Daily_Visit_Log!F85</f>
        <v/>
      </c>
      <c r="G85" s="4">
        <f>Daily_Visit_Log!Y85</f>
        <v/>
      </c>
      <c r="H85" s="4">
        <f>Daily_Visit_Log!Q85</f>
        <v/>
      </c>
      <c r="I85" s="4">
        <f>IF(F85&lt;5,"YES","NO")</f>
        <v/>
      </c>
      <c r="J85" s="4">
        <f>MIN(100,IF(F85&gt;=30,50,IF(F85&gt;=15,40,IF(F85&gt;=5,25,10)))+IF(H85&gt;=50,50,IF(H85&gt;=30,40,IF(H85&gt;=20,30,IF(H85&gt;=10,20,10)))))</f>
        <v/>
      </c>
    </row>
    <row r="86">
      <c r="A86" s="3" t="n">
        <v>45967</v>
      </c>
      <c r="B86" s="4" t="inlineStr">
        <is>
          <t>Green sky realty</t>
        </is>
      </c>
      <c r="C86" s="4" t="inlineStr">
        <is>
          <t>06/11/2025, 6:48 pm</t>
        </is>
      </c>
      <c r="D86" s="4" t="inlineStr">
        <is>
          <t>06/11/2025, 6:49 pm</t>
        </is>
      </c>
      <c r="E86" s="4" t="inlineStr">
        <is>
          <t>Got future date</t>
        </is>
      </c>
      <c r="F86" s="4">
        <f>Daily_Visit_Log!F86</f>
        <v/>
      </c>
      <c r="G86" s="4">
        <f>Daily_Visit_Log!Y86</f>
        <v/>
      </c>
      <c r="H86" s="4">
        <f>Daily_Visit_Log!Q86</f>
        <v/>
      </c>
      <c r="I86" s="4">
        <f>IF(F86&lt;5,"YES","NO")</f>
        <v/>
      </c>
      <c r="J86" s="4">
        <f>MIN(100,IF(F86&gt;=30,50,IF(F86&gt;=15,40,IF(F86&gt;=5,25,10)))+IF(H86&gt;=50,50,IF(H86&gt;=30,40,IF(H86&gt;=20,30,IF(H86&gt;=10,20,10)))))</f>
        <v/>
      </c>
    </row>
    <row r="87">
      <c r="A87" s="3" t="n">
        <v>46003</v>
      </c>
      <c r="B87" s="4" t="inlineStr">
        <is>
          <t>Green sky realty</t>
        </is>
      </c>
      <c r="C87" s="4" t="inlineStr">
        <is>
          <t>12/12/2025, 11:00 am</t>
        </is>
      </c>
      <c r="D87" s="4" t="inlineStr">
        <is>
          <t>12/12/2025, 11:04 am</t>
        </is>
      </c>
      <c r="E87" s="4" t="inlineStr">
        <is>
          <t>Got future date</t>
        </is>
      </c>
      <c r="F87" s="4">
        <f>Daily_Visit_Log!F87</f>
        <v/>
      </c>
      <c r="G87" s="4">
        <f>Daily_Visit_Log!Y87</f>
        <v/>
      </c>
      <c r="H87" s="4">
        <f>Daily_Visit_Log!Q87</f>
        <v/>
      </c>
      <c r="I87" s="4">
        <f>IF(F87&lt;5,"YES","NO")</f>
        <v/>
      </c>
      <c r="J87" s="4">
        <f>MIN(100,IF(F87&gt;=30,50,IF(F87&gt;=15,40,IF(F87&gt;=5,25,10)))+IF(H87&gt;=50,50,IF(H87&gt;=30,40,IF(H87&gt;=20,30,IF(H87&gt;=10,20,10)))))</f>
        <v/>
      </c>
    </row>
    <row r="88">
      <c r="A88" s="3" t="n">
        <v>46013</v>
      </c>
      <c r="B88" s="4" t="inlineStr">
        <is>
          <t>Green sky realty</t>
        </is>
      </c>
      <c r="C88" s="4" t="inlineStr">
        <is>
          <t>22/12/2025, 5:11 pm</t>
        </is>
      </c>
      <c r="D88" s="4" t="inlineStr">
        <is>
          <t>22/12/2025, 5:12 pm</t>
        </is>
      </c>
      <c r="E88" s="4" t="inlineStr">
        <is>
          <t>Got future date</t>
        </is>
      </c>
      <c r="F88" s="4">
        <f>Daily_Visit_Log!F88</f>
        <v/>
      </c>
      <c r="G88" s="4">
        <f>Daily_Visit_Log!Y88</f>
        <v/>
      </c>
      <c r="H88" s="4">
        <f>Daily_Visit_Log!Q88</f>
        <v/>
      </c>
      <c r="I88" s="4">
        <f>IF(F88&lt;5,"YES","NO")</f>
        <v/>
      </c>
      <c r="J88" s="4">
        <f>MIN(100,IF(F88&gt;=30,50,IF(F88&gt;=15,40,IF(F88&gt;=5,25,10)))+IF(H88&gt;=50,50,IF(H88&gt;=30,40,IF(H88&gt;=20,30,IF(H88&gt;=10,20,10)))))</f>
        <v/>
      </c>
    </row>
    <row r="89">
      <c r="A89" s="3" t="n">
        <v>46021</v>
      </c>
      <c r="B89" s="4" t="inlineStr">
        <is>
          <t>Green sky realty</t>
        </is>
      </c>
      <c r="C89" s="4" t="inlineStr">
        <is>
          <t>30/12/2025, 11:20 am</t>
        </is>
      </c>
      <c r="D89" s="4" t="inlineStr">
        <is>
          <t>30/12/2025, 11:22 am</t>
        </is>
      </c>
      <c r="E89" s="4" t="inlineStr">
        <is>
          <t>Got future date</t>
        </is>
      </c>
      <c r="F89" s="4">
        <f>Daily_Visit_Log!F89</f>
        <v/>
      </c>
      <c r="G89" s="4">
        <f>Daily_Visit_Log!Y89</f>
        <v/>
      </c>
      <c r="H89" s="4">
        <f>Daily_Visit_Log!Q89</f>
        <v/>
      </c>
      <c r="I89" s="4">
        <f>IF(F89&lt;5,"YES","NO")</f>
        <v/>
      </c>
      <c r="J89" s="4">
        <f>MIN(100,IF(F89&gt;=30,50,IF(F89&gt;=15,40,IF(F89&gt;=5,25,10)))+IF(H89&gt;=50,50,IF(H89&gt;=30,40,IF(H89&gt;=20,30,IF(H89&gt;=10,20,10)))))</f>
        <v/>
      </c>
    </row>
    <row r="90">
      <c r="A90" s="3" t="n">
        <v>46034</v>
      </c>
      <c r="B90" s="4" t="inlineStr">
        <is>
          <t>Green sky realty</t>
        </is>
      </c>
      <c r="C90" s="4" t="inlineStr">
        <is>
          <t>12/01/2026, 5:59 pm</t>
        </is>
      </c>
      <c r="D90" s="4" t="inlineStr">
        <is>
          <t>12/01/2026, 6:01 pm</t>
        </is>
      </c>
      <c r="E90" s="4" t="inlineStr">
        <is>
          <t>Got future date</t>
        </is>
      </c>
      <c r="F90" s="4">
        <f>Daily_Visit_Log!F90</f>
        <v/>
      </c>
      <c r="G90" s="4">
        <f>Daily_Visit_Log!Y90</f>
        <v/>
      </c>
      <c r="H90" s="4">
        <f>Daily_Visit_Log!Q90</f>
        <v/>
      </c>
      <c r="I90" s="4">
        <f>IF(F90&lt;5,"YES","NO")</f>
        <v/>
      </c>
      <c r="J90" s="4">
        <f>MIN(100,IF(F90&gt;=30,50,IF(F90&gt;=15,40,IF(F90&gt;=5,25,10)))+IF(H90&gt;=50,50,IF(H90&gt;=30,40,IF(H90&gt;=20,30,IF(H90&gt;=10,20,10)))))</f>
        <v/>
      </c>
    </row>
    <row r="91">
      <c r="A91" s="3" t="n">
        <v>45994</v>
      </c>
      <c r="B91" s="4" t="inlineStr">
        <is>
          <t>LALSAR STEEL</t>
        </is>
      </c>
      <c r="C91" s="4" t="inlineStr">
        <is>
          <t>03/12/2025, 5:57 pm</t>
        </is>
      </c>
      <c r="D91" s="4" t="inlineStr">
        <is>
          <t>03/12/2025, 5:58 pm</t>
        </is>
      </c>
      <c r="E91" s="4" t="inlineStr">
        <is>
          <t>Got future date</t>
        </is>
      </c>
      <c r="F91" s="4">
        <f>Daily_Visit_Log!F91</f>
        <v/>
      </c>
      <c r="G91" s="4">
        <f>Daily_Visit_Log!Y91</f>
        <v/>
      </c>
      <c r="H91" s="4">
        <f>Daily_Visit_Log!Q91</f>
        <v/>
      </c>
      <c r="I91" s="4">
        <f>IF(F91&lt;5,"YES","NO")</f>
        <v/>
      </c>
      <c r="J91" s="4">
        <f>MIN(100,IF(F91&gt;=30,50,IF(F91&gt;=15,40,IF(F91&gt;=5,25,10)))+IF(H91&gt;=50,50,IF(H91&gt;=30,40,IF(H91&gt;=20,30,IF(H91&gt;=10,20,10)))))</f>
        <v/>
      </c>
    </row>
    <row r="92">
      <c r="A92" s="3" t="n">
        <v>45999</v>
      </c>
      <c r="B92" s="4" t="inlineStr">
        <is>
          <t>LALSAR STEEL</t>
        </is>
      </c>
      <c r="C92" s="4" t="inlineStr">
        <is>
          <t>08/12/2025, 1:06 pm</t>
        </is>
      </c>
      <c r="D92" s="4" t="inlineStr">
        <is>
          <t>08/12/2025, 1:08 pm</t>
        </is>
      </c>
      <c r="E92" s="4" t="inlineStr">
        <is>
          <t>Got future date</t>
        </is>
      </c>
      <c r="F92" s="4">
        <f>Daily_Visit_Log!F92</f>
        <v/>
      </c>
      <c r="G92" s="4">
        <f>Daily_Visit_Log!Y92</f>
        <v/>
      </c>
      <c r="H92" s="4">
        <f>Daily_Visit_Log!Q92</f>
        <v/>
      </c>
      <c r="I92" s="4">
        <f>IF(F92&lt;5,"YES","NO")</f>
        <v/>
      </c>
      <c r="J92" s="4">
        <f>MIN(100,IF(F92&gt;=30,50,IF(F92&gt;=15,40,IF(F92&gt;=5,25,10)))+IF(H92&gt;=50,50,IF(H92&gt;=30,40,IF(H92&gt;=20,30,IF(H92&gt;=10,20,10)))))</f>
        <v/>
      </c>
    </row>
    <row r="93">
      <c r="A93" s="3" t="n">
        <v>46000</v>
      </c>
      <c r="B93" s="4" t="inlineStr">
        <is>
          <t>LALSAR STEEL</t>
        </is>
      </c>
      <c r="C93" s="4" t="inlineStr">
        <is>
          <t>09/12/2025, 1:03 pm</t>
        </is>
      </c>
      <c r="D93" s="4" t="inlineStr">
        <is>
          <t>09/12/2025, 1:37 pm</t>
        </is>
      </c>
      <c r="E93" s="4" t="inlineStr">
        <is>
          <t>Got future date</t>
        </is>
      </c>
      <c r="F93" s="4">
        <f>Daily_Visit_Log!F93</f>
        <v/>
      </c>
      <c r="G93" s="4">
        <f>Daily_Visit_Log!Y93</f>
        <v/>
      </c>
      <c r="H93" s="4">
        <f>Daily_Visit_Log!Q93</f>
        <v/>
      </c>
      <c r="I93" s="4">
        <f>IF(F93&lt;5,"YES","NO")</f>
        <v/>
      </c>
      <c r="J93" s="4">
        <f>MIN(100,IF(F93&gt;=30,50,IF(F93&gt;=15,40,IF(F93&gt;=5,25,10)))+IF(H93&gt;=50,50,IF(H93&gt;=30,40,IF(H93&gt;=20,30,IF(H93&gt;=10,20,10)))))</f>
        <v/>
      </c>
    </row>
    <row r="94">
      <c r="A94" s="3" t="n">
        <v>46021</v>
      </c>
      <c r="B94" s="4" t="inlineStr">
        <is>
          <t>LALSAR STEEL</t>
        </is>
      </c>
      <c r="C94" s="4" t="inlineStr">
        <is>
          <t>30/12/2025, 5:14 pm</t>
        </is>
      </c>
      <c r="D94" s="4" t="inlineStr">
        <is>
          <t>30/12/2025, 5:18 pm</t>
        </is>
      </c>
      <c r="E94" s="4" t="inlineStr">
        <is>
          <t>Got future date</t>
        </is>
      </c>
      <c r="F94" s="4">
        <f>Daily_Visit_Log!F94</f>
        <v/>
      </c>
      <c r="G94" s="4">
        <f>Daily_Visit_Log!Y94</f>
        <v/>
      </c>
      <c r="H94" s="4">
        <f>Daily_Visit_Log!Q94</f>
        <v/>
      </c>
      <c r="I94" s="4">
        <f>IF(F94&lt;5,"YES","NO")</f>
        <v/>
      </c>
      <c r="J94" s="4">
        <f>MIN(100,IF(F94&gt;=30,50,IF(F94&gt;=15,40,IF(F94&gt;=5,25,10)))+IF(H94&gt;=50,50,IF(H94&gt;=30,40,IF(H94&gt;=20,30,IF(H94&gt;=10,20,10)))))</f>
        <v/>
      </c>
    </row>
    <row r="95">
      <c r="A95" s="3" t="n">
        <v>46035</v>
      </c>
      <c r="B95" s="4" t="inlineStr">
        <is>
          <t>LALSAR STEEL</t>
        </is>
      </c>
      <c r="C95" s="4" t="inlineStr">
        <is>
          <t>13/01/2026, 4:13 pm</t>
        </is>
      </c>
      <c r="D95" s="4" t="inlineStr">
        <is>
          <t>13/01/2026, 4:15 pm</t>
        </is>
      </c>
      <c r="E95" s="4" t="inlineStr">
        <is>
          <t>Got future date</t>
        </is>
      </c>
      <c r="F95" s="4">
        <f>Daily_Visit_Log!F95</f>
        <v/>
      </c>
      <c r="G95" s="4">
        <f>Daily_Visit_Log!Y95</f>
        <v/>
      </c>
      <c r="H95" s="4">
        <f>Daily_Visit_Log!Q95</f>
        <v/>
      </c>
      <c r="I95" s="4">
        <f>IF(F95&lt;5,"YES","NO")</f>
        <v/>
      </c>
      <c r="J95" s="4">
        <f>MIN(100,IF(F95&gt;=30,50,IF(F95&gt;=15,40,IF(F95&gt;=5,25,10)))+IF(H95&gt;=50,50,IF(H95&gt;=30,40,IF(H95&gt;=20,30,IF(H95&gt;=10,20,10)))))</f>
        <v/>
      </c>
    </row>
    <row r="96">
      <c r="A96" s="3" t="n">
        <v>46045</v>
      </c>
      <c r="B96" s="4" t="inlineStr">
        <is>
          <t>LALSAR STEEL</t>
        </is>
      </c>
      <c r="C96" s="4" t="inlineStr">
        <is>
          <t>23/01/2026, 1:05 pm</t>
        </is>
      </c>
      <c r="D96" s="4" t="inlineStr">
        <is>
          <t>23/01/2026, 1:06 pm</t>
        </is>
      </c>
      <c r="E96" s="4" t="inlineStr">
        <is>
          <t>Got future date</t>
        </is>
      </c>
      <c r="F96" s="4">
        <f>Daily_Visit_Log!F96</f>
        <v/>
      </c>
      <c r="G96" s="4">
        <f>Daily_Visit_Log!Y96</f>
        <v/>
      </c>
      <c r="H96" s="4">
        <f>Daily_Visit_Log!Q96</f>
        <v/>
      </c>
      <c r="I96" s="4">
        <f>IF(F96&lt;5,"YES","NO")</f>
        <v/>
      </c>
      <c r="J96" s="4">
        <f>MIN(100,IF(F96&gt;=30,50,IF(F96&gt;=15,40,IF(F96&gt;=5,25,10)))+IF(H96&gt;=50,50,IF(H96&gt;=30,40,IF(H96&gt;=20,30,IF(H96&gt;=10,20,10)))))</f>
        <v/>
      </c>
    </row>
    <row r="97">
      <c r="A97" s="3" t="n">
        <v>46051</v>
      </c>
      <c r="B97" s="4" t="inlineStr">
        <is>
          <t>LALSAR STEEL</t>
        </is>
      </c>
      <c r="C97" s="4" t="inlineStr">
        <is>
          <t>29/01/2026, 12:33 pm</t>
        </is>
      </c>
      <c r="D97" s="4" t="inlineStr">
        <is>
          <t>29/01/2026, 12:34 pm</t>
        </is>
      </c>
      <c r="E97" s="4" t="inlineStr">
        <is>
          <t>Got future date</t>
        </is>
      </c>
      <c r="F97" s="4">
        <f>Daily_Visit_Log!F97</f>
        <v/>
      </c>
      <c r="G97" s="4">
        <f>Daily_Visit_Log!Y97</f>
        <v/>
      </c>
      <c r="H97" s="4">
        <f>Daily_Visit_Log!Q97</f>
        <v/>
      </c>
      <c r="I97" s="4">
        <f>IF(F97&lt;5,"YES","NO")</f>
        <v/>
      </c>
      <c r="J97" s="4">
        <f>MIN(100,IF(F97&gt;=30,50,IF(F97&gt;=15,40,IF(F97&gt;=5,25,10)))+IF(H97&gt;=50,50,IF(H97&gt;=30,40,IF(H97&gt;=20,30,IF(H97&gt;=10,20,10)))))</f>
        <v/>
      </c>
    </row>
    <row r="98">
      <c r="A98" s="3" t="n">
        <v>45966</v>
      </c>
      <c r="B98" s="4" t="inlineStr">
        <is>
          <t>M K TRADERS</t>
        </is>
      </c>
      <c r="C98" s="4" t="inlineStr">
        <is>
          <t>05/11/2025, 5:15 pm</t>
        </is>
      </c>
      <c r="D98" s="4" t="inlineStr">
        <is>
          <t>05/11/2025, 5:16 pm</t>
        </is>
      </c>
      <c r="E98" s="4" t="inlineStr">
        <is>
          <t>Got future date</t>
        </is>
      </c>
      <c r="F98" s="4">
        <f>Daily_Visit_Log!F98</f>
        <v/>
      </c>
      <c r="G98" s="4">
        <f>Daily_Visit_Log!Y98</f>
        <v/>
      </c>
      <c r="H98" s="4">
        <f>Daily_Visit_Log!Q98</f>
        <v/>
      </c>
      <c r="I98" s="4">
        <f>IF(F98&lt;5,"YES","NO")</f>
        <v/>
      </c>
      <c r="J98" s="4">
        <f>MIN(100,IF(F98&gt;=30,50,IF(F98&gt;=15,40,IF(F98&gt;=5,25,10)))+IF(H98&gt;=50,50,IF(H98&gt;=30,40,IF(H98&gt;=20,30,IF(H98&gt;=10,20,10)))))</f>
        <v/>
      </c>
    </row>
    <row r="99">
      <c r="A99" s="3" t="n">
        <v>45978</v>
      </c>
      <c r="B99" s="4" t="inlineStr">
        <is>
          <t>M K TRADERS</t>
        </is>
      </c>
      <c r="C99" s="4" t="inlineStr">
        <is>
          <t>17/11/2025, 6:02 pm</t>
        </is>
      </c>
      <c r="D99" s="4" t="inlineStr">
        <is>
          <t>17/11/2025, 6:03 pm</t>
        </is>
      </c>
      <c r="E99" s="4" t="inlineStr">
        <is>
          <t>Got future date</t>
        </is>
      </c>
      <c r="F99" s="4">
        <f>Daily_Visit_Log!F99</f>
        <v/>
      </c>
      <c r="G99" s="4">
        <f>Daily_Visit_Log!Y99</f>
        <v/>
      </c>
      <c r="H99" s="4">
        <f>Daily_Visit_Log!Q99</f>
        <v/>
      </c>
      <c r="I99" s="4">
        <f>IF(F99&lt;5,"YES","NO")</f>
        <v/>
      </c>
      <c r="J99" s="4">
        <f>MIN(100,IF(F99&gt;=30,50,IF(F99&gt;=15,40,IF(F99&gt;=5,25,10)))+IF(H99&gt;=50,50,IF(H99&gt;=30,40,IF(H99&gt;=20,30,IF(H99&gt;=10,20,10)))))</f>
        <v/>
      </c>
    </row>
    <row r="100">
      <c r="A100" s="3" t="n">
        <v>45994</v>
      </c>
      <c r="B100" s="4" t="inlineStr">
        <is>
          <t>M K TRADERS</t>
        </is>
      </c>
      <c r="C100" s="4" t="inlineStr">
        <is>
          <t>03/12/2025, 3:21 pm</t>
        </is>
      </c>
      <c r="D100" s="4" t="inlineStr">
        <is>
          <t>03/12/2025, 3:22 pm</t>
        </is>
      </c>
      <c r="E100" s="4" t="inlineStr">
        <is>
          <t>Got future date</t>
        </is>
      </c>
      <c r="F100" s="4">
        <f>Daily_Visit_Log!F100</f>
        <v/>
      </c>
      <c r="G100" s="4">
        <f>Daily_Visit_Log!Y100</f>
        <v/>
      </c>
      <c r="H100" s="4">
        <f>Daily_Visit_Log!Q100</f>
        <v/>
      </c>
      <c r="I100" s="4">
        <f>IF(F100&lt;5,"YES","NO")</f>
        <v/>
      </c>
      <c r="J100" s="4">
        <f>MIN(100,IF(F100&gt;=30,50,IF(F100&gt;=15,40,IF(F100&gt;=5,25,10)))+IF(H100&gt;=50,50,IF(H100&gt;=30,40,IF(H100&gt;=20,30,IF(H100&gt;=10,20,10)))))</f>
        <v/>
      </c>
    </row>
    <row r="101">
      <c r="A101" s="3" t="n">
        <v>46017</v>
      </c>
      <c r="B101" s="4" t="inlineStr">
        <is>
          <t>M K TRADERS</t>
        </is>
      </c>
      <c r="C101" s="4" t="inlineStr">
        <is>
          <t>26/12/2025, 4:37 pm</t>
        </is>
      </c>
      <c r="D101" s="4" t="inlineStr">
        <is>
          <t>26/12/2025, 4:40 pm</t>
        </is>
      </c>
      <c r="E101" s="4" t="inlineStr">
        <is>
          <t>Got future date</t>
        </is>
      </c>
      <c r="F101" s="4">
        <f>Daily_Visit_Log!F101</f>
        <v/>
      </c>
      <c r="G101" s="4">
        <f>Daily_Visit_Log!Y101</f>
        <v/>
      </c>
      <c r="H101" s="4">
        <f>Daily_Visit_Log!Q101</f>
        <v/>
      </c>
      <c r="I101" s="4">
        <f>IF(F101&lt;5,"YES","NO")</f>
        <v/>
      </c>
      <c r="J101" s="4">
        <f>MIN(100,IF(F101&gt;=30,50,IF(F101&gt;=15,40,IF(F101&gt;=5,25,10)))+IF(H101&gt;=50,50,IF(H101&gt;=30,40,IF(H101&gt;=20,30,IF(H101&gt;=10,20,10)))))</f>
        <v/>
      </c>
    </row>
    <row r="102">
      <c r="A102" s="3" t="n">
        <v>46028</v>
      </c>
      <c r="B102" s="4" t="inlineStr">
        <is>
          <t>M K TRADERS</t>
        </is>
      </c>
      <c r="C102" s="4" t="inlineStr">
        <is>
          <t>06/01/2026, 2:22 pm</t>
        </is>
      </c>
      <c r="D102" s="4" t="inlineStr">
        <is>
          <t>06/01/2026, 2:25 pm</t>
        </is>
      </c>
      <c r="E102" s="4" t="inlineStr">
        <is>
          <t>Got future date</t>
        </is>
      </c>
      <c r="F102" s="4">
        <f>Daily_Visit_Log!F102</f>
        <v/>
      </c>
      <c r="G102" s="4">
        <f>Daily_Visit_Log!Y102</f>
        <v/>
      </c>
      <c r="H102" s="4">
        <f>Daily_Visit_Log!Q102</f>
        <v/>
      </c>
      <c r="I102" s="4">
        <f>IF(F102&lt;5,"YES","NO")</f>
        <v/>
      </c>
      <c r="J102" s="4">
        <f>MIN(100,IF(F102&gt;=30,50,IF(F102&gt;=15,40,IF(F102&gt;=5,25,10)))+IF(H102&gt;=50,50,IF(H102&gt;=30,40,IF(H102&gt;=20,30,IF(H102&gt;=10,20,10)))))</f>
        <v/>
      </c>
    </row>
    <row r="103">
      <c r="A103" s="3" t="n">
        <v>46041</v>
      </c>
      <c r="B103" s="4" t="inlineStr">
        <is>
          <t>M K TRADERS</t>
        </is>
      </c>
      <c r="C103" s="4" t="inlineStr">
        <is>
          <t>19/01/2026, 5:07 pm</t>
        </is>
      </c>
      <c r="D103" s="4" t="inlineStr">
        <is>
          <t>19/01/2026, 5:09 pm</t>
        </is>
      </c>
      <c r="E103" s="4" t="inlineStr">
        <is>
          <t>Got future date</t>
        </is>
      </c>
      <c r="F103" s="4">
        <f>Daily_Visit_Log!F103</f>
        <v/>
      </c>
      <c r="G103" s="4">
        <f>Daily_Visit_Log!Y103</f>
        <v/>
      </c>
      <c r="H103" s="4">
        <f>Daily_Visit_Log!Q103</f>
        <v/>
      </c>
      <c r="I103" s="4">
        <f>IF(F103&lt;5,"YES","NO")</f>
        <v/>
      </c>
      <c r="J103" s="4">
        <f>MIN(100,IF(F103&gt;=30,50,IF(F103&gt;=15,40,IF(F103&gt;=5,25,10)))+IF(H103&gt;=50,50,IF(H103&gt;=30,40,IF(H103&gt;=20,30,IF(H103&gt;=10,20,10)))))</f>
        <v/>
      </c>
    </row>
    <row r="104">
      <c r="A104" s="3" t="n">
        <v>46050</v>
      </c>
      <c r="B104" s="4" t="inlineStr">
        <is>
          <t>M K TRADERS</t>
        </is>
      </c>
      <c r="C104" s="4" t="inlineStr">
        <is>
          <t>28/01/2026, 6:07 pm</t>
        </is>
      </c>
      <c r="D104" s="4" t="inlineStr">
        <is>
          <t>28/01/2026, 6:11 pm</t>
        </is>
      </c>
      <c r="E104" s="4" t="inlineStr">
        <is>
          <t>Got future date</t>
        </is>
      </c>
      <c r="F104" s="4">
        <f>Daily_Visit_Log!F104</f>
        <v/>
      </c>
      <c r="G104" s="4">
        <f>Daily_Visit_Log!Y104</f>
        <v/>
      </c>
      <c r="H104" s="4">
        <f>Daily_Visit_Log!Q104</f>
        <v/>
      </c>
      <c r="I104" s="4">
        <f>IF(F104&lt;5,"YES","NO")</f>
        <v/>
      </c>
      <c r="J104" s="4">
        <f>MIN(100,IF(F104&gt;=30,50,IF(F104&gt;=15,40,IF(F104&gt;=5,25,10)))+IF(H104&gt;=50,50,IF(H104&gt;=30,40,IF(H104&gt;=20,30,IF(H104&gt;=10,20,10)))))</f>
        <v/>
      </c>
    </row>
    <row r="105">
      <c r="A105" s="3" t="n">
        <v>45987</v>
      </c>
      <c r="B105" s="4" t="inlineStr">
        <is>
          <t>M S TRADERS</t>
        </is>
      </c>
      <c r="C105" s="4" t="inlineStr">
        <is>
          <t>26/11/2025, 12:59 pm</t>
        </is>
      </c>
      <c r="D105" s="4" t="inlineStr">
        <is>
          <t>26/11/2025, 1:00 pm</t>
        </is>
      </c>
      <c r="E105" s="4" t="inlineStr">
        <is>
          <t>Got future date</t>
        </is>
      </c>
      <c r="F105" s="4">
        <f>Daily_Visit_Log!F105</f>
        <v/>
      </c>
      <c r="G105" s="4">
        <f>Daily_Visit_Log!Y105</f>
        <v/>
      </c>
      <c r="H105" s="4">
        <f>Daily_Visit_Log!Q105</f>
        <v/>
      </c>
      <c r="I105" s="4">
        <f>IF(F105&lt;5,"YES","NO")</f>
        <v/>
      </c>
      <c r="J105" s="4">
        <f>MIN(100,IF(F105&gt;=30,50,IF(F105&gt;=15,40,IF(F105&gt;=5,25,10)))+IF(H105&gt;=50,50,IF(H105&gt;=30,40,IF(H105&gt;=20,30,IF(H105&gt;=10,20,10)))))</f>
        <v/>
      </c>
    </row>
    <row r="106">
      <c r="A106" s="3" t="n">
        <v>46007</v>
      </c>
      <c r="B106" s="4" t="inlineStr">
        <is>
          <t>M S TRADERS</t>
        </is>
      </c>
      <c r="C106" s="4" t="inlineStr">
        <is>
          <t>16/12/2025, 5:25 pm</t>
        </is>
      </c>
      <c r="D106" s="4" t="inlineStr">
        <is>
          <t>16/12/2025, 5:26 pm</t>
        </is>
      </c>
      <c r="E106" s="4" t="inlineStr">
        <is>
          <t>Got future date</t>
        </is>
      </c>
      <c r="F106" s="4">
        <f>Daily_Visit_Log!F106</f>
        <v/>
      </c>
      <c r="G106" s="4">
        <f>Daily_Visit_Log!Y106</f>
        <v/>
      </c>
      <c r="H106" s="4">
        <f>Daily_Visit_Log!Q106</f>
        <v/>
      </c>
      <c r="I106" s="4">
        <f>IF(F106&lt;5,"YES","NO")</f>
        <v/>
      </c>
      <c r="J106" s="4">
        <f>MIN(100,IF(F106&gt;=30,50,IF(F106&gt;=15,40,IF(F106&gt;=5,25,10)))+IF(H106&gt;=50,50,IF(H106&gt;=30,40,IF(H106&gt;=20,30,IF(H106&gt;=10,20,10)))))</f>
        <v/>
      </c>
    </row>
    <row r="107">
      <c r="A107" s="3" t="n">
        <v>45966</v>
      </c>
      <c r="B107" s="4" t="inlineStr">
        <is>
          <t>M/S A. B. CONSTRUCTION</t>
        </is>
      </c>
      <c r="C107" s="4" t="inlineStr">
        <is>
          <t>05/11/2025, 6:05 pm</t>
        </is>
      </c>
      <c r="D107" s="4" t="inlineStr">
        <is>
          <t>05/11/2025, 6:06 pm</t>
        </is>
      </c>
      <c r="E107" s="4" t="inlineStr">
        <is>
          <t>Got future date</t>
        </is>
      </c>
      <c r="F107" s="4">
        <f>Daily_Visit_Log!F107</f>
        <v/>
      </c>
      <c r="G107" s="4">
        <f>Daily_Visit_Log!Y107</f>
        <v/>
      </c>
      <c r="H107" s="4">
        <f>Daily_Visit_Log!Q107</f>
        <v/>
      </c>
      <c r="I107" s="4">
        <f>IF(F107&lt;5,"YES","NO")</f>
        <v/>
      </c>
      <c r="J107" s="4">
        <f>MIN(100,IF(F107&gt;=30,50,IF(F107&gt;=15,40,IF(F107&gt;=5,25,10)))+IF(H107&gt;=50,50,IF(H107&gt;=30,40,IF(H107&gt;=20,30,IF(H107&gt;=10,20,10)))))</f>
        <v/>
      </c>
    </row>
    <row r="108">
      <c r="A108" s="3" t="n">
        <v>45978</v>
      </c>
      <c r="B108" s="4" t="inlineStr">
        <is>
          <t>M/S A. B. CONSTRUCTION</t>
        </is>
      </c>
      <c r="C108" s="4" t="inlineStr">
        <is>
          <t>17/11/2025, 6:17 pm</t>
        </is>
      </c>
      <c r="D108" s="4" t="inlineStr">
        <is>
          <t>17/11/2025, 6:18 pm</t>
        </is>
      </c>
      <c r="E108" s="4" t="inlineStr">
        <is>
          <t>Got future date</t>
        </is>
      </c>
      <c r="F108" s="4">
        <f>Daily_Visit_Log!F108</f>
        <v/>
      </c>
      <c r="G108" s="4">
        <f>Daily_Visit_Log!Y108</f>
        <v/>
      </c>
      <c r="H108" s="4">
        <f>Daily_Visit_Log!Q108</f>
        <v/>
      </c>
      <c r="I108" s="4">
        <f>IF(F108&lt;5,"YES","NO")</f>
        <v/>
      </c>
      <c r="J108" s="4">
        <f>MIN(100,IF(F108&gt;=30,50,IF(F108&gt;=15,40,IF(F108&gt;=5,25,10)))+IF(H108&gt;=50,50,IF(H108&gt;=30,40,IF(H108&gt;=20,30,IF(H108&gt;=10,20,10)))))</f>
        <v/>
      </c>
    </row>
    <row r="109">
      <c r="A109" s="3" t="n">
        <v>46001</v>
      </c>
      <c r="B109" s="4" t="inlineStr">
        <is>
          <t>M/S A. B. CONSTRUCTION</t>
        </is>
      </c>
      <c r="C109" s="4" t="inlineStr">
        <is>
          <t>10/12/2025, 4:32 pm</t>
        </is>
      </c>
      <c r="D109" s="4" t="inlineStr">
        <is>
          <t>10/12/2025, 4:35 pm</t>
        </is>
      </c>
      <c r="E109" s="4" t="inlineStr">
        <is>
          <t>Got future date</t>
        </is>
      </c>
      <c r="F109" s="4">
        <f>Daily_Visit_Log!F109</f>
        <v/>
      </c>
      <c r="G109" s="4">
        <f>Daily_Visit_Log!Y109</f>
        <v/>
      </c>
      <c r="H109" s="4">
        <f>Daily_Visit_Log!Q109</f>
        <v/>
      </c>
      <c r="I109" s="4">
        <f>IF(F109&lt;5,"YES","NO")</f>
        <v/>
      </c>
      <c r="J109" s="4">
        <f>MIN(100,IF(F109&gt;=30,50,IF(F109&gt;=15,40,IF(F109&gt;=5,25,10)))+IF(H109&gt;=50,50,IF(H109&gt;=30,40,IF(H109&gt;=20,30,IF(H109&gt;=10,20,10)))))</f>
        <v/>
      </c>
    </row>
    <row r="110">
      <c r="A110" s="3" t="n">
        <v>46014</v>
      </c>
      <c r="B110" s="4" t="inlineStr">
        <is>
          <t>M/S A. B. CONSTRUCTION</t>
        </is>
      </c>
      <c r="C110" s="4" t="inlineStr">
        <is>
          <t>23/12/2025, 5:12 pm</t>
        </is>
      </c>
      <c r="D110" s="4" t="inlineStr">
        <is>
          <t>23/12/2025, 5:16 pm</t>
        </is>
      </c>
      <c r="E110" s="4" t="inlineStr">
        <is>
          <t>Got future date</t>
        </is>
      </c>
      <c r="F110" s="4">
        <f>Daily_Visit_Log!F110</f>
        <v/>
      </c>
      <c r="G110" s="4">
        <f>Daily_Visit_Log!Y110</f>
        <v/>
      </c>
      <c r="H110" s="4">
        <f>Daily_Visit_Log!Q110</f>
        <v/>
      </c>
      <c r="I110" s="4">
        <f>IF(F110&lt;5,"YES","NO")</f>
        <v/>
      </c>
      <c r="J110" s="4">
        <f>MIN(100,IF(F110&gt;=30,50,IF(F110&gt;=15,40,IF(F110&gt;=5,25,10)))+IF(H110&gt;=50,50,IF(H110&gt;=30,40,IF(H110&gt;=20,30,IF(H110&gt;=10,20,10)))))</f>
        <v/>
      </c>
    </row>
    <row r="111">
      <c r="A111" s="3" t="n">
        <v>46049</v>
      </c>
      <c r="B111" s="4" t="inlineStr">
        <is>
          <t>M/S A. B. CONSTRUCTION</t>
        </is>
      </c>
      <c r="C111" s="4" t="inlineStr">
        <is>
          <t>27/01/2026, 6:52 pm</t>
        </is>
      </c>
      <c r="D111" s="4" t="inlineStr">
        <is>
          <t>27/01/2026, 6:54 pm</t>
        </is>
      </c>
      <c r="E111" s="4" t="inlineStr">
        <is>
          <t>Got future date</t>
        </is>
      </c>
      <c r="F111" s="4">
        <f>Daily_Visit_Log!F111</f>
        <v/>
      </c>
      <c r="G111" s="4">
        <f>Daily_Visit_Log!Y111</f>
        <v/>
      </c>
      <c r="H111" s="4">
        <f>Daily_Visit_Log!Q111</f>
        <v/>
      </c>
      <c r="I111" s="4">
        <f>IF(F111&lt;5,"YES","NO")</f>
        <v/>
      </c>
      <c r="J111" s="4">
        <f>MIN(100,IF(F111&gt;=30,50,IF(F111&gt;=15,40,IF(F111&gt;=5,25,10)))+IF(H111&gt;=50,50,IF(H111&gt;=30,40,IF(H111&gt;=20,30,IF(H111&gt;=10,20,10)))))</f>
        <v/>
      </c>
    </row>
    <row r="112">
      <c r="A112" s="3" t="n">
        <v>45980</v>
      </c>
      <c r="B112" s="4" t="inlineStr">
        <is>
          <t>M/S ANUP STORES</t>
        </is>
      </c>
      <c r="C112" s="4" t="inlineStr">
        <is>
          <t>19/11/2025, 11:49 am</t>
        </is>
      </c>
      <c r="D112" s="4" t="inlineStr">
        <is>
          <t>19/11/2025, 11:50 am</t>
        </is>
      </c>
      <c r="E112" s="4" t="inlineStr">
        <is>
          <t>Got future date</t>
        </is>
      </c>
      <c r="F112" s="4">
        <f>Daily_Visit_Log!F112</f>
        <v/>
      </c>
      <c r="G112" s="4">
        <f>Daily_Visit_Log!Y112</f>
        <v/>
      </c>
      <c r="H112" s="4">
        <f>Daily_Visit_Log!Q112</f>
        <v/>
      </c>
      <c r="I112" s="4">
        <f>IF(F112&lt;5,"YES","NO")</f>
        <v/>
      </c>
      <c r="J112" s="4">
        <f>MIN(100,IF(F112&gt;=30,50,IF(F112&gt;=15,40,IF(F112&gt;=5,25,10)))+IF(H112&gt;=50,50,IF(H112&gt;=30,40,IF(H112&gt;=20,30,IF(H112&gt;=10,20,10)))))</f>
        <v/>
      </c>
    </row>
    <row r="113">
      <c r="A113" s="3" t="n">
        <v>46006</v>
      </c>
      <c r="B113" s="4" t="inlineStr">
        <is>
          <t>M/S ANUP STORES</t>
        </is>
      </c>
      <c r="C113" s="4" t="inlineStr">
        <is>
          <t>15/12/2025, 6:32 pm</t>
        </is>
      </c>
      <c r="D113" s="4" t="inlineStr">
        <is>
          <t>15/12/2025, 6:32 pm</t>
        </is>
      </c>
      <c r="E113" s="4" t="inlineStr">
        <is>
          <t>Got future date</t>
        </is>
      </c>
      <c r="F113" s="4">
        <f>Daily_Visit_Log!F113</f>
        <v/>
      </c>
      <c r="G113" s="4">
        <f>Daily_Visit_Log!Y113</f>
        <v/>
      </c>
      <c r="H113" s="4">
        <f>Daily_Visit_Log!Q113</f>
        <v/>
      </c>
      <c r="I113" s="4">
        <f>IF(F113&lt;5,"YES","NO")</f>
        <v/>
      </c>
      <c r="J113" s="4">
        <f>MIN(100,IF(F113&gt;=30,50,IF(F113&gt;=15,40,IF(F113&gt;=5,25,10)))+IF(H113&gt;=50,50,IF(H113&gt;=30,40,IF(H113&gt;=20,30,IF(H113&gt;=10,20,10)))))</f>
        <v/>
      </c>
    </row>
    <row r="114">
      <c r="A114" s="3" t="n">
        <v>46037</v>
      </c>
      <c r="B114" s="4" t="inlineStr">
        <is>
          <t>M/S ANUP STORES</t>
        </is>
      </c>
      <c r="C114" s="4" t="inlineStr">
        <is>
          <t>15/01/2026, 12:06 pm</t>
        </is>
      </c>
      <c r="D114" s="4" t="inlineStr">
        <is>
          <t>15/01/2026, 12:08 pm</t>
        </is>
      </c>
      <c r="E114" s="4" t="inlineStr">
        <is>
          <t>Got future date</t>
        </is>
      </c>
      <c r="F114" s="4">
        <f>Daily_Visit_Log!F114</f>
        <v/>
      </c>
      <c r="G114" s="4">
        <f>Daily_Visit_Log!Y114</f>
        <v/>
      </c>
      <c r="H114" s="4">
        <f>Daily_Visit_Log!Q114</f>
        <v/>
      </c>
      <c r="I114" s="4">
        <f>IF(F114&lt;5,"YES","NO")</f>
        <v/>
      </c>
      <c r="J114" s="4">
        <f>MIN(100,IF(F114&gt;=30,50,IF(F114&gt;=15,40,IF(F114&gt;=5,25,10)))+IF(H114&gt;=50,50,IF(H114&gt;=30,40,IF(H114&gt;=20,30,IF(H114&gt;=10,20,10)))))</f>
        <v/>
      </c>
    </row>
    <row r="115">
      <c r="A115" s="3" t="n">
        <v>45968</v>
      </c>
      <c r="B115" s="4" t="inlineStr">
        <is>
          <t>M/S BIJAYSHREE ENTERPRISES</t>
        </is>
      </c>
      <c r="C115" s="4" t="inlineStr">
        <is>
          <t>07/11/2025, 3:40 pm</t>
        </is>
      </c>
      <c r="D115" s="4" t="inlineStr">
        <is>
          <t>07/11/2025, 3:45 pm</t>
        </is>
      </c>
      <c r="E115" s="4" t="inlineStr">
        <is>
          <t>Got future date</t>
        </is>
      </c>
      <c r="F115" s="4">
        <f>Daily_Visit_Log!F115</f>
        <v/>
      </c>
      <c r="G115" s="4">
        <f>Daily_Visit_Log!Y115</f>
        <v/>
      </c>
      <c r="H115" s="4">
        <f>Daily_Visit_Log!Q115</f>
        <v/>
      </c>
      <c r="I115" s="4">
        <f>IF(F115&lt;5,"YES","NO")</f>
        <v/>
      </c>
      <c r="J115" s="4">
        <f>MIN(100,IF(F115&gt;=30,50,IF(F115&gt;=15,40,IF(F115&gt;=5,25,10)))+IF(H115&gt;=50,50,IF(H115&gt;=30,40,IF(H115&gt;=20,30,IF(H115&gt;=10,20,10)))))</f>
        <v/>
      </c>
    </row>
    <row r="116">
      <c r="A116" s="3" t="n">
        <v>45980</v>
      </c>
      <c r="B116" s="4" t="inlineStr">
        <is>
          <t>M/S BIJAYSHREE ENTERPRISES</t>
        </is>
      </c>
      <c r="C116" s="4" t="inlineStr">
        <is>
          <t>19/11/2025, 7:23 pm</t>
        </is>
      </c>
      <c r="D116" s="4" t="inlineStr">
        <is>
          <t>19/11/2025, 7:25 pm</t>
        </is>
      </c>
      <c r="E116" s="4" t="inlineStr">
        <is>
          <t>Got future date</t>
        </is>
      </c>
      <c r="F116" s="4">
        <f>Daily_Visit_Log!F116</f>
        <v/>
      </c>
      <c r="G116" s="4">
        <f>Daily_Visit_Log!Y116</f>
        <v/>
      </c>
      <c r="H116" s="4">
        <f>Daily_Visit_Log!Q116</f>
        <v/>
      </c>
      <c r="I116" s="4">
        <f>IF(F116&lt;5,"YES","NO")</f>
        <v/>
      </c>
      <c r="J116" s="4">
        <f>MIN(100,IF(F116&gt;=30,50,IF(F116&gt;=15,40,IF(F116&gt;=5,25,10)))+IF(H116&gt;=50,50,IF(H116&gt;=30,40,IF(H116&gt;=20,30,IF(H116&gt;=10,20,10)))))</f>
        <v/>
      </c>
    </row>
    <row r="117">
      <c r="A117" s="3" t="n">
        <v>45992</v>
      </c>
      <c r="B117" s="4" t="inlineStr">
        <is>
          <t>M/S BIJAYSHREE ENTERPRISES</t>
        </is>
      </c>
      <c r="C117" s="4" t="inlineStr">
        <is>
          <t>01/12/2025, 8:02 pm</t>
        </is>
      </c>
      <c r="D117" s="4" t="inlineStr">
        <is>
          <t>01/12/2025, 8:05 pm</t>
        </is>
      </c>
      <c r="E117" s="4" t="inlineStr">
        <is>
          <t>Got future date</t>
        </is>
      </c>
      <c r="F117" s="4">
        <f>Daily_Visit_Log!F117</f>
        <v/>
      </c>
      <c r="G117" s="4">
        <f>Daily_Visit_Log!Y117</f>
        <v/>
      </c>
      <c r="H117" s="4">
        <f>Daily_Visit_Log!Q117</f>
        <v/>
      </c>
      <c r="I117" s="4">
        <f>IF(F117&lt;5,"YES","NO")</f>
        <v/>
      </c>
      <c r="J117" s="4">
        <f>MIN(100,IF(F117&gt;=30,50,IF(F117&gt;=15,40,IF(F117&gt;=5,25,10)))+IF(H117&gt;=50,50,IF(H117&gt;=30,40,IF(H117&gt;=20,30,IF(H117&gt;=10,20,10)))))</f>
        <v/>
      </c>
    </row>
    <row r="118">
      <c r="A118" s="3" t="n">
        <v>46020</v>
      </c>
      <c r="B118" s="4" t="inlineStr">
        <is>
          <t>M/S BIJAYSHREE ENTERPRISES</t>
        </is>
      </c>
      <c r="C118" s="4" t="inlineStr">
        <is>
          <t>29/12/2025, 7:54 pm</t>
        </is>
      </c>
      <c r="D118" s="4" t="inlineStr">
        <is>
          <t>29/12/2025, 7:57 pm</t>
        </is>
      </c>
      <c r="E118" s="4" t="inlineStr">
        <is>
          <t>Got future date</t>
        </is>
      </c>
      <c r="F118" s="4">
        <f>Daily_Visit_Log!F118</f>
        <v/>
      </c>
      <c r="G118" s="4">
        <f>Daily_Visit_Log!Y118</f>
        <v/>
      </c>
      <c r="H118" s="4">
        <f>Daily_Visit_Log!Q118</f>
        <v/>
      </c>
      <c r="I118" s="4">
        <f>IF(F118&lt;5,"YES","NO")</f>
        <v/>
      </c>
      <c r="J118" s="4">
        <f>MIN(100,IF(F118&gt;=30,50,IF(F118&gt;=15,40,IF(F118&gt;=5,25,10)))+IF(H118&gt;=50,50,IF(H118&gt;=30,40,IF(H118&gt;=20,30,IF(H118&gt;=10,20,10)))))</f>
        <v/>
      </c>
    </row>
    <row r="119">
      <c r="A119" s="3" t="n">
        <v>46043</v>
      </c>
      <c r="B119" s="4" t="inlineStr">
        <is>
          <t>M/S BIJAYSHREE ENTERPRISES</t>
        </is>
      </c>
      <c r="C119" s="4" t="inlineStr">
        <is>
          <t>21/01/2026, 6:29 pm</t>
        </is>
      </c>
      <c r="D119" s="4" t="inlineStr">
        <is>
          <t>21/01/2026, 6:30 pm</t>
        </is>
      </c>
      <c r="E119" s="4" t="inlineStr">
        <is>
          <t>Got future date</t>
        </is>
      </c>
      <c r="F119" s="4">
        <f>Daily_Visit_Log!F119</f>
        <v/>
      </c>
      <c r="G119" s="4">
        <f>Daily_Visit_Log!Y119</f>
        <v/>
      </c>
      <c r="H119" s="4">
        <f>Daily_Visit_Log!Q119</f>
        <v/>
      </c>
      <c r="I119" s="4">
        <f>IF(F119&lt;5,"YES","NO")</f>
        <v/>
      </c>
      <c r="J119" s="4">
        <f>MIN(100,IF(F119&gt;=30,50,IF(F119&gt;=15,40,IF(F119&gt;=5,25,10)))+IF(H119&gt;=50,50,IF(H119&gt;=30,40,IF(H119&gt;=20,30,IF(H119&gt;=10,20,10)))))</f>
        <v/>
      </c>
    </row>
    <row r="120">
      <c r="A120" s="3" t="n">
        <v>45995</v>
      </c>
      <c r="B120" s="4" t="inlineStr">
        <is>
          <t>M/S CKP STEEL</t>
        </is>
      </c>
      <c r="C120" s="4" t="inlineStr">
        <is>
          <t>04/12/2025, 5:16 pm</t>
        </is>
      </c>
      <c r="D120" s="4" t="inlineStr">
        <is>
          <t>04/12/2025, 5:18 pm</t>
        </is>
      </c>
      <c r="E120" s="4" t="inlineStr">
        <is>
          <t>Account created</t>
        </is>
      </c>
      <c r="F120" s="4">
        <f>Daily_Visit_Log!F120</f>
        <v/>
      </c>
      <c r="G120" s="4">
        <f>Daily_Visit_Log!Y120</f>
        <v/>
      </c>
      <c r="H120" s="4">
        <f>Daily_Visit_Log!Q120</f>
        <v/>
      </c>
      <c r="I120" s="4">
        <f>IF(F120&lt;5,"YES","NO")</f>
        <v/>
      </c>
      <c r="J120" s="4">
        <f>MIN(100,IF(F120&gt;=30,50,IF(F120&gt;=15,40,IF(F120&gt;=5,25,10)))+IF(H120&gt;=50,50,IF(H120&gt;=30,40,IF(H120&gt;=20,30,IF(H120&gt;=10,20,10)))))</f>
        <v/>
      </c>
    </row>
    <row r="121">
      <c r="A121" s="3" t="n">
        <v>46015</v>
      </c>
      <c r="B121" s="4" t="inlineStr">
        <is>
          <t>M/S DHARAM BHAGWATI STEEL PRIVATE LIMITED</t>
        </is>
      </c>
      <c r="C121" s="4" t="inlineStr">
        <is>
          <t>24/12/2025, 5:10 pm</t>
        </is>
      </c>
      <c r="D121" s="4" t="inlineStr">
        <is>
          <t>24/12/2025, 5:11 pm</t>
        </is>
      </c>
      <c r="E121" s="4" t="inlineStr">
        <is>
          <t>Got future date</t>
        </is>
      </c>
      <c r="F121" s="4">
        <f>Daily_Visit_Log!F121</f>
        <v/>
      </c>
      <c r="G121" s="4">
        <f>Daily_Visit_Log!Y121</f>
        <v/>
      </c>
      <c r="H121" s="4">
        <f>Daily_Visit_Log!Q121</f>
        <v/>
      </c>
      <c r="I121" s="4">
        <f>IF(F121&lt;5,"YES","NO")</f>
        <v/>
      </c>
      <c r="J121" s="4">
        <f>MIN(100,IF(F121&gt;=30,50,IF(F121&gt;=15,40,IF(F121&gt;=5,25,10)))+IF(H121&gt;=50,50,IF(H121&gt;=30,40,IF(H121&gt;=20,30,IF(H121&gt;=10,20,10)))))</f>
        <v/>
      </c>
    </row>
    <row r="122">
      <c r="A122" s="3" t="n">
        <v>45986</v>
      </c>
      <c r="B122" s="4" t="inlineStr">
        <is>
          <t>M/S FATMA TRADERS</t>
        </is>
      </c>
      <c r="C122" s="4" t="inlineStr">
        <is>
          <t>25/11/2025, 12:57 pm</t>
        </is>
      </c>
      <c r="D122" s="4" t="inlineStr">
        <is>
          <t>25/11/2025, 12:59 pm</t>
        </is>
      </c>
      <c r="E122" s="4" t="inlineStr">
        <is>
          <t>Got future date</t>
        </is>
      </c>
      <c r="F122" s="4">
        <f>Daily_Visit_Log!F122</f>
        <v/>
      </c>
      <c r="G122" s="4">
        <f>Daily_Visit_Log!Y122</f>
        <v/>
      </c>
      <c r="H122" s="4">
        <f>Daily_Visit_Log!Q122</f>
        <v/>
      </c>
      <c r="I122" s="4">
        <f>IF(F122&lt;5,"YES","NO")</f>
        <v/>
      </c>
      <c r="J122" s="4">
        <f>MIN(100,IF(F122&gt;=30,50,IF(F122&gt;=15,40,IF(F122&gt;=5,25,10)))+IF(H122&gt;=50,50,IF(H122&gt;=30,40,IF(H122&gt;=20,30,IF(H122&gt;=10,20,10)))))</f>
        <v/>
      </c>
    </row>
    <row r="123">
      <c r="A123" s="3" t="n">
        <v>45999</v>
      </c>
      <c r="B123" s="4" t="inlineStr">
        <is>
          <t>M/S FATMA TRADERS</t>
        </is>
      </c>
      <c r="C123" s="4" t="inlineStr">
        <is>
          <t>08/12/2025, 5:36 pm</t>
        </is>
      </c>
      <c r="D123" s="4" t="inlineStr">
        <is>
          <t>08/12/2025, 5:38 pm</t>
        </is>
      </c>
      <c r="E123" s="4" t="inlineStr">
        <is>
          <t>Got future date</t>
        </is>
      </c>
      <c r="F123" s="4">
        <f>Daily_Visit_Log!F123</f>
        <v/>
      </c>
      <c r="G123" s="4">
        <f>Daily_Visit_Log!Y123</f>
        <v/>
      </c>
      <c r="H123" s="4">
        <f>Daily_Visit_Log!Q123</f>
        <v/>
      </c>
      <c r="I123" s="4">
        <f>IF(F123&lt;5,"YES","NO")</f>
        <v/>
      </c>
      <c r="J123" s="4">
        <f>MIN(100,IF(F123&gt;=30,50,IF(F123&gt;=15,40,IF(F123&gt;=5,25,10)))+IF(H123&gt;=50,50,IF(H123&gt;=30,40,IF(H123&gt;=20,30,IF(H123&gt;=10,20,10)))))</f>
        <v/>
      </c>
    </row>
    <row r="124">
      <c r="A124" s="3" t="n">
        <v>46036</v>
      </c>
      <c r="B124" s="4" t="inlineStr">
        <is>
          <t>M/S FATMA TRADERS</t>
        </is>
      </c>
      <c r="C124" s="4" t="inlineStr">
        <is>
          <t>14/01/2026, 5:16 pm</t>
        </is>
      </c>
      <c r="D124" s="4" t="inlineStr">
        <is>
          <t>14/01/2026, 5:18 pm</t>
        </is>
      </c>
      <c r="E124" s="4" t="inlineStr">
        <is>
          <t>Got future date</t>
        </is>
      </c>
      <c r="F124" s="4">
        <f>Daily_Visit_Log!F124</f>
        <v/>
      </c>
      <c r="G124" s="4">
        <f>Daily_Visit_Log!Y124</f>
        <v/>
      </c>
      <c r="H124" s="4">
        <f>Daily_Visit_Log!Q124</f>
        <v/>
      </c>
      <c r="I124" s="4">
        <f>IF(F124&lt;5,"YES","NO")</f>
        <v/>
      </c>
      <c r="J124" s="4">
        <f>MIN(100,IF(F124&gt;=30,50,IF(F124&gt;=15,40,IF(F124&gt;=5,25,10)))+IF(H124&gt;=50,50,IF(H124&gt;=30,40,IF(H124&gt;=20,30,IF(H124&gt;=10,20,10)))))</f>
        <v/>
      </c>
    </row>
    <row r="125">
      <c r="A125" s="3" t="n">
        <v>46014</v>
      </c>
      <c r="B125" s="4" t="inlineStr">
        <is>
          <t>M/S GARG STEEL TRADERS</t>
        </is>
      </c>
      <c r="C125" s="4" t="inlineStr">
        <is>
          <t>23/12/2025, 6:40 pm</t>
        </is>
      </c>
      <c r="D125" s="4" t="inlineStr">
        <is>
          <t>23/12/2025, 6:42 pm</t>
        </is>
      </c>
      <c r="E125" s="4" t="inlineStr">
        <is>
          <t>Got future date</t>
        </is>
      </c>
      <c r="F125" s="4">
        <f>Daily_Visit_Log!F125</f>
        <v/>
      </c>
      <c r="G125" s="4">
        <f>Daily_Visit_Log!Y125</f>
        <v/>
      </c>
      <c r="H125" s="4">
        <f>Daily_Visit_Log!Q125</f>
        <v/>
      </c>
      <c r="I125" s="4">
        <f>IF(F125&lt;5,"YES","NO")</f>
        <v/>
      </c>
      <c r="J125" s="4">
        <f>MIN(100,IF(F125&gt;=30,50,IF(F125&gt;=15,40,IF(F125&gt;=5,25,10)))+IF(H125&gt;=50,50,IF(H125&gt;=30,40,IF(H125&gt;=20,30,IF(H125&gt;=10,20,10)))))</f>
        <v/>
      </c>
    </row>
    <row r="126">
      <c r="A126" s="3" t="n">
        <v>46044</v>
      </c>
      <c r="B126" s="4" t="inlineStr">
        <is>
          <t>M/S GARG STEEL TRADERS</t>
        </is>
      </c>
      <c r="C126" s="4" t="inlineStr">
        <is>
          <t>22/01/2026, 12:15 pm</t>
        </is>
      </c>
      <c r="D126" s="4" t="inlineStr">
        <is>
          <t>22/01/2026, 12:18 pm</t>
        </is>
      </c>
      <c r="E126" s="4" t="inlineStr">
        <is>
          <t>Got future date</t>
        </is>
      </c>
      <c r="F126" s="4">
        <f>Daily_Visit_Log!F126</f>
        <v/>
      </c>
      <c r="G126" s="4">
        <f>Daily_Visit_Log!Y126</f>
        <v/>
      </c>
      <c r="H126" s="4">
        <f>Daily_Visit_Log!Q126</f>
        <v/>
      </c>
      <c r="I126" s="4">
        <f>IF(F126&lt;5,"YES","NO")</f>
        <v/>
      </c>
      <c r="J126" s="4">
        <f>MIN(100,IF(F126&gt;=30,50,IF(F126&gt;=15,40,IF(F126&gt;=5,25,10)))+IF(H126&gt;=50,50,IF(H126&gt;=30,40,IF(H126&gt;=20,30,IF(H126&gt;=10,20,10)))))</f>
        <v/>
      </c>
    </row>
    <row r="127">
      <c r="A127" s="3" t="n">
        <v>45965</v>
      </c>
      <c r="B127" s="4" t="inlineStr">
        <is>
          <t>M/S GOYAL STEEL</t>
        </is>
      </c>
      <c r="C127" s="4" t="inlineStr">
        <is>
          <t>04/11/2025, 5:06 pm</t>
        </is>
      </c>
      <c r="D127" s="4" t="inlineStr">
        <is>
          <t>04/11/2025, 5:08 pm</t>
        </is>
      </c>
      <c r="E127" s="4" t="inlineStr">
        <is>
          <t>Got future date</t>
        </is>
      </c>
      <c r="F127" s="4">
        <f>Daily_Visit_Log!F127</f>
        <v/>
      </c>
      <c r="G127" s="4">
        <f>Daily_Visit_Log!Y127</f>
        <v/>
      </c>
      <c r="H127" s="4">
        <f>Daily_Visit_Log!Q127</f>
        <v/>
      </c>
      <c r="I127" s="4">
        <f>IF(F127&lt;5,"YES","NO")</f>
        <v/>
      </c>
      <c r="J127" s="4">
        <f>MIN(100,IF(F127&gt;=30,50,IF(F127&gt;=15,40,IF(F127&gt;=5,25,10)))+IF(H127&gt;=50,50,IF(H127&gt;=30,40,IF(H127&gt;=20,30,IF(H127&gt;=10,20,10)))))</f>
        <v/>
      </c>
    </row>
    <row r="128">
      <c r="A128" s="3" t="n">
        <v>45974</v>
      </c>
      <c r="B128" s="4" t="inlineStr">
        <is>
          <t>M/S GOYAL STEEL</t>
        </is>
      </c>
      <c r="C128" s="4" t="inlineStr">
        <is>
          <t>13/11/2025, 5:49 pm</t>
        </is>
      </c>
      <c r="D128" s="4" t="inlineStr">
        <is>
          <t>13/11/2025, 5:50 pm</t>
        </is>
      </c>
      <c r="E128" s="4" t="inlineStr">
        <is>
          <t>Got future date</t>
        </is>
      </c>
      <c r="F128" s="4">
        <f>Daily_Visit_Log!F128</f>
        <v/>
      </c>
      <c r="G128" s="4">
        <f>Daily_Visit_Log!Y128</f>
        <v/>
      </c>
      <c r="H128" s="4">
        <f>Daily_Visit_Log!Q128</f>
        <v/>
      </c>
      <c r="I128" s="4">
        <f>IF(F128&lt;5,"YES","NO")</f>
        <v/>
      </c>
      <c r="J128" s="4">
        <f>MIN(100,IF(F128&gt;=30,50,IF(F128&gt;=15,40,IF(F128&gt;=5,25,10)))+IF(H128&gt;=50,50,IF(H128&gt;=30,40,IF(H128&gt;=20,30,IF(H128&gt;=10,20,10)))))</f>
        <v/>
      </c>
    </row>
    <row r="129">
      <c r="A129" s="3" t="n">
        <v>45985</v>
      </c>
      <c r="B129" s="4" t="inlineStr">
        <is>
          <t>M/S GOYAL STEEL</t>
        </is>
      </c>
      <c r="C129" s="4" t="inlineStr">
        <is>
          <t>24/11/2025, 5:09 pm</t>
        </is>
      </c>
      <c r="D129" s="4" t="inlineStr">
        <is>
          <t>24/11/2025, 5:10 pm</t>
        </is>
      </c>
      <c r="E129" s="4" t="inlineStr">
        <is>
          <t>Got future date</t>
        </is>
      </c>
      <c r="F129" s="4">
        <f>Daily_Visit_Log!F129</f>
        <v/>
      </c>
      <c r="G129" s="4">
        <f>Daily_Visit_Log!Y129</f>
        <v/>
      </c>
      <c r="H129" s="4">
        <f>Daily_Visit_Log!Q129</f>
        <v/>
      </c>
      <c r="I129" s="4">
        <f>IF(F129&lt;5,"YES","NO")</f>
        <v/>
      </c>
      <c r="J129" s="4">
        <f>MIN(100,IF(F129&gt;=30,50,IF(F129&gt;=15,40,IF(F129&gt;=5,25,10)))+IF(H129&gt;=50,50,IF(H129&gt;=30,40,IF(H129&gt;=20,30,IF(H129&gt;=10,20,10)))))</f>
        <v/>
      </c>
    </row>
    <row r="130">
      <c r="A130" s="3" t="n">
        <v>45996</v>
      </c>
      <c r="B130" s="4" t="inlineStr">
        <is>
          <t>M/S GOYAL STEEL</t>
        </is>
      </c>
      <c r="C130" s="4" t="inlineStr">
        <is>
          <t>05/12/2025, 1:38 pm</t>
        </is>
      </c>
      <c r="D130" s="4" t="inlineStr">
        <is>
          <t>05/12/2025, 1:41 pm</t>
        </is>
      </c>
      <c r="E130" s="4" t="inlineStr">
        <is>
          <t>Got future date</t>
        </is>
      </c>
      <c r="F130" s="4">
        <f>Daily_Visit_Log!F130</f>
        <v/>
      </c>
      <c r="G130" s="4">
        <f>Daily_Visit_Log!Y130</f>
        <v/>
      </c>
      <c r="H130" s="4">
        <f>Daily_Visit_Log!Q130</f>
        <v/>
      </c>
      <c r="I130" s="4">
        <f>IF(F130&lt;5,"YES","NO")</f>
        <v/>
      </c>
      <c r="J130" s="4">
        <f>MIN(100,IF(F130&gt;=30,50,IF(F130&gt;=15,40,IF(F130&gt;=5,25,10)))+IF(H130&gt;=50,50,IF(H130&gt;=30,40,IF(H130&gt;=20,30,IF(H130&gt;=10,20,10)))))</f>
        <v/>
      </c>
    </row>
    <row r="131">
      <c r="A131" s="3" t="n">
        <v>46006</v>
      </c>
      <c r="B131" s="4" t="inlineStr">
        <is>
          <t>M/S GOYAL STEEL</t>
        </is>
      </c>
      <c r="C131" s="4" t="inlineStr">
        <is>
          <t>15/12/2025, 6:48 pm</t>
        </is>
      </c>
      <c r="D131" s="4" t="inlineStr">
        <is>
          <t>15/12/2025, 6:50 pm</t>
        </is>
      </c>
      <c r="E131" s="4" t="inlineStr">
        <is>
          <t>Got future date</t>
        </is>
      </c>
      <c r="F131" s="4">
        <f>Daily_Visit_Log!F131</f>
        <v/>
      </c>
      <c r="G131" s="4">
        <f>Daily_Visit_Log!Y131</f>
        <v/>
      </c>
      <c r="H131" s="4">
        <f>Daily_Visit_Log!Q131</f>
        <v/>
      </c>
      <c r="I131" s="4">
        <f>IF(F131&lt;5,"YES","NO")</f>
        <v/>
      </c>
      <c r="J131" s="4">
        <f>MIN(100,IF(F131&gt;=30,50,IF(F131&gt;=15,40,IF(F131&gt;=5,25,10)))+IF(H131&gt;=50,50,IF(H131&gt;=30,40,IF(H131&gt;=20,30,IF(H131&gt;=10,20,10)))))</f>
        <v/>
      </c>
    </row>
    <row r="132">
      <c r="A132" s="3" t="n">
        <v>46017</v>
      </c>
      <c r="B132" s="4" t="inlineStr">
        <is>
          <t>M/S GOYAL STEEL</t>
        </is>
      </c>
      <c r="C132" s="4" t="inlineStr">
        <is>
          <t>26/12/2025, 4:18 pm</t>
        </is>
      </c>
      <c r="D132" s="4" t="inlineStr">
        <is>
          <t>26/12/2025, 4:19 pm</t>
        </is>
      </c>
      <c r="E132" s="4" t="inlineStr">
        <is>
          <t>Got future date</t>
        </is>
      </c>
      <c r="F132" s="4">
        <f>Daily_Visit_Log!F132</f>
        <v/>
      </c>
      <c r="G132" s="4">
        <f>Daily_Visit_Log!Y132</f>
        <v/>
      </c>
      <c r="H132" s="4">
        <f>Daily_Visit_Log!Q132</f>
        <v/>
      </c>
      <c r="I132" s="4">
        <f>IF(F132&lt;5,"YES","NO")</f>
        <v/>
      </c>
      <c r="J132" s="4">
        <f>MIN(100,IF(F132&gt;=30,50,IF(F132&gt;=15,40,IF(F132&gt;=5,25,10)))+IF(H132&gt;=50,50,IF(H132&gt;=30,40,IF(H132&gt;=20,30,IF(H132&gt;=10,20,10)))))</f>
        <v/>
      </c>
    </row>
    <row r="133">
      <c r="A133" s="3" t="n">
        <v>46029</v>
      </c>
      <c r="B133" s="4" t="inlineStr">
        <is>
          <t>M/S GOYAL STEEL</t>
        </is>
      </c>
      <c r="C133" s="4" t="inlineStr">
        <is>
          <t>07/01/2026, 4:09 pm</t>
        </is>
      </c>
      <c r="D133" s="4" t="inlineStr">
        <is>
          <t>07/01/2026, 4:10 pm</t>
        </is>
      </c>
      <c r="E133" s="4" t="inlineStr">
        <is>
          <t>Got future date</t>
        </is>
      </c>
      <c r="F133" s="4">
        <f>Daily_Visit_Log!F133</f>
        <v/>
      </c>
      <c r="G133" s="4">
        <f>Daily_Visit_Log!Y133</f>
        <v/>
      </c>
      <c r="H133" s="4">
        <f>Daily_Visit_Log!Q133</f>
        <v/>
      </c>
      <c r="I133" s="4">
        <f>IF(F133&lt;5,"YES","NO")</f>
        <v/>
      </c>
      <c r="J133" s="4">
        <f>MIN(100,IF(F133&gt;=30,50,IF(F133&gt;=15,40,IF(F133&gt;=5,25,10)))+IF(H133&gt;=50,50,IF(H133&gt;=30,40,IF(H133&gt;=20,30,IF(H133&gt;=10,20,10)))))</f>
        <v/>
      </c>
    </row>
    <row r="134">
      <c r="A134" s="3" t="n">
        <v>45965</v>
      </c>
      <c r="B134" s="4" t="inlineStr">
        <is>
          <t>M/S K. D. STEEL</t>
        </is>
      </c>
      <c r="C134" s="4" t="inlineStr">
        <is>
          <t>04/11/2025, 5:10 pm</t>
        </is>
      </c>
      <c r="D134" s="4" t="inlineStr">
        <is>
          <t>04/11/2025, 5:12 pm</t>
        </is>
      </c>
      <c r="E134" s="4" t="inlineStr">
        <is>
          <t>Got future date</t>
        </is>
      </c>
      <c r="F134" s="4">
        <f>Daily_Visit_Log!F134</f>
        <v/>
      </c>
      <c r="G134" s="4">
        <f>Daily_Visit_Log!Y134</f>
        <v/>
      </c>
      <c r="H134" s="4">
        <f>Daily_Visit_Log!Q134</f>
        <v/>
      </c>
      <c r="I134" s="4">
        <f>IF(F134&lt;5,"YES","NO")</f>
        <v/>
      </c>
      <c r="J134" s="4">
        <f>MIN(100,IF(F134&gt;=30,50,IF(F134&gt;=15,40,IF(F134&gt;=5,25,10)))+IF(H134&gt;=50,50,IF(H134&gt;=30,40,IF(H134&gt;=20,30,IF(H134&gt;=10,20,10)))))</f>
        <v/>
      </c>
    </row>
    <row r="135">
      <c r="A135" s="3" t="n">
        <v>45974</v>
      </c>
      <c r="B135" s="4" t="inlineStr">
        <is>
          <t>M/S K. D. STEEL</t>
        </is>
      </c>
      <c r="C135" s="4" t="inlineStr">
        <is>
          <t>13/11/2025, 5:54 pm</t>
        </is>
      </c>
      <c r="D135" s="4" t="inlineStr">
        <is>
          <t>13/11/2025, 6:00 pm</t>
        </is>
      </c>
      <c r="E135" s="4" t="inlineStr">
        <is>
          <t>Got future date</t>
        </is>
      </c>
      <c r="F135" s="4">
        <f>Daily_Visit_Log!F135</f>
        <v/>
      </c>
      <c r="G135" s="4">
        <f>Daily_Visit_Log!Y135</f>
        <v/>
      </c>
      <c r="H135" s="4">
        <f>Daily_Visit_Log!Q135</f>
        <v/>
      </c>
      <c r="I135" s="4">
        <f>IF(F135&lt;5,"YES","NO")</f>
        <v/>
      </c>
      <c r="J135" s="4">
        <f>MIN(100,IF(F135&gt;=30,50,IF(F135&gt;=15,40,IF(F135&gt;=5,25,10)))+IF(H135&gt;=50,50,IF(H135&gt;=30,40,IF(H135&gt;=20,30,IF(H135&gt;=10,20,10)))))</f>
        <v/>
      </c>
    </row>
    <row r="136">
      <c r="A136" s="3" t="n">
        <v>45985</v>
      </c>
      <c r="B136" s="4" t="inlineStr">
        <is>
          <t>M/S K. D. STEEL</t>
        </is>
      </c>
      <c r="C136" s="4" t="inlineStr">
        <is>
          <t>24/11/2025, 5:06 pm</t>
        </is>
      </c>
      <c r="D136" s="4" t="inlineStr">
        <is>
          <t>24/11/2025, 5:07 pm</t>
        </is>
      </c>
      <c r="E136" s="4" t="inlineStr">
        <is>
          <t>Got future date</t>
        </is>
      </c>
      <c r="F136" s="4">
        <f>Daily_Visit_Log!F136</f>
        <v/>
      </c>
      <c r="G136" s="4">
        <f>Daily_Visit_Log!Y136</f>
        <v/>
      </c>
      <c r="H136" s="4">
        <f>Daily_Visit_Log!Q136</f>
        <v/>
      </c>
      <c r="I136" s="4">
        <f>IF(F136&lt;5,"YES","NO")</f>
        <v/>
      </c>
      <c r="J136" s="4">
        <f>MIN(100,IF(F136&gt;=30,50,IF(F136&gt;=15,40,IF(F136&gt;=5,25,10)))+IF(H136&gt;=50,50,IF(H136&gt;=30,40,IF(H136&gt;=20,30,IF(H136&gt;=10,20,10)))))</f>
        <v/>
      </c>
    </row>
    <row r="137">
      <c r="A137" s="3" t="n">
        <v>46006</v>
      </c>
      <c r="B137" s="4" t="inlineStr">
        <is>
          <t>M/S K. D. STEEL</t>
        </is>
      </c>
      <c r="C137" s="4" t="inlineStr">
        <is>
          <t>15/12/2025, 6:57 pm</t>
        </is>
      </c>
      <c r="D137" s="4" t="inlineStr">
        <is>
          <t>15/12/2025, 6:58 pm</t>
        </is>
      </c>
      <c r="E137" s="4" t="inlineStr">
        <is>
          <t>Got future date</t>
        </is>
      </c>
      <c r="F137" s="4">
        <f>Daily_Visit_Log!F137</f>
        <v/>
      </c>
      <c r="G137" s="4">
        <f>Daily_Visit_Log!Y137</f>
        <v/>
      </c>
      <c r="H137" s="4">
        <f>Daily_Visit_Log!Q137</f>
        <v/>
      </c>
      <c r="I137" s="4">
        <f>IF(F137&lt;5,"YES","NO")</f>
        <v/>
      </c>
      <c r="J137" s="4">
        <f>MIN(100,IF(F137&gt;=30,50,IF(F137&gt;=15,40,IF(F137&gt;=5,25,10)))+IF(H137&gt;=50,50,IF(H137&gt;=30,40,IF(H137&gt;=20,30,IF(H137&gt;=10,20,10)))))</f>
        <v/>
      </c>
    </row>
    <row r="138">
      <c r="A138" s="3" t="n">
        <v>46017</v>
      </c>
      <c r="B138" s="4" t="inlineStr">
        <is>
          <t>M/S K. D. STEEL</t>
        </is>
      </c>
      <c r="C138" s="4" t="inlineStr">
        <is>
          <t>26/12/2025, 4:13 pm</t>
        </is>
      </c>
      <c r="D138" s="4" t="inlineStr">
        <is>
          <t>26/12/2025, 4:14 pm</t>
        </is>
      </c>
      <c r="E138" s="4" t="inlineStr">
        <is>
          <t>Got future date</t>
        </is>
      </c>
      <c r="F138" s="4">
        <f>Daily_Visit_Log!F138</f>
        <v/>
      </c>
      <c r="G138" s="4">
        <f>Daily_Visit_Log!Y138</f>
        <v/>
      </c>
      <c r="H138" s="4">
        <f>Daily_Visit_Log!Q138</f>
        <v/>
      </c>
      <c r="I138" s="4">
        <f>IF(F138&lt;5,"YES","NO")</f>
        <v/>
      </c>
      <c r="J138" s="4">
        <f>MIN(100,IF(F138&gt;=30,50,IF(F138&gt;=15,40,IF(F138&gt;=5,25,10)))+IF(H138&gt;=50,50,IF(H138&gt;=30,40,IF(H138&gt;=20,30,IF(H138&gt;=10,20,10)))))</f>
        <v/>
      </c>
    </row>
    <row r="139">
      <c r="A139" s="3" t="n">
        <v>46029</v>
      </c>
      <c r="B139" s="4" t="inlineStr">
        <is>
          <t>M/S K. D. STEEL</t>
        </is>
      </c>
      <c r="C139" s="4" t="inlineStr">
        <is>
          <t>07/01/2026, 4:12 pm</t>
        </is>
      </c>
      <c r="D139" s="4" t="inlineStr">
        <is>
          <t>07/01/2026, 4:15 pm</t>
        </is>
      </c>
      <c r="E139" s="4" t="inlineStr">
        <is>
          <t>Got future date</t>
        </is>
      </c>
      <c r="F139" s="4">
        <f>Daily_Visit_Log!F139</f>
        <v/>
      </c>
      <c r="G139" s="4">
        <f>Daily_Visit_Log!Y139</f>
        <v/>
      </c>
      <c r="H139" s="4">
        <f>Daily_Visit_Log!Q139</f>
        <v/>
      </c>
      <c r="I139" s="4">
        <f>IF(F139&lt;5,"YES","NO")</f>
        <v/>
      </c>
      <c r="J139" s="4">
        <f>MIN(100,IF(F139&gt;=30,50,IF(F139&gt;=15,40,IF(F139&gt;=5,25,10)))+IF(H139&gt;=50,50,IF(H139&gt;=30,40,IF(H139&gt;=20,30,IF(H139&gt;=10,20,10)))))</f>
        <v/>
      </c>
    </row>
    <row r="140">
      <c r="A140" s="3" t="n">
        <v>46042</v>
      </c>
      <c r="B140" s="4" t="inlineStr">
        <is>
          <t>M/S K. D. STEEL</t>
        </is>
      </c>
      <c r="C140" s="4" t="inlineStr">
        <is>
          <t>20/01/2026, 5:03 pm</t>
        </is>
      </c>
      <c r="D140" s="4" t="inlineStr">
        <is>
          <t>20/01/2026, 5:06 pm</t>
        </is>
      </c>
      <c r="E140" s="4" t="inlineStr">
        <is>
          <t>Got future date</t>
        </is>
      </c>
      <c r="F140" s="4">
        <f>Daily_Visit_Log!F140</f>
        <v/>
      </c>
      <c r="G140" s="4">
        <f>Daily_Visit_Log!Y140</f>
        <v/>
      </c>
      <c r="H140" s="4">
        <f>Daily_Visit_Log!Q140</f>
        <v/>
      </c>
      <c r="I140" s="4">
        <f>IF(F140&lt;5,"YES","NO")</f>
        <v/>
      </c>
      <c r="J140" s="4">
        <f>MIN(100,IF(F140&gt;=30,50,IF(F140&gt;=15,40,IF(F140&gt;=5,25,10)))+IF(H140&gt;=50,50,IF(H140&gt;=30,40,IF(H140&gt;=20,30,IF(H140&gt;=10,20,10)))))</f>
        <v/>
      </c>
    </row>
    <row r="141">
      <c r="A141" s="3" t="n">
        <v>45986</v>
      </c>
      <c r="B141" s="4" t="inlineStr">
        <is>
          <t>M/S KHANDELWAL SALES AGENCIES</t>
        </is>
      </c>
      <c r="C141" s="4" t="inlineStr">
        <is>
          <t>25/11/2025, 5:21 pm</t>
        </is>
      </c>
      <c r="D141" s="4" t="inlineStr">
        <is>
          <t>25/11/2025, 5:22 pm</t>
        </is>
      </c>
      <c r="E141" s="4" t="inlineStr">
        <is>
          <t>Got future date</t>
        </is>
      </c>
      <c r="F141" s="4">
        <f>Daily_Visit_Log!F141</f>
        <v/>
      </c>
      <c r="G141" s="4">
        <f>Daily_Visit_Log!Y141</f>
        <v/>
      </c>
      <c r="H141" s="4">
        <f>Daily_Visit_Log!Q141</f>
        <v/>
      </c>
      <c r="I141" s="4">
        <f>IF(F141&lt;5,"YES","NO")</f>
        <v/>
      </c>
      <c r="J141" s="4">
        <f>MIN(100,IF(F141&gt;=30,50,IF(F141&gt;=15,40,IF(F141&gt;=5,25,10)))+IF(H141&gt;=50,50,IF(H141&gt;=30,40,IF(H141&gt;=20,30,IF(H141&gt;=10,20,10)))))</f>
        <v/>
      </c>
    </row>
    <row r="142">
      <c r="A142" s="3" t="n">
        <v>46015</v>
      </c>
      <c r="B142" s="4" t="inlineStr">
        <is>
          <t>M/S KHANDELWAL SALES AGENCIES</t>
        </is>
      </c>
      <c r="C142" s="4" t="inlineStr">
        <is>
          <t>24/12/2025, 4:28 pm</t>
        </is>
      </c>
      <c r="D142" s="4" t="inlineStr">
        <is>
          <t>24/12/2025, 4:29 pm</t>
        </is>
      </c>
      <c r="E142" s="4" t="inlineStr">
        <is>
          <t>Got future date</t>
        </is>
      </c>
      <c r="F142" s="4">
        <f>Daily_Visit_Log!F142</f>
        <v/>
      </c>
      <c r="G142" s="4">
        <f>Daily_Visit_Log!Y142</f>
        <v/>
      </c>
      <c r="H142" s="4">
        <f>Daily_Visit_Log!Q142</f>
        <v/>
      </c>
      <c r="I142" s="4">
        <f>IF(F142&lt;5,"YES","NO")</f>
        <v/>
      </c>
      <c r="J142" s="4">
        <f>MIN(100,IF(F142&gt;=30,50,IF(F142&gt;=15,40,IF(F142&gt;=5,25,10)))+IF(H142&gt;=50,50,IF(H142&gt;=30,40,IF(H142&gt;=20,30,IF(H142&gt;=10,20,10)))))</f>
        <v/>
      </c>
    </row>
    <row r="143">
      <c r="A143" s="3" t="n">
        <v>46049</v>
      </c>
      <c r="B143" s="4" t="inlineStr">
        <is>
          <t>M/S KHANDELWAL SALES AGENCIES</t>
        </is>
      </c>
      <c r="C143" s="4" t="inlineStr">
        <is>
          <t>27/01/2026, 4:59 pm</t>
        </is>
      </c>
      <c r="D143" s="4" t="inlineStr">
        <is>
          <t>27/01/2026, 5:00 pm</t>
        </is>
      </c>
      <c r="E143" s="4" t="inlineStr">
        <is>
          <t>Got future date</t>
        </is>
      </c>
      <c r="F143" s="4">
        <f>Daily_Visit_Log!F143</f>
        <v/>
      </c>
      <c r="G143" s="4">
        <f>Daily_Visit_Log!Y143</f>
        <v/>
      </c>
      <c r="H143" s="4">
        <f>Daily_Visit_Log!Q143</f>
        <v/>
      </c>
      <c r="I143" s="4">
        <f>IF(F143&lt;5,"YES","NO")</f>
        <v/>
      </c>
      <c r="J143" s="4">
        <f>MIN(100,IF(F143&gt;=30,50,IF(F143&gt;=15,40,IF(F143&gt;=5,25,10)))+IF(H143&gt;=50,50,IF(H143&gt;=30,40,IF(H143&gt;=20,30,IF(H143&gt;=10,20,10)))))</f>
        <v/>
      </c>
    </row>
    <row r="144">
      <c r="A144" s="3" t="n">
        <v>45987</v>
      </c>
      <c r="B144" s="4" t="inlineStr">
        <is>
          <t>M/S KRIS ENTERPRISE</t>
        </is>
      </c>
      <c r="C144" s="4" t="inlineStr">
        <is>
          <t>26/11/2025, 2:03 pm</t>
        </is>
      </c>
      <c r="D144" s="4" t="inlineStr">
        <is>
          <t>26/11/2025, 2:05 pm</t>
        </is>
      </c>
      <c r="E144" s="4" t="inlineStr">
        <is>
          <t>Account created</t>
        </is>
      </c>
      <c r="F144" s="4">
        <f>Daily_Visit_Log!F144</f>
        <v/>
      </c>
      <c r="G144" s="4">
        <f>Daily_Visit_Log!Y144</f>
        <v/>
      </c>
      <c r="H144" s="4">
        <f>Daily_Visit_Log!Q144</f>
        <v/>
      </c>
      <c r="I144" s="4">
        <f>IF(F144&lt;5,"YES","NO")</f>
        <v/>
      </c>
      <c r="J144" s="4">
        <f>MIN(100,IF(F144&gt;=30,50,IF(F144&gt;=15,40,IF(F144&gt;=5,25,10)))+IF(H144&gt;=50,50,IF(H144&gt;=30,40,IF(H144&gt;=20,30,IF(H144&gt;=10,20,10)))))</f>
        <v/>
      </c>
    </row>
    <row r="145">
      <c r="A145" s="3" t="n">
        <v>45966</v>
      </c>
      <c r="B145" s="4" t="inlineStr">
        <is>
          <t>M/S LAWRENCE KUNJ &amp; ASSOCIATES</t>
        </is>
      </c>
      <c r="C145" s="4" t="inlineStr">
        <is>
          <t>05/11/2025, 12:49 pm</t>
        </is>
      </c>
      <c r="D145" s="4" t="inlineStr">
        <is>
          <t>05/11/2025, 12:50 pm</t>
        </is>
      </c>
      <c r="E145" s="4" t="inlineStr">
        <is>
          <t>Got future date</t>
        </is>
      </c>
      <c r="F145" s="4">
        <f>Daily_Visit_Log!F145</f>
        <v/>
      </c>
      <c r="G145" s="4">
        <f>Daily_Visit_Log!Y145</f>
        <v/>
      </c>
      <c r="H145" s="4">
        <f>Daily_Visit_Log!Q145</f>
        <v/>
      </c>
      <c r="I145" s="4">
        <f>IF(F145&lt;5,"YES","NO")</f>
        <v/>
      </c>
      <c r="J145" s="4">
        <f>MIN(100,IF(F145&gt;=30,50,IF(F145&gt;=15,40,IF(F145&gt;=5,25,10)))+IF(H145&gt;=50,50,IF(H145&gt;=30,40,IF(H145&gt;=20,30,IF(H145&gt;=10,20,10)))))</f>
        <v/>
      </c>
    </row>
    <row r="146">
      <c r="A146" s="3" t="n">
        <v>45987</v>
      </c>
      <c r="B146" s="4" t="inlineStr">
        <is>
          <t>M/S LAWRENCE KUNJ &amp; ASSOCIATES</t>
        </is>
      </c>
      <c r="C146" s="4" t="inlineStr">
        <is>
          <t>26/11/2025, 10:44 am</t>
        </is>
      </c>
      <c r="D146" s="4" t="inlineStr">
        <is>
          <t>26/11/2025, 10:48 am</t>
        </is>
      </c>
      <c r="E146" s="4" t="inlineStr">
        <is>
          <t>Got future date</t>
        </is>
      </c>
      <c r="F146" s="4">
        <f>Daily_Visit_Log!F146</f>
        <v/>
      </c>
      <c r="G146" s="4">
        <f>Daily_Visit_Log!Y146</f>
        <v/>
      </c>
      <c r="H146" s="4">
        <f>Daily_Visit_Log!Q146</f>
        <v/>
      </c>
      <c r="I146" s="4">
        <f>IF(F146&lt;5,"YES","NO")</f>
        <v/>
      </c>
      <c r="J146" s="4">
        <f>MIN(100,IF(F146&gt;=30,50,IF(F146&gt;=15,40,IF(F146&gt;=5,25,10)))+IF(H146&gt;=50,50,IF(H146&gt;=30,40,IF(H146&gt;=20,30,IF(H146&gt;=10,20,10)))))</f>
        <v/>
      </c>
    </row>
    <row r="147">
      <c r="A147" s="3" t="n">
        <v>46003</v>
      </c>
      <c r="B147" s="4" t="inlineStr">
        <is>
          <t>M/S LAWRENCE KUNJ &amp; ASSOCIATES</t>
        </is>
      </c>
      <c r="C147" s="4" t="inlineStr">
        <is>
          <t>12/12/2025, 3:37 pm</t>
        </is>
      </c>
      <c r="D147" s="4" t="inlineStr">
        <is>
          <t>12/12/2025, 3:39 pm</t>
        </is>
      </c>
      <c r="E147" s="4" t="inlineStr">
        <is>
          <t>Got future date</t>
        </is>
      </c>
      <c r="F147" s="4">
        <f>Daily_Visit_Log!F147</f>
        <v/>
      </c>
      <c r="G147" s="4">
        <f>Daily_Visit_Log!Y147</f>
        <v/>
      </c>
      <c r="H147" s="4">
        <f>Daily_Visit_Log!Q147</f>
        <v/>
      </c>
      <c r="I147" s="4">
        <f>IF(F147&lt;5,"YES","NO")</f>
        <v/>
      </c>
      <c r="J147" s="4">
        <f>MIN(100,IF(F147&gt;=30,50,IF(F147&gt;=15,40,IF(F147&gt;=5,25,10)))+IF(H147&gt;=50,50,IF(H147&gt;=30,40,IF(H147&gt;=20,30,IF(H147&gt;=10,20,10)))))</f>
        <v/>
      </c>
    </row>
    <row r="148">
      <c r="A148" s="3" t="n">
        <v>46030</v>
      </c>
      <c r="B148" s="4" t="inlineStr">
        <is>
          <t>M/S LAWRENCE KUNJ &amp; ASSOCIATES</t>
        </is>
      </c>
      <c r="C148" s="4" t="inlineStr">
        <is>
          <t>08/01/2026, 11:36 am</t>
        </is>
      </c>
      <c r="D148" s="4" t="inlineStr">
        <is>
          <t>08/01/2026, 11:37 am</t>
        </is>
      </c>
      <c r="E148" s="4" t="inlineStr">
        <is>
          <t>Got future date</t>
        </is>
      </c>
      <c r="F148" s="4">
        <f>Daily_Visit_Log!F148</f>
        <v/>
      </c>
      <c r="G148" s="4">
        <f>Daily_Visit_Log!Y148</f>
        <v/>
      </c>
      <c r="H148" s="4">
        <f>Daily_Visit_Log!Q148</f>
        <v/>
      </c>
      <c r="I148" s="4">
        <f>IF(F148&lt;5,"YES","NO")</f>
        <v/>
      </c>
      <c r="J148" s="4">
        <f>MIN(100,IF(F148&gt;=30,50,IF(F148&gt;=15,40,IF(F148&gt;=5,25,10)))+IF(H148&gt;=50,50,IF(H148&gt;=30,40,IF(H148&gt;=20,30,IF(H148&gt;=10,20,10)))))</f>
        <v/>
      </c>
    </row>
    <row r="149">
      <c r="A149" s="3" t="n">
        <v>46000</v>
      </c>
      <c r="B149" s="4" t="inlineStr">
        <is>
          <t>M/S MAA RANKINI ENTERPRISES</t>
        </is>
      </c>
      <c r="C149" s="4" t="inlineStr">
        <is>
          <t>09/12/2025, 4:03 pm</t>
        </is>
      </c>
      <c r="D149" s="4" t="inlineStr">
        <is>
          <t>09/12/2025, 4:04 pm</t>
        </is>
      </c>
      <c r="E149" s="4" t="inlineStr">
        <is>
          <t>Got future date</t>
        </is>
      </c>
      <c r="F149" s="4">
        <f>Daily_Visit_Log!F149</f>
        <v/>
      </c>
      <c r="G149" s="4">
        <f>Daily_Visit_Log!Y149</f>
        <v/>
      </c>
      <c r="H149" s="4">
        <f>Daily_Visit_Log!Q149</f>
        <v/>
      </c>
      <c r="I149" s="4">
        <f>IF(F149&lt;5,"YES","NO")</f>
        <v/>
      </c>
      <c r="J149" s="4">
        <f>MIN(100,IF(F149&gt;=30,50,IF(F149&gt;=15,40,IF(F149&gt;=5,25,10)))+IF(H149&gt;=50,50,IF(H149&gt;=30,40,IF(H149&gt;=20,30,IF(H149&gt;=10,20,10)))))</f>
        <v/>
      </c>
    </row>
    <row r="150">
      <c r="A150" s="3" t="n">
        <v>46021</v>
      </c>
      <c r="B150" s="4" t="inlineStr">
        <is>
          <t>M/S MAA RANKINI ENTERPRISES</t>
        </is>
      </c>
      <c r="C150" s="4" t="inlineStr">
        <is>
          <t>30/12/2025, 6:23 pm</t>
        </is>
      </c>
      <c r="D150" s="4" t="inlineStr">
        <is>
          <t>30/12/2025, 6:25 pm</t>
        </is>
      </c>
      <c r="E150" s="4" t="inlineStr">
        <is>
          <t>Got future date</t>
        </is>
      </c>
      <c r="F150" s="4">
        <f>Daily_Visit_Log!F150</f>
        <v/>
      </c>
      <c r="G150" s="4">
        <f>Daily_Visit_Log!Y150</f>
        <v/>
      </c>
      <c r="H150" s="4">
        <f>Daily_Visit_Log!Q150</f>
        <v/>
      </c>
      <c r="I150" s="4">
        <f>IF(F150&lt;5,"YES","NO")</f>
        <v/>
      </c>
      <c r="J150" s="4">
        <f>MIN(100,IF(F150&gt;=30,50,IF(F150&gt;=15,40,IF(F150&gt;=5,25,10)))+IF(H150&gt;=50,50,IF(H150&gt;=30,40,IF(H150&gt;=20,30,IF(H150&gt;=10,20,10)))))</f>
        <v/>
      </c>
    </row>
    <row r="151">
      <c r="A151" s="3" t="n">
        <v>46037</v>
      </c>
      <c r="B151" s="4" t="inlineStr">
        <is>
          <t>M/S MAA RANKINI ENTERPRISES</t>
        </is>
      </c>
      <c r="C151" s="4" t="inlineStr">
        <is>
          <t>15/01/2026, 6:31 pm</t>
        </is>
      </c>
      <c r="D151" s="4" t="inlineStr">
        <is>
          <t>15/01/2026, 6:32 pm</t>
        </is>
      </c>
      <c r="E151" s="4" t="inlineStr">
        <is>
          <t>Got future date</t>
        </is>
      </c>
      <c r="F151" s="4">
        <f>Daily_Visit_Log!F151</f>
        <v/>
      </c>
      <c r="G151" s="4">
        <f>Daily_Visit_Log!Y151</f>
        <v/>
      </c>
      <c r="H151" s="4">
        <f>Daily_Visit_Log!Q151</f>
        <v/>
      </c>
      <c r="I151" s="4">
        <f>IF(F151&lt;5,"YES","NO")</f>
        <v/>
      </c>
      <c r="J151" s="4">
        <f>MIN(100,IF(F151&gt;=30,50,IF(F151&gt;=15,40,IF(F151&gt;=5,25,10)))+IF(H151&gt;=50,50,IF(H151&gt;=30,40,IF(H151&gt;=20,30,IF(H151&gt;=10,20,10)))))</f>
        <v/>
      </c>
    </row>
    <row r="152">
      <c r="A152" s="3" t="n">
        <v>46051</v>
      </c>
      <c r="B152" s="4" t="inlineStr">
        <is>
          <t>M/S MAA RANKINI ENTERPRISES</t>
        </is>
      </c>
      <c r="C152" s="4" t="inlineStr">
        <is>
          <t>29/01/2026, 12:57 pm</t>
        </is>
      </c>
      <c r="D152" s="4" t="inlineStr">
        <is>
          <t>29/01/2026, 12:59 pm</t>
        </is>
      </c>
      <c r="E152" s="4" t="inlineStr">
        <is>
          <t>Got future date</t>
        </is>
      </c>
      <c r="F152" s="4">
        <f>Daily_Visit_Log!F152</f>
        <v/>
      </c>
      <c r="G152" s="4">
        <f>Daily_Visit_Log!Y152</f>
        <v/>
      </c>
      <c r="H152" s="4">
        <f>Daily_Visit_Log!Q152</f>
        <v/>
      </c>
      <c r="I152" s="4">
        <f>IF(F152&lt;5,"YES","NO")</f>
        <v/>
      </c>
      <c r="J152" s="4">
        <f>MIN(100,IF(F152&gt;=30,50,IF(F152&gt;=15,40,IF(F152&gt;=5,25,10)))+IF(H152&gt;=50,50,IF(H152&gt;=30,40,IF(H152&gt;=20,30,IF(H152&gt;=10,20,10)))))</f>
        <v/>
      </c>
    </row>
    <row r="153">
      <c r="A153" s="3" t="n">
        <v>45993</v>
      </c>
      <c r="B153" s="4" t="inlineStr">
        <is>
          <t>M/S MARUTI ENTERPRISES</t>
        </is>
      </c>
      <c r="C153" s="4" t="inlineStr">
        <is>
          <t>02/12/2025, 6:36 pm</t>
        </is>
      </c>
      <c r="D153" s="4" t="inlineStr">
        <is>
          <t>02/12/2025, 6:37 pm</t>
        </is>
      </c>
      <c r="E153" s="4" t="inlineStr">
        <is>
          <t>Got future date</t>
        </is>
      </c>
      <c r="F153" s="4">
        <f>Daily_Visit_Log!F153</f>
        <v/>
      </c>
      <c r="G153" s="4">
        <f>Daily_Visit_Log!Y153</f>
        <v/>
      </c>
      <c r="H153" s="4">
        <f>Daily_Visit_Log!Q153</f>
        <v/>
      </c>
      <c r="I153" s="4">
        <f>IF(F153&lt;5,"YES","NO")</f>
        <v/>
      </c>
      <c r="J153" s="4">
        <f>MIN(100,IF(F153&gt;=30,50,IF(F153&gt;=15,40,IF(F153&gt;=5,25,10)))+IF(H153&gt;=50,50,IF(H153&gt;=30,40,IF(H153&gt;=20,30,IF(H153&gt;=10,20,10)))))</f>
        <v/>
      </c>
    </row>
    <row r="154">
      <c r="A154" s="3" t="n">
        <v>46021</v>
      </c>
      <c r="B154" s="4" t="inlineStr">
        <is>
          <t>M/S MARUTI ENTERPRISES</t>
        </is>
      </c>
      <c r="C154" s="4" t="inlineStr">
        <is>
          <t>30/12/2025, 5:26 pm</t>
        </is>
      </c>
      <c r="D154" s="4" t="inlineStr">
        <is>
          <t>30/12/2025, 5:27 pm</t>
        </is>
      </c>
      <c r="E154" s="4" t="inlineStr">
        <is>
          <t>Got future date</t>
        </is>
      </c>
      <c r="F154" s="4">
        <f>Daily_Visit_Log!F154</f>
        <v/>
      </c>
      <c r="G154" s="4">
        <f>Daily_Visit_Log!Y154</f>
        <v/>
      </c>
      <c r="H154" s="4">
        <f>Daily_Visit_Log!Q154</f>
        <v/>
      </c>
      <c r="I154" s="4">
        <f>IF(F154&lt;5,"YES","NO")</f>
        <v/>
      </c>
      <c r="J154" s="4">
        <f>MIN(100,IF(F154&gt;=30,50,IF(F154&gt;=15,40,IF(F154&gt;=5,25,10)))+IF(H154&gt;=50,50,IF(H154&gt;=30,40,IF(H154&gt;=20,30,IF(H154&gt;=10,20,10)))))</f>
        <v/>
      </c>
    </row>
    <row r="155">
      <c r="A155" s="3" t="n">
        <v>46037</v>
      </c>
      <c r="B155" s="4" t="inlineStr">
        <is>
          <t>M/S MARUTI ENTERPRISES</t>
        </is>
      </c>
      <c r="C155" s="4" t="inlineStr">
        <is>
          <t>15/01/2026, 6:53 pm</t>
        </is>
      </c>
      <c r="D155" s="4" t="inlineStr">
        <is>
          <t>15/01/2026, 6:55 pm</t>
        </is>
      </c>
      <c r="E155" s="4" t="inlineStr">
        <is>
          <t>Got future date</t>
        </is>
      </c>
      <c r="F155" s="4">
        <f>Daily_Visit_Log!F155</f>
        <v/>
      </c>
      <c r="G155" s="4">
        <f>Daily_Visit_Log!Y155</f>
        <v/>
      </c>
      <c r="H155" s="4">
        <f>Daily_Visit_Log!Q155</f>
        <v/>
      </c>
      <c r="I155" s="4">
        <f>IF(F155&lt;5,"YES","NO")</f>
        <v/>
      </c>
      <c r="J155" s="4">
        <f>MIN(100,IF(F155&gt;=30,50,IF(F155&gt;=15,40,IF(F155&gt;=5,25,10)))+IF(H155&gt;=50,50,IF(H155&gt;=30,40,IF(H155&gt;=20,30,IF(H155&gt;=10,20,10)))))</f>
        <v/>
      </c>
    </row>
    <row r="156">
      <c r="A156" s="3" t="n">
        <v>46045</v>
      </c>
      <c r="B156" s="4" t="inlineStr">
        <is>
          <t>M/S MARUTI ENTERPRISES</t>
        </is>
      </c>
      <c r="C156" s="4" t="inlineStr">
        <is>
          <t>23/01/2026, 2:00 pm</t>
        </is>
      </c>
      <c r="D156" s="4" t="inlineStr">
        <is>
          <t>23/01/2026, 2:01 pm</t>
        </is>
      </c>
      <c r="E156" s="4" t="inlineStr">
        <is>
          <t>Got future date</t>
        </is>
      </c>
      <c r="F156" s="4">
        <f>Daily_Visit_Log!F156</f>
        <v/>
      </c>
      <c r="G156" s="4">
        <f>Daily_Visit_Log!Y156</f>
        <v/>
      </c>
      <c r="H156" s="4">
        <f>Daily_Visit_Log!Q156</f>
        <v/>
      </c>
      <c r="I156" s="4">
        <f>IF(F156&lt;5,"YES","NO")</f>
        <v/>
      </c>
      <c r="J156" s="4">
        <f>MIN(100,IF(F156&gt;=30,50,IF(F156&gt;=15,40,IF(F156&gt;=5,25,10)))+IF(H156&gt;=50,50,IF(H156&gt;=30,40,IF(H156&gt;=20,30,IF(H156&gt;=10,20,10)))))</f>
        <v/>
      </c>
    </row>
    <row r="157">
      <c r="A157" s="3" t="n">
        <v>45993</v>
      </c>
      <c r="B157" s="4" t="inlineStr">
        <is>
          <t>M/S MITTAL SALES &amp; MARKETING</t>
        </is>
      </c>
      <c r="C157" s="4" t="inlineStr">
        <is>
          <t>02/12/2025, 3:30 pm</t>
        </is>
      </c>
      <c r="D157" s="4" t="inlineStr">
        <is>
          <t>02/12/2025, 3:30 pm</t>
        </is>
      </c>
      <c r="E157" s="4" t="inlineStr">
        <is>
          <t>Got future date</t>
        </is>
      </c>
      <c r="F157" s="4">
        <f>Daily_Visit_Log!F157</f>
        <v/>
      </c>
      <c r="G157" s="4">
        <f>Daily_Visit_Log!Y157</f>
        <v/>
      </c>
      <c r="H157" s="4">
        <f>Daily_Visit_Log!Q157</f>
        <v/>
      </c>
      <c r="I157" s="4">
        <f>IF(F157&lt;5,"YES","NO")</f>
        <v/>
      </c>
      <c r="J157" s="4">
        <f>MIN(100,IF(F157&gt;=30,50,IF(F157&gt;=15,40,IF(F157&gt;=5,25,10)))+IF(H157&gt;=50,50,IF(H157&gt;=30,40,IF(H157&gt;=20,30,IF(H157&gt;=10,20,10)))))</f>
        <v/>
      </c>
    </row>
    <row r="158">
      <c r="A158" s="3" t="n">
        <v>46051</v>
      </c>
      <c r="B158" s="4" t="inlineStr">
        <is>
          <t>M/S MITTAL SALES &amp; MARKETING</t>
        </is>
      </c>
      <c r="C158" s="4" t="inlineStr">
        <is>
          <t>29/01/2026, 11:26 am</t>
        </is>
      </c>
      <c r="D158" s="4" t="inlineStr">
        <is>
          <t>29/01/2026, 11:29 am</t>
        </is>
      </c>
      <c r="E158" s="4" t="inlineStr">
        <is>
          <t>Got future date</t>
        </is>
      </c>
      <c r="F158" s="4">
        <f>Daily_Visit_Log!F158</f>
        <v/>
      </c>
      <c r="G158" s="4">
        <f>Daily_Visit_Log!Y158</f>
        <v/>
      </c>
      <c r="H158" s="4">
        <f>Daily_Visit_Log!Q158</f>
        <v/>
      </c>
      <c r="I158" s="4">
        <f>IF(F158&lt;5,"YES","NO")</f>
        <v/>
      </c>
      <c r="J158" s="4">
        <f>MIN(100,IF(F158&gt;=30,50,IF(F158&gt;=15,40,IF(F158&gt;=5,25,10)))+IF(H158&gt;=50,50,IF(H158&gt;=30,40,IF(H158&gt;=20,30,IF(H158&gt;=10,20,10)))))</f>
        <v/>
      </c>
    </row>
    <row r="159">
      <c r="A159" s="3" t="n">
        <v>45968</v>
      </c>
      <c r="B159" s="4" t="inlineStr">
        <is>
          <t>M/S MUDALI STEEL CENTRE</t>
        </is>
      </c>
      <c r="C159" s="4" t="inlineStr">
        <is>
          <t>07/11/2025, 1:58 pm</t>
        </is>
      </c>
      <c r="D159" s="4" t="inlineStr">
        <is>
          <t>07/11/2025, 2:00 pm</t>
        </is>
      </c>
      <c r="E159" s="4" t="inlineStr">
        <is>
          <t>Got future date</t>
        </is>
      </c>
      <c r="F159" s="4">
        <f>Daily_Visit_Log!F159</f>
        <v/>
      </c>
      <c r="G159" s="4">
        <f>Daily_Visit_Log!Y159</f>
        <v/>
      </c>
      <c r="H159" s="4">
        <f>Daily_Visit_Log!Q159</f>
        <v/>
      </c>
      <c r="I159" s="4">
        <f>IF(F159&lt;5,"YES","NO")</f>
        <v/>
      </c>
      <c r="J159" s="4">
        <f>MIN(100,IF(F159&gt;=30,50,IF(F159&gt;=15,40,IF(F159&gt;=5,25,10)))+IF(H159&gt;=50,50,IF(H159&gt;=30,40,IF(H159&gt;=20,30,IF(H159&gt;=10,20,10)))))</f>
        <v/>
      </c>
    </row>
    <row r="160">
      <c r="A160" s="3" t="n">
        <v>45986</v>
      </c>
      <c r="B160" s="4" t="inlineStr">
        <is>
          <t>M/S MUDALI STEEL CENTRE</t>
        </is>
      </c>
      <c r="C160" s="4" t="inlineStr">
        <is>
          <t>25/11/2025, 11:30 am</t>
        </is>
      </c>
      <c r="D160" s="4" t="inlineStr">
        <is>
          <t>25/11/2025, 11:32 am</t>
        </is>
      </c>
      <c r="E160" s="4" t="inlineStr">
        <is>
          <t>Got future date</t>
        </is>
      </c>
      <c r="F160" s="4">
        <f>Daily_Visit_Log!F160</f>
        <v/>
      </c>
      <c r="G160" s="4">
        <f>Daily_Visit_Log!Y160</f>
        <v/>
      </c>
      <c r="H160" s="4">
        <f>Daily_Visit_Log!Q160</f>
        <v/>
      </c>
      <c r="I160" s="4">
        <f>IF(F160&lt;5,"YES","NO")</f>
        <v/>
      </c>
      <c r="J160" s="4">
        <f>MIN(100,IF(F160&gt;=30,50,IF(F160&gt;=15,40,IF(F160&gt;=5,25,10)))+IF(H160&gt;=50,50,IF(H160&gt;=30,40,IF(H160&gt;=20,30,IF(H160&gt;=10,20,10)))))</f>
        <v/>
      </c>
    </row>
    <row r="161">
      <c r="A161" s="3" t="n">
        <v>45992</v>
      </c>
      <c r="B161" s="4" t="inlineStr">
        <is>
          <t>M/S MUDALI STEEL CENTRE</t>
        </is>
      </c>
      <c r="C161" s="4" t="inlineStr">
        <is>
          <t>01/12/2025, 7:45 pm</t>
        </is>
      </c>
      <c r="D161" s="4" t="inlineStr">
        <is>
          <t>01/12/2025, 7:46 pm</t>
        </is>
      </c>
      <c r="E161" s="4" t="inlineStr">
        <is>
          <t>Got future date</t>
        </is>
      </c>
      <c r="F161" s="4">
        <f>Daily_Visit_Log!F161</f>
        <v/>
      </c>
      <c r="G161" s="4">
        <f>Daily_Visit_Log!Y161</f>
        <v/>
      </c>
      <c r="H161" s="4">
        <f>Daily_Visit_Log!Q161</f>
        <v/>
      </c>
      <c r="I161" s="4">
        <f>IF(F161&lt;5,"YES","NO")</f>
        <v/>
      </c>
      <c r="J161" s="4">
        <f>MIN(100,IF(F161&gt;=30,50,IF(F161&gt;=15,40,IF(F161&gt;=5,25,10)))+IF(H161&gt;=50,50,IF(H161&gt;=30,40,IF(H161&gt;=20,30,IF(H161&gt;=10,20,10)))))</f>
        <v/>
      </c>
    </row>
    <row r="162">
      <c r="A162" s="3" t="n">
        <v>46002</v>
      </c>
      <c r="B162" s="4" t="inlineStr">
        <is>
          <t>M/S MUDALI STEEL CENTRE</t>
        </is>
      </c>
      <c r="C162" s="4" t="inlineStr">
        <is>
          <t>11/12/2025, 6:17 pm</t>
        </is>
      </c>
      <c r="D162" s="4" t="inlineStr">
        <is>
          <t>11/12/2025, 6:18 pm</t>
        </is>
      </c>
      <c r="E162" s="4" t="inlineStr">
        <is>
          <t>Got future date</t>
        </is>
      </c>
      <c r="F162" s="4">
        <f>Daily_Visit_Log!F162</f>
        <v/>
      </c>
      <c r="G162" s="4">
        <f>Daily_Visit_Log!Y162</f>
        <v/>
      </c>
      <c r="H162" s="4">
        <f>Daily_Visit_Log!Q162</f>
        <v/>
      </c>
      <c r="I162" s="4">
        <f>IF(F162&lt;5,"YES","NO")</f>
        <v/>
      </c>
      <c r="J162" s="4">
        <f>MIN(100,IF(F162&gt;=30,50,IF(F162&gt;=15,40,IF(F162&gt;=5,25,10)))+IF(H162&gt;=50,50,IF(H162&gt;=30,40,IF(H162&gt;=20,30,IF(H162&gt;=10,20,10)))))</f>
        <v/>
      </c>
    </row>
    <row r="163">
      <c r="A163" s="3" t="n">
        <v>45980</v>
      </c>
      <c r="B163" s="4" t="inlineStr">
        <is>
          <t>M/S NEW SONA AGENCY</t>
        </is>
      </c>
      <c r="C163" s="4" t="inlineStr">
        <is>
          <t>19/11/2025, 7:01 pm</t>
        </is>
      </c>
      <c r="D163" s="4" t="inlineStr">
        <is>
          <t>19/11/2025, 7:03 pm</t>
        </is>
      </c>
      <c r="E163" s="4" t="inlineStr">
        <is>
          <t>Got future date</t>
        </is>
      </c>
      <c r="F163" s="4">
        <f>Daily_Visit_Log!F163</f>
        <v/>
      </c>
      <c r="G163" s="4">
        <f>Daily_Visit_Log!Y163</f>
        <v/>
      </c>
      <c r="H163" s="4">
        <f>Daily_Visit_Log!Q163</f>
        <v/>
      </c>
      <c r="I163" s="4">
        <f>IF(F163&lt;5,"YES","NO")</f>
        <v/>
      </c>
      <c r="J163" s="4">
        <f>MIN(100,IF(F163&gt;=30,50,IF(F163&gt;=15,40,IF(F163&gt;=5,25,10)))+IF(H163&gt;=50,50,IF(H163&gt;=30,40,IF(H163&gt;=20,30,IF(H163&gt;=10,20,10)))))</f>
        <v/>
      </c>
    </row>
    <row r="164">
      <c r="A164" s="3" t="n">
        <v>46002</v>
      </c>
      <c r="B164" s="4" t="inlineStr">
        <is>
          <t>M/S NEW SONA AGENCY</t>
        </is>
      </c>
      <c r="C164" s="4" t="inlineStr">
        <is>
          <t>11/12/2025, 6:54 pm</t>
        </is>
      </c>
      <c r="D164" s="4" t="inlineStr">
        <is>
          <t>11/12/2025, 7:01 pm</t>
        </is>
      </c>
      <c r="E164" s="4" t="inlineStr">
        <is>
          <t>Got future date</t>
        </is>
      </c>
      <c r="F164" s="4">
        <f>Daily_Visit_Log!F164</f>
        <v/>
      </c>
      <c r="G164" s="4">
        <f>Daily_Visit_Log!Y164</f>
        <v/>
      </c>
      <c r="H164" s="4">
        <f>Daily_Visit_Log!Q164</f>
        <v/>
      </c>
      <c r="I164" s="4">
        <f>IF(F164&lt;5,"YES","NO")</f>
        <v/>
      </c>
      <c r="J164" s="4">
        <f>MIN(100,IF(F164&gt;=30,50,IF(F164&gt;=15,40,IF(F164&gt;=5,25,10)))+IF(H164&gt;=50,50,IF(H164&gt;=30,40,IF(H164&gt;=20,30,IF(H164&gt;=10,20,10)))))</f>
        <v/>
      </c>
    </row>
    <row r="165">
      <c r="A165" s="3" t="n">
        <v>46015</v>
      </c>
      <c r="B165" s="4" t="inlineStr">
        <is>
          <t>M/S NEW SONA AGENCY</t>
        </is>
      </c>
      <c r="C165" s="4" t="inlineStr">
        <is>
          <t>24/12/2025, 7:04 pm</t>
        </is>
      </c>
      <c r="D165" s="4" t="inlineStr">
        <is>
          <t>24/12/2025, 7:07 pm</t>
        </is>
      </c>
      <c r="E165" s="4" t="inlineStr">
        <is>
          <t>Got future date</t>
        </is>
      </c>
      <c r="F165" s="4">
        <f>Daily_Visit_Log!F165</f>
        <v/>
      </c>
      <c r="G165" s="4">
        <f>Daily_Visit_Log!Y165</f>
        <v/>
      </c>
      <c r="H165" s="4">
        <f>Daily_Visit_Log!Q165</f>
        <v/>
      </c>
      <c r="I165" s="4">
        <f>IF(F165&lt;5,"YES","NO")</f>
        <v/>
      </c>
      <c r="J165" s="4">
        <f>MIN(100,IF(F165&gt;=30,50,IF(F165&gt;=15,40,IF(F165&gt;=5,25,10)))+IF(H165&gt;=50,50,IF(H165&gt;=30,40,IF(H165&gt;=20,30,IF(H165&gt;=10,20,10)))))</f>
        <v/>
      </c>
    </row>
    <row r="166">
      <c r="A166" s="3" t="n">
        <v>46020</v>
      </c>
      <c r="B166" s="4" t="inlineStr">
        <is>
          <t>M/S NEW SONA AGENCY</t>
        </is>
      </c>
      <c r="C166" s="4" t="inlineStr">
        <is>
          <t>29/12/2025, 7:47 pm</t>
        </is>
      </c>
      <c r="D166" s="4" t="inlineStr">
        <is>
          <t>29/12/2025, 7:48 pm</t>
        </is>
      </c>
      <c r="E166" s="4" t="inlineStr">
        <is>
          <t>Got future date</t>
        </is>
      </c>
      <c r="F166" s="4">
        <f>Daily_Visit_Log!F166</f>
        <v/>
      </c>
      <c r="G166" s="4">
        <f>Daily_Visit_Log!Y166</f>
        <v/>
      </c>
      <c r="H166" s="4">
        <f>Daily_Visit_Log!Q166</f>
        <v/>
      </c>
      <c r="I166" s="4">
        <f>IF(F166&lt;5,"YES","NO")</f>
        <v/>
      </c>
      <c r="J166" s="4">
        <f>MIN(100,IF(F166&gt;=30,50,IF(F166&gt;=15,40,IF(F166&gt;=5,25,10)))+IF(H166&gt;=50,50,IF(H166&gt;=30,40,IF(H166&gt;=20,30,IF(H166&gt;=10,20,10)))))</f>
        <v/>
      </c>
    </row>
    <row r="167">
      <c r="A167" s="3" t="n">
        <v>46027</v>
      </c>
      <c r="B167" s="4" t="inlineStr">
        <is>
          <t>M/S NEW SONA AGENCY</t>
        </is>
      </c>
      <c r="C167" s="4" t="inlineStr">
        <is>
          <t>05/01/2026, 5:15 pm</t>
        </is>
      </c>
      <c r="D167" s="4" t="inlineStr">
        <is>
          <t>05/01/2026, 5:17 pm</t>
        </is>
      </c>
      <c r="E167" s="4" t="inlineStr">
        <is>
          <t>Got future date</t>
        </is>
      </c>
      <c r="F167" s="4">
        <f>Daily_Visit_Log!F167</f>
        <v/>
      </c>
      <c r="G167" s="4">
        <f>Daily_Visit_Log!Y167</f>
        <v/>
      </c>
      <c r="H167" s="4">
        <f>Daily_Visit_Log!Q167</f>
        <v/>
      </c>
      <c r="I167" s="4">
        <f>IF(F167&lt;5,"YES","NO")</f>
        <v/>
      </c>
      <c r="J167" s="4">
        <f>MIN(100,IF(F167&gt;=30,50,IF(F167&gt;=15,40,IF(F167&gt;=5,25,10)))+IF(H167&gt;=50,50,IF(H167&gt;=30,40,IF(H167&gt;=20,30,IF(H167&gt;=10,20,10)))))</f>
        <v/>
      </c>
    </row>
    <row r="168">
      <c r="A168" s="3" t="n">
        <v>45974</v>
      </c>
      <c r="B168" s="4" t="inlineStr">
        <is>
          <t>M/S NNB ENGINEERS PRIVATE LIMITED</t>
        </is>
      </c>
      <c r="C168" s="4" t="inlineStr">
        <is>
          <t>13/11/2025, 6:36 pm</t>
        </is>
      </c>
      <c r="D168" s="4" t="inlineStr">
        <is>
          <t>13/11/2025, 6:37 pm</t>
        </is>
      </c>
      <c r="E168" s="4" t="inlineStr">
        <is>
          <t>Got future date</t>
        </is>
      </c>
      <c r="F168" s="4">
        <f>Daily_Visit_Log!F168</f>
        <v/>
      </c>
      <c r="G168" s="4">
        <f>Daily_Visit_Log!Y168</f>
        <v/>
      </c>
      <c r="H168" s="4">
        <f>Daily_Visit_Log!Q168</f>
        <v/>
      </c>
      <c r="I168" s="4">
        <f>IF(F168&lt;5,"YES","NO")</f>
        <v/>
      </c>
      <c r="J168" s="4">
        <f>MIN(100,IF(F168&gt;=30,50,IF(F168&gt;=15,40,IF(F168&gt;=5,25,10)))+IF(H168&gt;=50,50,IF(H168&gt;=30,40,IF(H168&gt;=20,30,IF(H168&gt;=10,20,10)))))</f>
        <v/>
      </c>
    </row>
    <row r="169">
      <c r="A169" s="3" t="n">
        <v>46003</v>
      </c>
      <c r="B169" s="4" t="inlineStr">
        <is>
          <t>M/S NNB ENGINEERS PRIVATE LIMITED</t>
        </is>
      </c>
      <c r="C169" s="4" t="inlineStr">
        <is>
          <t>12/12/2025, 2:06 pm</t>
        </is>
      </c>
      <c r="D169" s="4" t="inlineStr">
        <is>
          <t>12/12/2025, 2:09 pm</t>
        </is>
      </c>
      <c r="E169" s="4" t="inlineStr">
        <is>
          <t>Got future date</t>
        </is>
      </c>
      <c r="F169" s="4">
        <f>Daily_Visit_Log!F169</f>
        <v/>
      </c>
      <c r="G169" s="4">
        <f>Daily_Visit_Log!Y169</f>
        <v/>
      </c>
      <c r="H169" s="4">
        <f>Daily_Visit_Log!Q169</f>
        <v/>
      </c>
      <c r="I169" s="4">
        <f>IF(F169&lt;5,"YES","NO")</f>
        <v/>
      </c>
      <c r="J169" s="4">
        <f>MIN(100,IF(F169&gt;=30,50,IF(F169&gt;=15,40,IF(F169&gt;=5,25,10)))+IF(H169&gt;=50,50,IF(H169&gt;=30,40,IF(H169&gt;=20,30,IF(H169&gt;=10,20,10)))))</f>
        <v/>
      </c>
    </row>
    <row r="170">
      <c r="A170" s="3" t="n">
        <v>46031</v>
      </c>
      <c r="B170" s="4" t="inlineStr">
        <is>
          <t>M/S NNB ENGINEERS PRIVATE LIMITED</t>
        </is>
      </c>
      <c r="C170" s="4" t="inlineStr">
        <is>
          <t>09/01/2026, 2:56 pm</t>
        </is>
      </c>
      <c r="D170" s="4" t="inlineStr">
        <is>
          <t>09/01/2026, 2:57 pm</t>
        </is>
      </c>
      <c r="E170" s="4" t="inlineStr">
        <is>
          <t>Got future date</t>
        </is>
      </c>
      <c r="F170" s="4">
        <f>Daily_Visit_Log!F170</f>
        <v/>
      </c>
      <c r="G170" s="4">
        <f>Daily_Visit_Log!Y170</f>
        <v/>
      </c>
      <c r="H170" s="4">
        <f>Daily_Visit_Log!Q170</f>
        <v/>
      </c>
      <c r="I170" s="4">
        <f>IF(F170&lt;5,"YES","NO")</f>
        <v/>
      </c>
      <c r="J170" s="4">
        <f>MIN(100,IF(F170&gt;=30,50,IF(F170&gt;=15,40,IF(F170&gt;=5,25,10)))+IF(H170&gt;=50,50,IF(H170&gt;=30,40,IF(H170&gt;=20,30,IF(H170&gt;=10,20,10)))))</f>
        <v/>
      </c>
    </row>
    <row r="171">
      <c r="A171" s="3" t="n">
        <v>45993</v>
      </c>
      <c r="B171" s="4" t="inlineStr">
        <is>
          <t>M/S PREM TRADERS</t>
        </is>
      </c>
      <c r="C171" s="4" t="inlineStr">
        <is>
          <t>02/12/2025, 3:45 pm</t>
        </is>
      </c>
      <c r="D171" s="4" t="inlineStr">
        <is>
          <t>02/12/2025, 3:46 pm</t>
        </is>
      </c>
      <c r="E171" s="4" t="inlineStr">
        <is>
          <t>Got future date</t>
        </is>
      </c>
      <c r="F171" s="4">
        <f>Daily_Visit_Log!F171</f>
        <v/>
      </c>
      <c r="G171" s="4">
        <f>Daily_Visit_Log!Y171</f>
        <v/>
      </c>
      <c r="H171" s="4">
        <f>Daily_Visit_Log!Q171</f>
        <v/>
      </c>
      <c r="I171" s="4">
        <f>IF(F171&lt;5,"YES","NO")</f>
        <v/>
      </c>
      <c r="J171" s="4">
        <f>MIN(100,IF(F171&gt;=30,50,IF(F171&gt;=15,40,IF(F171&gt;=5,25,10)))+IF(H171&gt;=50,50,IF(H171&gt;=30,40,IF(H171&gt;=20,30,IF(H171&gt;=10,20,10)))))</f>
        <v/>
      </c>
    </row>
    <row r="172">
      <c r="A172" s="3" t="n">
        <v>46000</v>
      </c>
      <c r="B172" s="4" t="inlineStr">
        <is>
          <t>M/S PREM TRADERS</t>
        </is>
      </c>
      <c r="C172" s="4" t="inlineStr">
        <is>
          <t>09/12/2025, 6:40 pm</t>
        </is>
      </c>
      <c r="D172" s="4" t="inlineStr">
        <is>
          <t>09/12/2025, 6:42 pm</t>
        </is>
      </c>
      <c r="E172" s="4" t="inlineStr">
        <is>
          <t>Got future date</t>
        </is>
      </c>
      <c r="F172" s="4">
        <f>Daily_Visit_Log!F172</f>
        <v/>
      </c>
      <c r="G172" s="4">
        <f>Daily_Visit_Log!Y172</f>
        <v/>
      </c>
      <c r="H172" s="4">
        <f>Daily_Visit_Log!Q172</f>
        <v/>
      </c>
      <c r="I172" s="4">
        <f>IF(F172&lt;5,"YES","NO")</f>
        <v/>
      </c>
      <c r="J172" s="4">
        <f>MIN(100,IF(F172&gt;=30,50,IF(F172&gt;=15,40,IF(F172&gt;=5,25,10)))+IF(H172&gt;=50,50,IF(H172&gt;=30,40,IF(H172&gt;=20,30,IF(H172&gt;=10,20,10)))))</f>
        <v/>
      </c>
    </row>
    <row r="173">
      <c r="A173" s="3" t="n">
        <v>46021</v>
      </c>
      <c r="B173" s="4" t="inlineStr">
        <is>
          <t>M/S PREM TRADERS</t>
        </is>
      </c>
      <c r="C173" s="4" t="inlineStr">
        <is>
          <t>30/12/2025, 7:32 pm</t>
        </is>
      </c>
      <c r="D173" s="4" t="inlineStr">
        <is>
          <t>30/12/2025, 7:35 pm</t>
        </is>
      </c>
      <c r="E173" s="4" t="inlineStr">
        <is>
          <t>Got future date</t>
        </is>
      </c>
      <c r="F173" s="4">
        <f>Daily_Visit_Log!F173</f>
        <v/>
      </c>
      <c r="G173" s="4">
        <f>Daily_Visit_Log!Y173</f>
        <v/>
      </c>
      <c r="H173" s="4">
        <f>Daily_Visit_Log!Q173</f>
        <v/>
      </c>
      <c r="I173" s="4">
        <f>IF(F173&lt;5,"YES","NO")</f>
        <v/>
      </c>
      <c r="J173" s="4">
        <f>MIN(100,IF(F173&gt;=30,50,IF(F173&gt;=15,40,IF(F173&gt;=5,25,10)))+IF(H173&gt;=50,50,IF(H173&gt;=30,40,IF(H173&gt;=20,30,IF(H173&gt;=10,20,10)))))</f>
        <v/>
      </c>
    </row>
    <row r="174">
      <c r="A174" s="3" t="n">
        <v>45995</v>
      </c>
      <c r="B174" s="4" t="inlineStr">
        <is>
          <t>M/S R.K . TRADERS</t>
        </is>
      </c>
      <c r="C174" s="4" t="inlineStr">
        <is>
          <t>04/12/2025, 4:43 pm</t>
        </is>
      </c>
      <c r="D174" s="4" t="inlineStr">
        <is>
          <t>04/12/2025, 4:44 pm</t>
        </is>
      </c>
      <c r="E174" s="4" t="inlineStr">
        <is>
          <t>Account created</t>
        </is>
      </c>
      <c r="F174" s="4">
        <f>Daily_Visit_Log!F174</f>
        <v/>
      </c>
      <c r="G174" s="4">
        <f>Daily_Visit_Log!Y174</f>
        <v/>
      </c>
      <c r="H174" s="4">
        <f>Daily_Visit_Log!Q174</f>
        <v/>
      </c>
      <c r="I174" s="4">
        <f>IF(F174&lt;5,"YES","NO")</f>
        <v/>
      </c>
      <c r="J174" s="4">
        <f>MIN(100,IF(F174&gt;=30,50,IF(F174&gt;=15,40,IF(F174&gt;=5,25,10)))+IF(H174&gt;=50,50,IF(H174&gt;=30,40,IF(H174&gt;=20,30,IF(H174&gt;=10,20,10)))))</f>
        <v/>
      </c>
    </row>
    <row r="175">
      <c r="A175" s="3" t="n">
        <v>45968</v>
      </c>
      <c r="B175" s="4" t="inlineStr">
        <is>
          <t>M/S RAHUL STEEL TRADERS</t>
        </is>
      </c>
      <c r="C175" s="4" t="inlineStr">
        <is>
          <t>07/11/2025, 3:15 pm</t>
        </is>
      </c>
      <c r="D175" s="4" t="inlineStr">
        <is>
          <t>07/11/2025, 3:16 pm</t>
        </is>
      </c>
      <c r="E175" s="4" t="inlineStr">
        <is>
          <t>Got future date</t>
        </is>
      </c>
      <c r="F175" s="4">
        <f>Daily_Visit_Log!F175</f>
        <v/>
      </c>
      <c r="G175" s="4">
        <f>Daily_Visit_Log!Y175</f>
        <v/>
      </c>
      <c r="H175" s="4">
        <f>Daily_Visit_Log!Q175</f>
        <v/>
      </c>
      <c r="I175" s="4">
        <f>IF(F175&lt;5,"YES","NO")</f>
        <v/>
      </c>
      <c r="J175" s="4">
        <f>MIN(100,IF(F175&gt;=30,50,IF(F175&gt;=15,40,IF(F175&gt;=5,25,10)))+IF(H175&gt;=50,50,IF(H175&gt;=30,40,IF(H175&gt;=20,30,IF(H175&gt;=10,20,10)))))</f>
        <v/>
      </c>
    </row>
    <row r="176">
      <c r="A176" s="3" t="n">
        <v>45980</v>
      </c>
      <c r="B176" s="4" t="inlineStr">
        <is>
          <t>M/S RAHUL STEEL TRADERS</t>
        </is>
      </c>
      <c r="C176" s="4" t="inlineStr">
        <is>
          <t>19/11/2025, 5:01 pm</t>
        </is>
      </c>
      <c r="D176" s="4" t="inlineStr">
        <is>
          <t>19/11/2025, 5:03 pm</t>
        </is>
      </c>
      <c r="E176" s="4" t="inlineStr">
        <is>
          <t>Got future date</t>
        </is>
      </c>
      <c r="F176" s="4">
        <f>Daily_Visit_Log!F176</f>
        <v/>
      </c>
      <c r="G176" s="4">
        <f>Daily_Visit_Log!Y176</f>
        <v/>
      </c>
      <c r="H176" s="4">
        <f>Daily_Visit_Log!Q176</f>
        <v/>
      </c>
      <c r="I176" s="4">
        <f>IF(F176&lt;5,"YES","NO")</f>
        <v/>
      </c>
      <c r="J176" s="4">
        <f>MIN(100,IF(F176&gt;=30,50,IF(F176&gt;=15,40,IF(F176&gt;=5,25,10)))+IF(H176&gt;=50,50,IF(H176&gt;=30,40,IF(H176&gt;=20,30,IF(H176&gt;=10,20,10)))))</f>
        <v/>
      </c>
    </row>
    <row r="177">
      <c r="A177" s="3" t="n">
        <v>45992</v>
      </c>
      <c r="B177" s="4" t="inlineStr">
        <is>
          <t>M/S RAHUL STEEL TRADERS</t>
        </is>
      </c>
      <c r="C177" s="4" t="inlineStr">
        <is>
          <t>01/12/2025, 7:53 pm</t>
        </is>
      </c>
      <c r="D177" s="4" t="inlineStr">
        <is>
          <t>01/12/2025, 7:55 pm</t>
        </is>
      </c>
      <c r="E177" s="4" t="inlineStr">
        <is>
          <t>Got future date</t>
        </is>
      </c>
      <c r="F177" s="4">
        <f>Daily_Visit_Log!F177</f>
        <v/>
      </c>
      <c r="G177" s="4">
        <f>Daily_Visit_Log!Y177</f>
        <v/>
      </c>
      <c r="H177" s="4">
        <f>Daily_Visit_Log!Q177</f>
        <v/>
      </c>
      <c r="I177" s="4">
        <f>IF(F177&lt;5,"YES","NO")</f>
        <v/>
      </c>
      <c r="J177" s="4">
        <f>MIN(100,IF(F177&gt;=30,50,IF(F177&gt;=15,40,IF(F177&gt;=5,25,10)))+IF(H177&gt;=50,50,IF(H177&gt;=30,40,IF(H177&gt;=20,30,IF(H177&gt;=10,20,10)))))</f>
        <v/>
      </c>
    </row>
    <row r="178">
      <c r="A178" s="3" t="n">
        <v>46002</v>
      </c>
      <c r="B178" s="4" t="inlineStr">
        <is>
          <t>M/S RAHUL STEEL TRADERS</t>
        </is>
      </c>
      <c r="C178" s="4" t="inlineStr">
        <is>
          <t>11/12/2025, 6:27 pm</t>
        </is>
      </c>
      <c r="D178" s="4" t="inlineStr">
        <is>
          <t>11/12/2025, 6:29 pm</t>
        </is>
      </c>
      <c r="E178" s="4" t="inlineStr">
        <is>
          <t>Got future date</t>
        </is>
      </c>
      <c r="F178" s="4">
        <f>Daily_Visit_Log!F178</f>
        <v/>
      </c>
      <c r="G178" s="4">
        <f>Daily_Visit_Log!Y178</f>
        <v/>
      </c>
      <c r="H178" s="4">
        <f>Daily_Visit_Log!Q178</f>
        <v/>
      </c>
      <c r="I178" s="4">
        <f>IF(F178&lt;5,"YES","NO")</f>
        <v/>
      </c>
      <c r="J178" s="4">
        <f>MIN(100,IF(F178&gt;=30,50,IF(F178&gt;=15,40,IF(F178&gt;=5,25,10)))+IF(H178&gt;=50,50,IF(H178&gt;=30,40,IF(H178&gt;=20,30,IF(H178&gt;=10,20,10)))))</f>
        <v/>
      </c>
    </row>
    <row r="179">
      <c r="A179" s="3" t="n">
        <v>46015</v>
      </c>
      <c r="B179" s="4" t="inlineStr">
        <is>
          <t>M/S RAHUL STEEL TRADERS</t>
        </is>
      </c>
      <c r="C179" s="4" t="inlineStr">
        <is>
          <t>24/12/2025, 6:41 pm</t>
        </is>
      </c>
      <c r="D179" s="4" t="inlineStr">
        <is>
          <t>24/12/2025, 6:42 pm</t>
        </is>
      </c>
      <c r="E179" s="4" t="inlineStr">
        <is>
          <t>Got future date</t>
        </is>
      </c>
      <c r="F179" s="4">
        <f>Daily_Visit_Log!F179</f>
        <v/>
      </c>
      <c r="G179" s="4">
        <f>Daily_Visit_Log!Y179</f>
        <v/>
      </c>
      <c r="H179" s="4">
        <f>Daily_Visit_Log!Q179</f>
        <v/>
      </c>
      <c r="I179" s="4">
        <f>IF(F179&lt;5,"YES","NO")</f>
        <v/>
      </c>
      <c r="J179" s="4">
        <f>MIN(100,IF(F179&gt;=30,50,IF(F179&gt;=15,40,IF(F179&gt;=5,25,10)))+IF(H179&gt;=50,50,IF(H179&gt;=30,40,IF(H179&gt;=20,30,IF(H179&gt;=10,20,10)))))</f>
        <v/>
      </c>
    </row>
    <row r="180">
      <c r="A180" s="3" t="n">
        <v>46027</v>
      </c>
      <c r="B180" s="4" t="inlineStr">
        <is>
          <t>M/S RAHUL STEEL TRADERS</t>
        </is>
      </c>
      <c r="C180" s="4" t="inlineStr">
        <is>
          <t>05/01/2026, 5:02 pm</t>
        </is>
      </c>
      <c r="D180" s="4" t="inlineStr">
        <is>
          <t>05/01/2026, 5:05 pm</t>
        </is>
      </c>
      <c r="E180" s="4" t="inlineStr">
        <is>
          <t>Got future date</t>
        </is>
      </c>
      <c r="F180" s="4">
        <f>Daily_Visit_Log!F180</f>
        <v/>
      </c>
      <c r="G180" s="4">
        <f>Daily_Visit_Log!Y180</f>
        <v/>
      </c>
      <c r="H180" s="4">
        <f>Daily_Visit_Log!Q180</f>
        <v/>
      </c>
      <c r="I180" s="4">
        <f>IF(F180&lt;5,"YES","NO")</f>
        <v/>
      </c>
      <c r="J180" s="4">
        <f>MIN(100,IF(F180&gt;=30,50,IF(F180&gt;=15,40,IF(F180&gt;=5,25,10)))+IF(H180&gt;=50,50,IF(H180&gt;=30,40,IF(H180&gt;=20,30,IF(H180&gt;=10,20,10)))))</f>
        <v/>
      </c>
    </row>
    <row r="181">
      <c r="A181" s="3" t="n">
        <v>46043</v>
      </c>
      <c r="B181" s="4" t="inlineStr">
        <is>
          <t>M/S RAHUL STEEL TRADERS</t>
        </is>
      </c>
      <c r="C181" s="4" t="inlineStr">
        <is>
          <t>21/01/2026, 6:06 pm</t>
        </is>
      </c>
      <c r="D181" s="4" t="inlineStr">
        <is>
          <t>21/01/2026, 6:09 pm</t>
        </is>
      </c>
      <c r="E181" s="4" t="inlineStr">
        <is>
          <t>Got future date</t>
        </is>
      </c>
      <c r="F181" s="4">
        <f>Daily_Visit_Log!F181</f>
        <v/>
      </c>
      <c r="G181" s="4">
        <f>Daily_Visit_Log!Y181</f>
        <v/>
      </c>
      <c r="H181" s="4">
        <f>Daily_Visit_Log!Q181</f>
        <v/>
      </c>
      <c r="I181" s="4">
        <f>IF(F181&lt;5,"YES","NO")</f>
        <v/>
      </c>
      <c r="J181" s="4">
        <f>MIN(100,IF(F181&gt;=30,50,IF(F181&gt;=15,40,IF(F181&gt;=5,25,10)))+IF(H181&gt;=50,50,IF(H181&gt;=30,40,IF(H181&gt;=20,30,IF(H181&gt;=10,20,10)))))</f>
        <v/>
      </c>
    </row>
    <row r="182">
      <c r="A182" s="3" t="n">
        <v>46037</v>
      </c>
      <c r="B182" s="4" t="inlineStr">
        <is>
          <t>M/S RAJESH KUMAR CONSTRUCTIONS PRIVATE LIMITED</t>
        </is>
      </c>
      <c r="C182" s="4" t="inlineStr">
        <is>
          <t>15/01/2026, 6:26 pm</t>
        </is>
      </c>
      <c r="D182" s="4" t="inlineStr">
        <is>
          <t>15/01/2026, 6:27 pm</t>
        </is>
      </c>
      <c r="E182" s="4" t="inlineStr">
        <is>
          <t>Got future date</t>
        </is>
      </c>
      <c r="F182" s="4">
        <f>Daily_Visit_Log!F182</f>
        <v/>
      </c>
      <c r="G182" s="4">
        <f>Daily_Visit_Log!Y182</f>
        <v/>
      </c>
      <c r="H182" s="4">
        <f>Daily_Visit_Log!Q182</f>
        <v/>
      </c>
      <c r="I182" s="4">
        <f>IF(F182&lt;5,"YES","NO")</f>
        <v/>
      </c>
      <c r="J182" s="4">
        <f>MIN(100,IF(F182&gt;=30,50,IF(F182&gt;=15,40,IF(F182&gt;=5,25,10)))+IF(H182&gt;=50,50,IF(H182&gt;=30,40,IF(H182&gt;=20,30,IF(H182&gt;=10,20,10)))))</f>
        <v/>
      </c>
    </row>
    <row r="183">
      <c r="A183" s="3" t="n">
        <v>45995</v>
      </c>
      <c r="B183" s="4" t="inlineStr">
        <is>
          <t>M/S SANDEEP ENTERPRISES</t>
        </is>
      </c>
      <c r="C183" s="4" t="inlineStr">
        <is>
          <t>04/12/2025, 1:56 pm</t>
        </is>
      </c>
      <c r="D183" s="4" t="inlineStr">
        <is>
          <t>04/12/2025, 1:59 pm</t>
        </is>
      </c>
      <c r="E183" s="4" t="inlineStr">
        <is>
          <t>Got future date</t>
        </is>
      </c>
      <c r="F183" s="4">
        <f>Daily_Visit_Log!F183</f>
        <v/>
      </c>
      <c r="G183" s="4">
        <f>Daily_Visit_Log!Y183</f>
        <v/>
      </c>
      <c r="H183" s="4">
        <f>Daily_Visit_Log!Q183</f>
        <v/>
      </c>
      <c r="I183" s="4">
        <f>IF(F183&lt;5,"YES","NO")</f>
        <v/>
      </c>
      <c r="J183" s="4">
        <f>MIN(100,IF(F183&gt;=30,50,IF(F183&gt;=15,40,IF(F183&gt;=5,25,10)))+IF(H183&gt;=50,50,IF(H183&gt;=30,40,IF(H183&gt;=20,30,IF(H183&gt;=10,20,10)))))</f>
        <v/>
      </c>
    </row>
    <row r="184">
      <c r="A184" s="3" t="n">
        <v>45999</v>
      </c>
      <c r="B184" s="4" t="inlineStr">
        <is>
          <t>M/S SANDEEP ENTERPRISES</t>
        </is>
      </c>
      <c r="C184" s="4" t="inlineStr">
        <is>
          <t>08/12/2025, 2:04 pm</t>
        </is>
      </c>
      <c r="D184" s="4" t="inlineStr">
        <is>
          <t>08/12/2025, 2:06 pm</t>
        </is>
      </c>
      <c r="E184" s="4" t="inlineStr">
        <is>
          <t>Got future date</t>
        </is>
      </c>
      <c r="F184" s="4">
        <f>Daily_Visit_Log!F184</f>
        <v/>
      </c>
      <c r="G184" s="4">
        <f>Daily_Visit_Log!Y184</f>
        <v/>
      </c>
      <c r="H184" s="4">
        <f>Daily_Visit_Log!Q184</f>
        <v/>
      </c>
      <c r="I184" s="4">
        <f>IF(F184&lt;5,"YES","NO")</f>
        <v/>
      </c>
      <c r="J184" s="4">
        <f>MIN(100,IF(F184&gt;=30,50,IF(F184&gt;=15,40,IF(F184&gt;=5,25,10)))+IF(H184&gt;=50,50,IF(H184&gt;=30,40,IF(H184&gt;=20,30,IF(H184&gt;=10,20,10)))))</f>
        <v/>
      </c>
    </row>
    <row r="185">
      <c r="A185" s="3" t="n">
        <v>45993</v>
      </c>
      <c r="B185" s="4" t="inlineStr">
        <is>
          <t>M/S SANT STEEL</t>
        </is>
      </c>
      <c r="C185" s="4" t="inlineStr">
        <is>
          <t>02/12/2025, 4:11 pm</t>
        </is>
      </c>
      <c r="D185" s="4" t="inlineStr">
        <is>
          <t>02/12/2025, 4:12 pm</t>
        </is>
      </c>
      <c r="E185" s="4" t="inlineStr">
        <is>
          <t>Got future date</t>
        </is>
      </c>
      <c r="F185" s="4">
        <f>Daily_Visit_Log!F185</f>
        <v/>
      </c>
      <c r="G185" s="4">
        <f>Daily_Visit_Log!Y185</f>
        <v/>
      </c>
      <c r="H185" s="4">
        <f>Daily_Visit_Log!Q185</f>
        <v/>
      </c>
      <c r="I185" s="4">
        <f>IF(F185&lt;5,"YES","NO")</f>
        <v/>
      </c>
      <c r="J185" s="4">
        <f>MIN(100,IF(F185&gt;=30,50,IF(F185&gt;=15,40,IF(F185&gt;=5,25,10)))+IF(H185&gt;=50,50,IF(H185&gt;=30,40,IF(H185&gt;=20,30,IF(H185&gt;=10,20,10)))))</f>
        <v/>
      </c>
    </row>
    <row r="186">
      <c r="A186" s="3" t="n">
        <v>45994</v>
      </c>
      <c r="B186" s="4" t="inlineStr">
        <is>
          <t>M/S SANT STEEL</t>
        </is>
      </c>
      <c r="C186" s="4" t="inlineStr">
        <is>
          <t>03/12/2025, 7:19 pm</t>
        </is>
      </c>
      <c r="D186" s="4" t="inlineStr">
        <is>
          <t>03/12/2025, 7:20 pm</t>
        </is>
      </c>
      <c r="E186" s="4" t="inlineStr">
        <is>
          <t>Got future date</t>
        </is>
      </c>
      <c r="F186" s="4">
        <f>Daily_Visit_Log!F186</f>
        <v/>
      </c>
      <c r="G186" s="4">
        <f>Daily_Visit_Log!Y186</f>
        <v/>
      </c>
      <c r="H186" s="4">
        <f>Daily_Visit_Log!Q186</f>
        <v/>
      </c>
      <c r="I186" s="4">
        <f>IF(F186&lt;5,"YES","NO")</f>
        <v/>
      </c>
      <c r="J186" s="4">
        <f>MIN(100,IF(F186&gt;=30,50,IF(F186&gt;=15,40,IF(F186&gt;=5,25,10)))+IF(H186&gt;=50,50,IF(H186&gt;=30,40,IF(H186&gt;=20,30,IF(H186&gt;=10,20,10)))))</f>
        <v/>
      </c>
    </row>
    <row r="187">
      <c r="A187" s="3" t="n">
        <v>46000</v>
      </c>
      <c r="B187" s="4" t="inlineStr">
        <is>
          <t>M/S SANT STEEL</t>
        </is>
      </c>
      <c r="C187" s="4" t="inlineStr">
        <is>
          <t>09/12/2025, 7:00 pm</t>
        </is>
      </c>
      <c r="D187" s="4" t="inlineStr">
        <is>
          <t>09/12/2025, 7:01 pm</t>
        </is>
      </c>
      <c r="E187" s="4" t="inlineStr">
        <is>
          <t>Got future date</t>
        </is>
      </c>
      <c r="F187" s="4">
        <f>Daily_Visit_Log!F187</f>
        <v/>
      </c>
      <c r="G187" s="4">
        <f>Daily_Visit_Log!Y187</f>
        <v/>
      </c>
      <c r="H187" s="4">
        <f>Daily_Visit_Log!Q187</f>
        <v/>
      </c>
      <c r="I187" s="4">
        <f>IF(F187&lt;5,"YES","NO")</f>
        <v/>
      </c>
      <c r="J187" s="4">
        <f>MIN(100,IF(F187&gt;=30,50,IF(F187&gt;=15,40,IF(F187&gt;=5,25,10)))+IF(H187&gt;=50,50,IF(H187&gt;=30,40,IF(H187&gt;=20,30,IF(H187&gt;=10,20,10)))))</f>
        <v/>
      </c>
    </row>
    <row r="188">
      <c r="A188" s="3" t="n">
        <v>46045</v>
      </c>
      <c r="B188" s="4" t="inlineStr">
        <is>
          <t>M/S SANT STEEL</t>
        </is>
      </c>
      <c r="C188" s="4" t="inlineStr">
        <is>
          <t>23/01/2026, 2:20 pm</t>
        </is>
      </c>
      <c r="D188" s="4" t="inlineStr">
        <is>
          <t>23/01/2026, 2:21 pm</t>
        </is>
      </c>
      <c r="E188" s="4" t="inlineStr">
        <is>
          <t>Got future date</t>
        </is>
      </c>
      <c r="F188" s="4">
        <f>Daily_Visit_Log!F188</f>
        <v/>
      </c>
      <c r="G188" s="4">
        <f>Daily_Visit_Log!Y188</f>
        <v/>
      </c>
      <c r="H188" s="4">
        <f>Daily_Visit_Log!Q188</f>
        <v/>
      </c>
      <c r="I188" s="4">
        <f>IF(F188&lt;5,"YES","NO")</f>
        <v/>
      </c>
      <c r="J188" s="4">
        <f>MIN(100,IF(F188&gt;=30,50,IF(F188&gt;=15,40,IF(F188&gt;=5,25,10)))+IF(H188&gt;=50,50,IF(H188&gt;=30,40,IF(H188&gt;=20,30,IF(H188&gt;=10,20,10)))))</f>
        <v/>
      </c>
    </row>
    <row r="189">
      <c r="A189" s="3" t="n">
        <v>46002</v>
      </c>
      <c r="B189" s="4" t="inlineStr">
        <is>
          <t>M/S SANTOSH STEEL TRADERS</t>
        </is>
      </c>
      <c r="C189" s="4" t="inlineStr">
        <is>
          <t>11/12/2025, 5:16 pm</t>
        </is>
      </c>
      <c r="D189" s="4" t="inlineStr">
        <is>
          <t>11/12/2025, 5:18 pm</t>
        </is>
      </c>
      <c r="E189" s="4" t="inlineStr">
        <is>
          <t>Got future date</t>
        </is>
      </c>
      <c r="F189" s="4">
        <f>Daily_Visit_Log!F189</f>
        <v/>
      </c>
      <c r="G189" s="4">
        <f>Daily_Visit_Log!Y189</f>
        <v/>
      </c>
      <c r="H189" s="4">
        <f>Daily_Visit_Log!Q189</f>
        <v/>
      </c>
      <c r="I189" s="4">
        <f>IF(F189&lt;5,"YES","NO")</f>
        <v/>
      </c>
      <c r="J189" s="4">
        <f>MIN(100,IF(F189&gt;=30,50,IF(F189&gt;=15,40,IF(F189&gt;=5,25,10)))+IF(H189&gt;=50,50,IF(H189&gt;=30,40,IF(H189&gt;=20,30,IF(H189&gt;=10,20,10)))))</f>
        <v/>
      </c>
    </row>
    <row r="190">
      <c r="A190" s="3" t="n">
        <v>46036</v>
      </c>
      <c r="B190" s="4" t="inlineStr">
        <is>
          <t>M/S SANTOSH STEEL TRADERS</t>
        </is>
      </c>
      <c r="C190" s="4" t="inlineStr">
        <is>
          <t>14/01/2026, 4:58 pm</t>
        </is>
      </c>
      <c r="D190" s="4" t="inlineStr">
        <is>
          <t>14/01/2026, 5:01 pm</t>
        </is>
      </c>
      <c r="E190" s="4" t="inlineStr">
        <is>
          <t>Got future date</t>
        </is>
      </c>
      <c r="F190" s="4">
        <f>Daily_Visit_Log!F190</f>
        <v/>
      </c>
      <c r="G190" s="4">
        <f>Daily_Visit_Log!Y190</f>
        <v/>
      </c>
      <c r="H190" s="4">
        <f>Daily_Visit_Log!Q190</f>
        <v/>
      </c>
      <c r="I190" s="4">
        <f>IF(F190&lt;5,"YES","NO")</f>
        <v/>
      </c>
      <c r="J190" s="4">
        <f>MIN(100,IF(F190&gt;=30,50,IF(F190&gt;=15,40,IF(F190&gt;=5,25,10)))+IF(H190&gt;=50,50,IF(H190&gt;=30,40,IF(H190&gt;=20,30,IF(H190&gt;=10,20,10)))))</f>
        <v/>
      </c>
    </row>
    <row r="191">
      <c r="A191" s="3" t="n">
        <v>45993</v>
      </c>
      <c r="B191" s="4" t="inlineStr">
        <is>
          <t>M/S SHIV STEEL TRADERS</t>
        </is>
      </c>
      <c r="C191" s="4" t="inlineStr">
        <is>
          <t>02/12/2025, 6:43 pm</t>
        </is>
      </c>
      <c r="D191" s="4" t="inlineStr">
        <is>
          <t>02/12/2025, 6:48 pm</t>
        </is>
      </c>
      <c r="E191" s="4" t="inlineStr">
        <is>
          <t>Got future date</t>
        </is>
      </c>
      <c r="F191" s="4">
        <f>Daily_Visit_Log!F191</f>
        <v/>
      </c>
      <c r="G191" s="4">
        <f>Daily_Visit_Log!Y191</f>
        <v/>
      </c>
      <c r="H191" s="4">
        <f>Daily_Visit_Log!Q191</f>
        <v/>
      </c>
      <c r="I191" s="4">
        <f>IF(F191&lt;5,"YES","NO")</f>
        <v/>
      </c>
      <c r="J191" s="4">
        <f>MIN(100,IF(F191&gt;=30,50,IF(F191&gt;=15,40,IF(F191&gt;=5,25,10)))+IF(H191&gt;=50,50,IF(H191&gt;=30,40,IF(H191&gt;=20,30,IF(H191&gt;=10,20,10)))))</f>
        <v/>
      </c>
    </row>
    <row r="192">
      <c r="A192" s="3" t="n">
        <v>46021</v>
      </c>
      <c r="B192" s="4" t="inlineStr">
        <is>
          <t>M/S SHIV STEEL TRADERS</t>
        </is>
      </c>
      <c r="C192" s="4" t="inlineStr">
        <is>
          <t>30/12/2025, 6:18 pm</t>
        </is>
      </c>
      <c r="D192" s="4" t="inlineStr">
        <is>
          <t>30/12/2025, 6:19 pm</t>
        </is>
      </c>
      <c r="E192" s="4" t="inlineStr">
        <is>
          <t>Got future date</t>
        </is>
      </c>
      <c r="F192" s="4">
        <f>Daily_Visit_Log!F192</f>
        <v/>
      </c>
      <c r="G192" s="4">
        <f>Daily_Visit_Log!Y192</f>
        <v/>
      </c>
      <c r="H192" s="4">
        <f>Daily_Visit_Log!Q192</f>
        <v/>
      </c>
      <c r="I192" s="4">
        <f>IF(F192&lt;5,"YES","NO")</f>
        <v/>
      </c>
      <c r="J192" s="4">
        <f>MIN(100,IF(F192&gt;=30,50,IF(F192&gt;=15,40,IF(F192&gt;=5,25,10)))+IF(H192&gt;=50,50,IF(H192&gt;=30,40,IF(H192&gt;=20,30,IF(H192&gt;=10,20,10)))))</f>
        <v/>
      </c>
    </row>
    <row r="193">
      <c r="A193" s="3" t="n">
        <v>46037</v>
      </c>
      <c r="B193" s="4" t="inlineStr">
        <is>
          <t>M/S SHIV STEEL TRADERS</t>
        </is>
      </c>
      <c r="C193" s="4" t="inlineStr">
        <is>
          <t>15/01/2026, 6:11 pm</t>
        </is>
      </c>
      <c r="D193" s="4" t="inlineStr">
        <is>
          <t>15/01/2026, 6:13 pm</t>
        </is>
      </c>
      <c r="E193" s="4" t="inlineStr">
        <is>
          <t>Got future date</t>
        </is>
      </c>
      <c r="F193" s="4">
        <f>Daily_Visit_Log!F193</f>
        <v/>
      </c>
      <c r="G193" s="4">
        <f>Daily_Visit_Log!Y193</f>
        <v/>
      </c>
      <c r="H193" s="4">
        <f>Daily_Visit_Log!Q193</f>
        <v/>
      </c>
      <c r="I193" s="4">
        <f>IF(F193&lt;5,"YES","NO")</f>
        <v/>
      </c>
      <c r="J193" s="4">
        <f>MIN(100,IF(F193&gt;=30,50,IF(F193&gt;=15,40,IF(F193&gt;=5,25,10)))+IF(H193&gt;=50,50,IF(H193&gt;=30,40,IF(H193&gt;=20,30,IF(H193&gt;=10,20,10)))))</f>
        <v/>
      </c>
    </row>
    <row r="194">
      <c r="A194" s="3" t="n">
        <v>45994</v>
      </c>
      <c r="B194" s="4" t="inlineStr">
        <is>
          <t>M/S SRI RAM STEEL</t>
        </is>
      </c>
      <c r="C194" s="4" t="inlineStr">
        <is>
          <t>03/12/2025, 4:39 pm</t>
        </is>
      </c>
      <c r="D194" s="4" t="inlineStr">
        <is>
          <t>03/12/2025, 4:41 pm</t>
        </is>
      </c>
      <c r="E194" s="4" t="inlineStr">
        <is>
          <t>Got future date</t>
        </is>
      </c>
      <c r="F194" s="4">
        <f>Daily_Visit_Log!F194</f>
        <v/>
      </c>
      <c r="G194" s="4">
        <f>Daily_Visit_Log!Y194</f>
        <v/>
      </c>
      <c r="H194" s="4">
        <f>Daily_Visit_Log!Q194</f>
        <v/>
      </c>
      <c r="I194" s="4">
        <f>IF(F194&lt;5,"YES","NO")</f>
        <v/>
      </c>
      <c r="J194" s="4">
        <f>MIN(100,IF(F194&gt;=30,50,IF(F194&gt;=15,40,IF(F194&gt;=5,25,10)))+IF(H194&gt;=50,50,IF(H194&gt;=30,40,IF(H194&gt;=20,30,IF(H194&gt;=10,20,10)))))</f>
        <v/>
      </c>
    </row>
    <row r="195">
      <c r="A195" s="3" t="n">
        <v>46021</v>
      </c>
      <c r="B195" s="4" t="inlineStr">
        <is>
          <t>M/S SRI RAM STEEL</t>
        </is>
      </c>
      <c r="C195" s="4" t="inlineStr">
        <is>
          <t>30/12/2025, 5:43 pm</t>
        </is>
      </c>
      <c r="D195" s="4" t="inlineStr">
        <is>
          <t>30/12/2025, 5:45 pm</t>
        </is>
      </c>
      <c r="E195" s="4" t="inlineStr">
        <is>
          <t>Got future date</t>
        </is>
      </c>
      <c r="F195" s="4">
        <f>Daily_Visit_Log!F195</f>
        <v/>
      </c>
      <c r="G195" s="4">
        <f>Daily_Visit_Log!Y195</f>
        <v/>
      </c>
      <c r="H195" s="4">
        <f>Daily_Visit_Log!Q195</f>
        <v/>
      </c>
      <c r="I195" s="4">
        <f>IF(F195&lt;5,"YES","NO")</f>
        <v/>
      </c>
      <c r="J195" s="4">
        <f>MIN(100,IF(F195&gt;=30,50,IF(F195&gt;=15,40,IF(F195&gt;=5,25,10)))+IF(H195&gt;=50,50,IF(H195&gt;=30,40,IF(H195&gt;=20,30,IF(H195&gt;=10,20,10)))))</f>
        <v/>
      </c>
    </row>
    <row r="196">
      <c r="A196" s="3" t="n">
        <v>46051</v>
      </c>
      <c r="B196" s="4" t="inlineStr">
        <is>
          <t>M/S SRI RAM STEEL</t>
        </is>
      </c>
      <c r="C196" s="4" t="inlineStr">
        <is>
          <t>29/01/2026, 1:13 pm</t>
        </is>
      </c>
      <c r="D196" s="4" t="inlineStr">
        <is>
          <t>29/01/2026, 1:17 pm</t>
        </is>
      </c>
      <c r="E196" s="4" t="inlineStr">
        <is>
          <t>Opportunity generated</t>
        </is>
      </c>
      <c r="F196" s="4">
        <f>Daily_Visit_Log!F196</f>
        <v/>
      </c>
      <c r="G196" s="4">
        <f>Daily_Visit_Log!Y196</f>
        <v/>
      </c>
      <c r="H196" s="4">
        <f>Daily_Visit_Log!Q196</f>
        <v/>
      </c>
      <c r="I196" s="4">
        <f>IF(F196&lt;5,"YES","NO")</f>
        <v/>
      </c>
      <c r="J196" s="4">
        <f>MIN(100,IF(F196&gt;=30,50,IF(F196&gt;=15,40,IF(F196&gt;=5,25,10)))+IF(H196&gt;=50,50,IF(H196&gt;=30,40,IF(H196&gt;=20,30,IF(H196&gt;=10,20,10)))))</f>
        <v/>
      </c>
    </row>
    <row r="197">
      <c r="A197" s="3" t="n">
        <v>45985</v>
      </c>
      <c r="B197" s="4" t="inlineStr">
        <is>
          <t>M/S SRI RAM TRADERS</t>
        </is>
      </c>
      <c r="C197" s="4" t="inlineStr">
        <is>
          <t>24/11/2025, 5:45 pm</t>
        </is>
      </c>
      <c r="D197" s="4" t="inlineStr">
        <is>
          <t>24/11/2025, 5:46 pm</t>
        </is>
      </c>
      <c r="E197" s="4" t="inlineStr">
        <is>
          <t>Got future date</t>
        </is>
      </c>
      <c r="F197" s="4">
        <f>Daily_Visit_Log!F197</f>
        <v/>
      </c>
      <c r="G197" s="4">
        <f>Daily_Visit_Log!Y197</f>
        <v/>
      </c>
      <c r="H197" s="4">
        <f>Daily_Visit_Log!Q197</f>
        <v/>
      </c>
      <c r="I197" s="4">
        <f>IF(F197&lt;5,"YES","NO")</f>
        <v/>
      </c>
      <c r="J197" s="4">
        <f>MIN(100,IF(F197&gt;=30,50,IF(F197&gt;=15,40,IF(F197&gt;=5,25,10)))+IF(H197&gt;=50,50,IF(H197&gt;=30,40,IF(H197&gt;=20,30,IF(H197&gt;=10,20,10)))))</f>
        <v/>
      </c>
    </row>
    <row r="198">
      <c r="A198" s="3" t="n">
        <v>46042</v>
      </c>
      <c r="B198" s="4" t="inlineStr">
        <is>
          <t>M/S SRI RAM TRADERS</t>
        </is>
      </c>
      <c r="C198" s="4" t="inlineStr">
        <is>
          <t>20/01/2026, 4:06 pm</t>
        </is>
      </c>
      <c r="D198" s="4" t="inlineStr">
        <is>
          <t>20/01/2026, 4:07 pm</t>
        </is>
      </c>
      <c r="E198" s="4" t="inlineStr">
        <is>
          <t>Got future date</t>
        </is>
      </c>
      <c r="F198" s="4">
        <f>Daily_Visit_Log!F198</f>
        <v/>
      </c>
      <c r="G198" s="4">
        <f>Daily_Visit_Log!Y198</f>
        <v/>
      </c>
      <c r="H198" s="4">
        <f>Daily_Visit_Log!Q198</f>
        <v/>
      </c>
      <c r="I198" s="4">
        <f>IF(F198&lt;5,"YES","NO")</f>
        <v/>
      </c>
      <c r="J198" s="4">
        <f>MIN(100,IF(F198&gt;=30,50,IF(F198&gt;=15,40,IF(F198&gt;=5,25,10)))+IF(H198&gt;=50,50,IF(H198&gt;=30,40,IF(H198&gt;=20,30,IF(H198&gt;=10,20,10)))))</f>
        <v/>
      </c>
    </row>
    <row r="199">
      <c r="A199" s="3" t="n">
        <v>45965</v>
      </c>
      <c r="B199" s="4" t="inlineStr">
        <is>
          <t>M/S. BIMAL STEEL TRADERS</t>
        </is>
      </c>
      <c r="C199" s="4" t="inlineStr">
        <is>
          <t>04/11/2025, 4:58 pm</t>
        </is>
      </c>
      <c r="D199" s="4" t="inlineStr">
        <is>
          <t>04/11/2025, 5:00 pm</t>
        </is>
      </c>
      <c r="E199" s="4" t="inlineStr">
        <is>
          <t>Got future date</t>
        </is>
      </c>
      <c r="F199" s="4">
        <f>Daily_Visit_Log!F199</f>
        <v/>
      </c>
      <c r="G199" s="4">
        <f>Daily_Visit_Log!Y199</f>
        <v/>
      </c>
      <c r="H199" s="4">
        <f>Daily_Visit_Log!Q199</f>
        <v/>
      </c>
      <c r="I199" s="4">
        <f>IF(F199&lt;5,"YES","NO")</f>
        <v/>
      </c>
      <c r="J199" s="4">
        <f>MIN(100,IF(F199&gt;=30,50,IF(F199&gt;=15,40,IF(F199&gt;=5,25,10)))+IF(H199&gt;=50,50,IF(H199&gt;=30,40,IF(H199&gt;=20,30,IF(H199&gt;=10,20,10)))))</f>
        <v/>
      </c>
    </row>
    <row r="200">
      <c r="A200" s="3" t="n">
        <v>45974</v>
      </c>
      <c r="B200" s="4" t="inlineStr">
        <is>
          <t>M/S. BIMAL STEEL TRADERS</t>
        </is>
      </c>
      <c r="C200" s="4" t="inlineStr">
        <is>
          <t>13/11/2025, 5:40 pm</t>
        </is>
      </c>
      <c r="D200" s="4" t="inlineStr">
        <is>
          <t>13/11/2025, 5:41 pm</t>
        </is>
      </c>
      <c r="E200" s="4" t="inlineStr">
        <is>
          <t>Got future date</t>
        </is>
      </c>
      <c r="F200" s="4">
        <f>Daily_Visit_Log!F200</f>
        <v/>
      </c>
      <c r="G200" s="4">
        <f>Daily_Visit_Log!Y200</f>
        <v/>
      </c>
      <c r="H200" s="4">
        <f>Daily_Visit_Log!Q200</f>
        <v/>
      </c>
      <c r="I200" s="4">
        <f>IF(F200&lt;5,"YES","NO")</f>
        <v/>
      </c>
      <c r="J200" s="4">
        <f>MIN(100,IF(F200&gt;=30,50,IF(F200&gt;=15,40,IF(F200&gt;=5,25,10)))+IF(H200&gt;=50,50,IF(H200&gt;=30,40,IF(H200&gt;=20,30,IF(H200&gt;=10,20,10)))))</f>
        <v/>
      </c>
    </row>
    <row r="201">
      <c r="A201" s="3" t="n">
        <v>45985</v>
      </c>
      <c r="B201" s="4" t="inlineStr">
        <is>
          <t>M/S. BIMAL STEEL TRADERS</t>
        </is>
      </c>
      <c r="C201" s="4" t="inlineStr">
        <is>
          <t>24/11/2025, 5:02 pm</t>
        </is>
      </c>
      <c r="D201" s="4" t="inlineStr">
        <is>
          <t>24/11/2025, 5:03 pm</t>
        </is>
      </c>
      <c r="E201" s="4" t="inlineStr">
        <is>
          <t>Got future date</t>
        </is>
      </c>
      <c r="F201" s="4">
        <f>Daily_Visit_Log!F201</f>
        <v/>
      </c>
      <c r="G201" s="4">
        <f>Daily_Visit_Log!Y201</f>
        <v/>
      </c>
      <c r="H201" s="4">
        <f>Daily_Visit_Log!Q201</f>
        <v/>
      </c>
      <c r="I201" s="4">
        <f>IF(F201&lt;5,"YES","NO")</f>
        <v/>
      </c>
      <c r="J201" s="4">
        <f>MIN(100,IF(F201&gt;=30,50,IF(F201&gt;=15,40,IF(F201&gt;=5,25,10)))+IF(H201&gt;=50,50,IF(H201&gt;=30,40,IF(H201&gt;=20,30,IF(H201&gt;=10,20,10)))))</f>
        <v/>
      </c>
    </row>
    <row r="202">
      <c r="A202" s="3" t="n">
        <v>45996</v>
      </c>
      <c r="B202" s="4" t="inlineStr">
        <is>
          <t>M/S. BIMAL STEEL TRADERS</t>
        </is>
      </c>
      <c r="C202" s="4" t="inlineStr">
        <is>
          <t>05/12/2025, 1:22 pm</t>
        </is>
      </c>
      <c r="D202" s="4" t="inlineStr">
        <is>
          <t>05/12/2025, 1:25 pm</t>
        </is>
      </c>
      <c r="E202" s="4" t="inlineStr">
        <is>
          <t>Got future date</t>
        </is>
      </c>
      <c r="F202" s="4">
        <f>Daily_Visit_Log!F202</f>
        <v/>
      </c>
      <c r="G202" s="4">
        <f>Daily_Visit_Log!Y202</f>
        <v/>
      </c>
      <c r="H202" s="4">
        <f>Daily_Visit_Log!Q202</f>
        <v/>
      </c>
      <c r="I202" s="4">
        <f>IF(F202&lt;5,"YES","NO")</f>
        <v/>
      </c>
      <c r="J202" s="4">
        <f>MIN(100,IF(F202&gt;=30,50,IF(F202&gt;=15,40,IF(F202&gt;=5,25,10)))+IF(H202&gt;=50,50,IF(H202&gt;=30,40,IF(H202&gt;=20,30,IF(H202&gt;=10,20,10)))))</f>
        <v/>
      </c>
    </row>
    <row r="203">
      <c r="A203" s="3" t="n">
        <v>46006</v>
      </c>
      <c r="B203" s="4" t="inlineStr">
        <is>
          <t>M/S. BIMAL STEEL TRADERS</t>
        </is>
      </c>
      <c r="C203" s="4" t="inlineStr">
        <is>
          <t>15/12/2025, 7:10 pm</t>
        </is>
      </c>
      <c r="D203" s="4" t="inlineStr">
        <is>
          <t>15/12/2025, 7:12 pm</t>
        </is>
      </c>
      <c r="E203" s="4" t="inlineStr">
        <is>
          <t>Got future date</t>
        </is>
      </c>
      <c r="F203" s="4">
        <f>Daily_Visit_Log!F203</f>
        <v/>
      </c>
      <c r="G203" s="4">
        <f>Daily_Visit_Log!Y203</f>
        <v/>
      </c>
      <c r="H203" s="4">
        <f>Daily_Visit_Log!Q203</f>
        <v/>
      </c>
      <c r="I203" s="4">
        <f>IF(F203&lt;5,"YES","NO")</f>
        <v/>
      </c>
      <c r="J203" s="4">
        <f>MIN(100,IF(F203&gt;=30,50,IF(F203&gt;=15,40,IF(F203&gt;=5,25,10)))+IF(H203&gt;=50,50,IF(H203&gt;=30,40,IF(H203&gt;=20,30,IF(H203&gt;=10,20,10)))))</f>
        <v/>
      </c>
    </row>
    <row r="204">
      <c r="A204" s="3" t="n">
        <v>46017</v>
      </c>
      <c r="B204" s="4" t="inlineStr">
        <is>
          <t>M/S. BIMAL STEEL TRADERS</t>
        </is>
      </c>
      <c r="C204" s="4" t="inlineStr">
        <is>
          <t>26/12/2025, 4:08 pm</t>
        </is>
      </c>
      <c r="D204" s="4" t="inlineStr">
        <is>
          <t>26/12/2025, 4:09 pm</t>
        </is>
      </c>
      <c r="E204" s="4" t="inlineStr">
        <is>
          <t>Got future date</t>
        </is>
      </c>
      <c r="F204" s="4">
        <f>Daily_Visit_Log!F204</f>
        <v/>
      </c>
      <c r="G204" s="4">
        <f>Daily_Visit_Log!Y204</f>
        <v/>
      </c>
      <c r="H204" s="4">
        <f>Daily_Visit_Log!Q204</f>
        <v/>
      </c>
      <c r="I204" s="4">
        <f>IF(F204&lt;5,"YES","NO")</f>
        <v/>
      </c>
      <c r="J204" s="4">
        <f>MIN(100,IF(F204&gt;=30,50,IF(F204&gt;=15,40,IF(F204&gt;=5,25,10)))+IF(H204&gt;=50,50,IF(H204&gt;=30,40,IF(H204&gt;=20,30,IF(H204&gt;=10,20,10)))))</f>
        <v/>
      </c>
    </row>
    <row r="205">
      <c r="A205" s="3" t="n">
        <v>46029</v>
      </c>
      <c r="B205" s="4" t="inlineStr">
        <is>
          <t>M/S. BIMAL STEEL TRADERS</t>
        </is>
      </c>
      <c r="C205" s="4" t="inlineStr">
        <is>
          <t>07/01/2026, 4:03 pm</t>
        </is>
      </c>
      <c r="D205" s="4" t="inlineStr">
        <is>
          <t>07/01/2026, 4:04 pm</t>
        </is>
      </c>
      <c r="E205" s="4" t="inlineStr">
        <is>
          <t>Got future date</t>
        </is>
      </c>
      <c r="F205" s="4">
        <f>Daily_Visit_Log!F205</f>
        <v/>
      </c>
      <c r="G205" s="4">
        <f>Daily_Visit_Log!Y205</f>
        <v/>
      </c>
      <c r="H205" s="4">
        <f>Daily_Visit_Log!Q205</f>
        <v/>
      </c>
      <c r="I205" s="4">
        <f>IF(F205&lt;5,"YES","NO")</f>
        <v/>
      </c>
      <c r="J205" s="4">
        <f>MIN(100,IF(F205&gt;=30,50,IF(F205&gt;=15,40,IF(F205&gt;=5,25,10)))+IF(H205&gt;=50,50,IF(H205&gt;=30,40,IF(H205&gt;=20,30,IF(H205&gt;=10,20,10)))))</f>
        <v/>
      </c>
    </row>
    <row r="206">
      <c r="A206" s="3" t="n">
        <v>46042</v>
      </c>
      <c r="B206" s="4" t="inlineStr">
        <is>
          <t>M/S. BIMAL STEEL TRADERS</t>
        </is>
      </c>
      <c r="C206" s="4" t="inlineStr">
        <is>
          <t>20/01/2026, 4:39 pm</t>
        </is>
      </c>
      <c r="D206" s="4" t="inlineStr">
        <is>
          <t>20/01/2026, 4:41 pm</t>
        </is>
      </c>
      <c r="E206" s="4" t="inlineStr">
        <is>
          <t>Got future date</t>
        </is>
      </c>
      <c r="F206" s="4">
        <f>Daily_Visit_Log!F206</f>
        <v/>
      </c>
      <c r="G206" s="4">
        <f>Daily_Visit_Log!Y206</f>
        <v/>
      </c>
      <c r="H206" s="4">
        <f>Daily_Visit_Log!Q206</f>
        <v/>
      </c>
      <c r="I206" s="4">
        <f>IF(F206&lt;5,"YES","NO")</f>
        <v/>
      </c>
      <c r="J206" s="4">
        <f>MIN(100,IF(F206&gt;=30,50,IF(F206&gt;=15,40,IF(F206&gt;=5,25,10)))+IF(H206&gt;=50,50,IF(H206&gt;=30,40,IF(H206&gt;=20,30,IF(H206&gt;=10,20,10)))))</f>
        <v/>
      </c>
    </row>
    <row r="207">
      <c r="A207" s="3" t="n">
        <v>46052</v>
      </c>
      <c r="B207" s="4" t="inlineStr">
        <is>
          <t>M/S. BIMAL STEEL TRADERS</t>
        </is>
      </c>
      <c r="C207" s="4" t="inlineStr">
        <is>
          <t>30/01/2026, 12:48 pm</t>
        </is>
      </c>
      <c r="D207" s="4" t="inlineStr">
        <is>
          <t>30/01/2026, 12:50 pm</t>
        </is>
      </c>
      <c r="E207" s="4" t="inlineStr">
        <is>
          <t>Got future date</t>
        </is>
      </c>
      <c r="F207" s="4">
        <f>Daily_Visit_Log!F207</f>
        <v/>
      </c>
      <c r="G207" s="4">
        <f>Daily_Visit_Log!Y207</f>
        <v/>
      </c>
      <c r="H207" s="4">
        <f>Daily_Visit_Log!Q207</f>
        <v/>
      </c>
      <c r="I207" s="4">
        <f>IF(F207&lt;5,"YES","NO")</f>
        <v/>
      </c>
      <c r="J207" s="4">
        <f>MIN(100,IF(F207&gt;=30,50,IF(F207&gt;=15,40,IF(F207&gt;=5,25,10)))+IF(H207&gt;=50,50,IF(H207&gt;=30,40,IF(H207&gt;=20,30,IF(H207&gt;=10,20,10)))))</f>
        <v/>
      </c>
    </row>
    <row r="208">
      <c r="A208" s="3" t="n">
        <v>46014</v>
      </c>
      <c r="B208" s="4" t="inlineStr">
        <is>
          <t>M/S. R . C . SALES CORPORATION</t>
        </is>
      </c>
      <c r="C208" s="4" t="inlineStr">
        <is>
          <t>23/12/2025, 6:14 pm</t>
        </is>
      </c>
      <c r="D208" s="4" t="inlineStr">
        <is>
          <t>23/12/2025, 6:16 pm</t>
        </is>
      </c>
      <c r="E208" s="4" t="inlineStr">
        <is>
          <t>Got future date</t>
        </is>
      </c>
      <c r="F208" s="4">
        <f>Daily_Visit_Log!F208</f>
        <v/>
      </c>
      <c r="G208" s="4">
        <f>Daily_Visit_Log!Y208</f>
        <v/>
      </c>
      <c r="H208" s="4">
        <f>Daily_Visit_Log!Q208</f>
        <v/>
      </c>
      <c r="I208" s="4">
        <f>IF(F208&lt;5,"YES","NO")</f>
        <v/>
      </c>
      <c r="J208" s="4">
        <f>MIN(100,IF(F208&gt;=30,50,IF(F208&gt;=15,40,IF(F208&gt;=5,25,10)))+IF(H208&gt;=50,50,IF(H208&gt;=30,40,IF(H208&gt;=20,30,IF(H208&gt;=10,20,10)))))</f>
        <v/>
      </c>
    </row>
    <row r="209">
      <c r="A209" s="3" t="n">
        <v>46044</v>
      </c>
      <c r="B209" s="4" t="inlineStr">
        <is>
          <t>M/S. R . C . SALES CORPORATION</t>
        </is>
      </c>
      <c r="C209" s="4" t="inlineStr">
        <is>
          <t>22/01/2026, 11:59 am</t>
        </is>
      </c>
      <c r="D209" s="4" t="inlineStr">
        <is>
          <t>22/01/2026, 12:01 pm</t>
        </is>
      </c>
      <c r="E209" s="4" t="inlineStr">
        <is>
          <t>Got future date</t>
        </is>
      </c>
      <c r="F209" s="4">
        <f>Daily_Visit_Log!F209</f>
        <v/>
      </c>
      <c r="G209" s="4">
        <f>Daily_Visit_Log!Y209</f>
        <v/>
      </c>
      <c r="H209" s="4">
        <f>Daily_Visit_Log!Q209</f>
        <v/>
      </c>
      <c r="I209" s="4">
        <f>IF(F209&lt;5,"YES","NO")</f>
        <v/>
      </c>
      <c r="J209" s="4">
        <f>MIN(100,IF(F209&gt;=30,50,IF(F209&gt;=15,40,IF(F209&gt;=5,25,10)))+IF(H209&gt;=50,50,IF(H209&gt;=30,40,IF(H209&gt;=20,30,IF(H209&gt;=10,20,10)))))</f>
        <v/>
      </c>
    </row>
    <row r="210">
      <c r="A210" s="3" t="n">
        <v>45968</v>
      </c>
      <c r="B210" s="4" t="inlineStr">
        <is>
          <t>M/S. RAMA BUILDCON</t>
        </is>
      </c>
      <c r="C210" s="4" t="inlineStr">
        <is>
          <t>07/11/2025, 3:27 pm</t>
        </is>
      </c>
      <c r="D210" s="4" t="inlineStr">
        <is>
          <t>07/11/2025, 3:31 pm</t>
        </is>
      </c>
      <c r="E210" s="4" t="inlineStr">
        <is>
          <t>Got future date</t>
        </is>
      </c>
      <c r="F210" s="4">
        <f>Daily_Visit_Log!F210</f>
        <v/>
      </c>
      <c r="G210" s="4">
        <f>Daily_Visit_Log!Y210</f>
        <v/>
      </c>
      <c r="H210" s="4">
        <f>Daily_Visit_Log!Q210</f>
        <v/>
      </c>
      <c r="I210" s="4">
        <f>IF(F210&lt;5,"YES","NO")</f>
        <v/>
      </c>
      <c r="J210" s="4">
        <f>MIN(100,IF(F210&gt;=30,50,IF(F210&gt;=15,40,IF(F210&gt;=5,25,10)))+IF(H210&gt;=50,50,IF(H210&gt;=30,40,IF(H210&gt;=20,30,IF(H210&gt;=10,20,10)))))</f>
        <v/>
      </c>
    </row>
    <row r="211">
      <c r="A211" s="3" t="n">
        <v>45980</v>
      </c>
      <c r="B211" s="4" t="inlineStr">
        <is>
          <t>M/S. RAMA BUILDCON</t>
        </is>
      </c>
      <c r="C211" s="4" t="inlineStr">
        <is>
          <t>19/11/2025, 6:52 pm</t>
        </is>
      </c>
      <c r="D211" s="4" t="inlineStr">
        <is>
          <t>19/11/2025, 6:53 pm</t>
        </is>
      </c>
      <c r="E211" s="4" t="inlineStr">
        <is>
          <t>Got future date</t>
        </is>
      </c>
      <c r="F211" s="4">
        <f>Daily_Visit_Log!F211</f>
        <v/>
      </c>
      <c r="G211" s="4">
        <f>Daily_Visit_Log!Y211</f>
        <v/>
      </c>
      <c r="H211" s="4">
        <f>Daily_Visit_Log!Q211</f>
        <v/>
      </c>
      <c r="I211" s="4">
        <f>IF(F211&lt;5,"YES","NO")</f>
        <v/>
      </c>
      <c r="J211" s="4">
        <f>MIN(100,IF(F211&gt;=30,50,IF(F211&gt;=15,40,IF(F211&gt;=5,25,10)))+IF(H211&gt;=50,50,IF(H211&gt;=30,40,IF(H211&gt;=20,30,IF(H211&gt;=10,20,10)))))</f>
        <v/>
      </c>
    </row>
    <row r="212">
      <c r="A212" s="3" t="n">
        <v>46020</v>
      </c>
      <c r="B212" s="4" t="inlineStr">
        <is>
          <t>M/S. RAMA BUILDCON</t>
        </is>
      </c>
      <c r="C212" s="4" t="inlineStr">
        <is>
          <t>29/12/2025, 5:24 pm</t>
        </is>
      </c>
      <c r="D212" s="4" t="inlineStr">
        <is>
          <t>29/12/2025, 5:26 pm</t>
        </is>
      </c>
      <c r="E212" s="4" t="inlineStr">
        <is>
          <t>Got future date</t>
        </is>
      </c>
      <c r="F212" s="4">
        <f>Daily_Visit_Log!F212</f>
        <v/>
      </c>
      <c r="G212" s="4">
        <f>Daily_Visit_Log!Y212</f>
        <v/>
      </c>
      <c r="H212" s="4">
        <f>Daily_Visit_Log!Q212</f>
        <v/>
      </c>
      <c r="I212" s="4">
        <f>IF(F212&lt;5,"YES","NO")</f>
        <v/>
      </c>
      <c r="J212" s="4">
        <f>MIN(100,IF(F212&gt;=30,50,IF(F212&gt;=15,40,IF(F212&gt;=5,25,10)))+IF(H212&gt;=50,50,IF(H212&gt;=30,40,IF(H212&gt;=20,30,IF(H212&gt;=10,20,10)))))</f>
        <v/>
      </c>
    </row>
    <row r="213">
      <c r="A213" s="3" t="n">
        <v>46043</v>
      </c>
      <c r="B213" s="4" t="inlineStr">
        <is>
          <t>M/S. RAMA BUILDCON</t>
        </is>
      </c>
      <c r="C213" s="4" t="inlineStr">
        <is>
          <t>21/01/2026, 6:17 pm</t>
        </is>
      </c>
      <c r="D213" s="4" t="inlineStr">
        <is>
          <t>21/01/2026, 6:19 pm</t>
        </is>
      </c>
      <c r="E213" s="4" t="inlineStr">
        <is>
          <t>Got future date</t>
        </is>
      </c>
      <c r="F213" s="4">
        <f>Daily_Visit_Log!F213</f>
        <v/>
      </c>
      <c r="G213" s="4">
        <f>Daily_Visit_Log!Y213</f>
        <v/>
      </c>
      <c r="H213" s="4">
        <f>Daily_Visit_Log!Q213</f>
        <v/>
      </c>
      <c r="I213" s="4">
        <f>IF(F213&lt;5,"YES","NO")</f>
        <v/>
      </c>
      <c r="J213" s="4">
        <f>MIN(100,IF(F213&gt;=30,50,IF(F213&gt;=15,40,IF(F213&gt;=5,25,10)))+IF(H213&gt;=50,50,IF(H213&gt;=30,40,IF(H213&gt;=20,30,IF(H213&gt;=10,20,10)))))</f>
        <v/>
      </c>
    </row>
    <row r="214">
      <c r="A214" s="3" t="n">
        <v>46014</v>
      </c>
      <c r="B214" s="4" t="inlineStr">
        <is>
          <t>M/S. UNIVERSAL STEEL CORPORATION</t>
        </is>
      </c>
      <c r="C214" s="4" t="inlineStr">
        <is>
          <t>23/12/2025, 6:07 pm</t>
        </is>
      </c>
      <c r="D214" s="4" t="inlineStr">
        <is>
          <t>23/12/2025, 6:08 pm</t>
        </is>
      </c>
      <c r="E214" s="4" t="inlineStr">
        <is>
          <t>Got future date</t>
        </is>
      </c>
      <c r="F214" s="4">
        <f>Daily_Visit_Log!F214</f>
        <v/>
      </c>
      <c r="G214" s="4">
        <f>Daily_Visit_Log!Y214</f>
        <v/>
      </c>
      <c r="H214" s="4">
        <f>Daily_Visit_Log!Q214</f>
        <v/>
      </c>
      <c r="I214" s="4">
        <f>IF(F214&lt;5,"YES","NO")</f>
        <v/>
      </c>
      <c r="J214" s="4">
        <f>MIN(100,IF(F214&gt;=30,50,IF(F214&gt;=15,40,IF(F214&gt;=5,25,10)))+IF(H214&gt;=50,50,IF(H214&gt;=30,40,IF(H214&gt;=20,30,IF(H214&gt;=10,20,10)))))</f>
        <v/>
      </c>
    </row>
    <row r="215">
      <c r="A215" s="3" t="n">
        <v>46044</v>
      </c>
      <c r="B215" s="4" t="inlineStr">
        <is>
          <t>M/S. UNIVERSAL STEEL CORPORATION</t>
        </is>
      </c>
      <c r="C215" s="4" t="inlineStr">
        <is>
          <t>22/01/2026, 11:48 am</t>
        </is>
      </c>
      <c r="D215" s="4" t="inlineStr">
        <is>
          <t>22/01/2026, 11:52 am</t>
        </is>
      </c>
      <c r="E215" s="4" t="inlineStr">
        <is>
          <t>Got future date</t>
        </is>
      </c>
      <c r="F215" s="4">
        <f>Daily_Visit_Log!F215</f>
        <v/>
      </c>
      <c r="G215" s="4">
        <f>Daily_Visit_Log!Y215</f>
        <v/>
      </c>
      <c r="H215" s="4">
        <f>Daily_Visit_Log!Q215</f>
        <v/>
      </c>
      <c r="I215" s="4">
        <f>IF(F215&lt;5,"YES","NO")</f>
        <v/>
      </c>
      <c r="J215" s="4">
        <f>MIN(100,IF(F215&gt;=30,50,IF(F215&gt;=15,40,IF(F215&gt;=5,25,10)))+IF(H215&gt;=50,50,IF(H215&gt;=30,40,IF(H215&gt;=20,30,IF(H215&gt;=10,20,10)))))</f>
        <v/>
      </c>
    </row>
    <row r="216">
      <c r="A216" s="3" t="n">
        <v>45971</v>
      </c>
      <c r="B216" s="4" t="inlineStr">
        <is>
          <t>M/S.BISHWANATH STEEL</t>
        </is>
      </c>
      <c r="C216" s="4" t="inlineStr">
        <is>
          <t>10/11/2025, 6:42 pm</t>
        </is>
      </c>
      <c r="D216" s="4" t="inlineStr">
        <is>
          <t>10/11/2025, 6:43 pm</t>
        </is>
      </c>
      <c r="E216" s="4" t="inlineStr">
        <is>
          <t>Account created</t>
        </is>
      </c>
      <c r="F216" s="4">
        <f>Daily_Visit_Log!F216</f>
        <v/>
      </c>
      <c r="G216" s="4">
        <f>Daily_Visit_Log!Y216</f>
        <v/>
      </c>
      <c r="H216" s="4">
        <f>Daily_Visit_Log!Q216</f>
        <v/>
      </c>
      <c r="I216" s="4">
        <f>IF(F216&lt;5,"YES","NO")</f>
        <v/>
      </c>
      <c r="J216" s="4">
        <f>MIN(100,IF(F216&gt;=30,50,IF(F216&gt;=15,40,IF(F216&gt;=5,25,10)))+IF(H216&gt;=50,50,IF(H216&gt;=30,40,IF(H216&gt;=20,30,IF(H216&gt;=10,20,10)))))</f>
        <v/>
      </c>
    </row>
    <row r="217">
      <c r="A217" s="3" t="n">
        <v>45971</v>
      </c>
      <c r="B217" s="4" t="inlineStr">
        <is>
          <t>M/S.MAA TARA STEEL</t>
        </is>
      </c>
      <c r="C217" s="4" t="inlineStr">
        <is>
          <t>10/11/2025, 5:38 pm</t>
        </is>
      </c>
      <c r="D217" s="4" t="inlineStr">
        <is>
          <t>10/11/2025, 5:39 pm</t>
        </is>
      </c>
      <c r="E217" s="4" t="inlineStr">
        <is>
          <t>Account created</t>
        </is>
      </c>
      <c r="F217" s="4">
        <f>Daily_Visit_Log!F217</f>
        <v/>
      </c>
      <c r="G217" s="4">
        <f>Daily_Visit_Log!Y217</f>
        <v/>
      </c>
      <c r="H217" s="4">
        <f>Daily_Visit_Log!Q217</f>
        <v/>
      </c>
      <c r="I217" s="4">
        <f>IF(F217&lt;5,"YES","NO")</f>
        <v/>
      </c>
      <c r="J217" s="4">
        <f>MIN(100,IF(F217&gt;=30,50,IF(F217&gt;=15,40,IF(F217&gt;=5,25,10)))+IF(H217&gt;=50,50,IF(H217&gt;=30,40,IF(H217&gt;=20,30,IF(H217&gt;=10,20,10)))))</f>
        <v/>
      </c>
    </row>
    <row r="218">
      <c r="A218" s="3" t="n">
        <v>46000</v>
      </c>
      <c r="B218" s="4" t="inlineStr">
        <is>
          <t>Mahesh kumar</t>
        </is>
      </c>
      <c r="C218" s="4" t="inlineStr">
        <is>
          <t>09/12/2025, 6:28 pm</t>
        </is>
      </c>
      <c r="D218" s="4" t="inlineStr">
        <is>
          <t>09/12/2025, 6:29 pm</t>
        </is>
      </c>
      <c r="E218" s="4" t="inlineStr">
        <is>
          <t>Got future date</t>
        </is>
      </c>
      <c r="F218" s="4">
        <f>Daily_Visit_Log!F218</f>
        <v/>
      </c>
      <c r="G218" s="4">
        <f>Daily_Visit_Log!Y218</f>
        <v/>
      </c>
      <c r="H218" s="4">
        <f>Daily_Visit_Log!Q218</f>
        <v/>
      </c>
      <c r="I218" s="4">
        <f>IF(F218&lt;5,"YES","NO")</f>
        <v/>
      </c>
      <c r="J218" s="4">
        <f>MIN(100,IF(F218&gt;=30,50,IF(F218&gt;=15,40,IF(F218&gt;=5,25,10)))+IF(H218&gt;=50,50,IF(H218&gt;=30,40,IF(H218&gt;=20,30,IF(H218&gt;=10,20,10)))))</f>
        <v/>
      </c>
    </row>
    <row r="219">
      <c r="A219" s="3" t="n">
        <v>45995</v>
      </c>
      <c r="B219" s="4" t="inlineStr">
        <is>
          <t>Mahesh mahto</t>
        </is>
      </c>
      <c r="C219" s="4" t="inlineStr">
        <is>
          <t>04/12/2025, 6:35 pm</t>
        </is>
      </c>
      <c r="D219" s="4" t="inlineStr">
        <is>
          <t>04/12/2025, 6:39 pm</t>
        </is>
      </c>
      <c r="E219" s="4" t="inlineStr">
        <is>
          <t>Got future date</t>
        </is>
      </c>
      <c r="F219" s="4">
        <f>Daily_Visit_Log!F219</f>
        <v/>
      </c>
      <c r="G219" s="4">
        <f>Daily_Visit_Log!Y219</f>
        <v/>
      </c>
      <c r="H219" s="4">
        <f>Daily_Visit_Log!Q219</f>
        <v/>
      </c>
      <c r="I219" s="4">
        <f>IF(F219&lt;5,"YES","NO")</f>
        <v/>
      </c>
      <c r="J219" s="4">
        <f>MIN(100,IF(F219&gt;=30,50,IF(F219&gt;=15,40,IF(F219&gt;=5,25,10)))+IF(H219&gt;=50,50,IF(H219&gt;=30,40,IF(H219&gt;=20,30,IF(H219&gt;=10,20,10)))))</f>
        <v/>
      </c>
    </row>
    <row r="220">
      <c r="A220" s="3" t="n">
        <v>45966</v>
      </c>
      <c r="B220" s="4" t="inlineStr">
        <is>
          <t>Mi construction</t>
        </is>
      </c>
      <c r="C220" s="4" t="inlineStr">
        <is>
          <t>05/11/2025, 6:20 pm</t>
        </is>
      </c>
      <c r="D220" s="4" t="inlineStr">
        <is>
          <t>05/11/2025, 6:21 pm</t>
        </is>
      </c>
      <c r="E220" s="4" t="inlineStr">
        <is>
          <t>Got future date</t>
        </is>
      </c>
      <c r="F220" s="4">
        <f>Daily_Visit_Log!F220</f>
        <v/>
      </c>
      <c r="G220" s="4">
        <f>Daily_Visit_Log!Y220</f>
        <v/>
      </c>
      <c r="H220" s="4">
        <f>Daily_Visit_Log!Q220</f>
        <v/>
      </c>
      <c r="I220" s="4">
        <f>IF(F220&lt;5,"YES","NO")</f>
        <v/>
      </c>
      <c r="J220" s="4">
        <f>MIN(100,IF(F220&gt;=30,50,IF(F220&gt;=15,40,IF(F220&gt;=5,25,10)))+IF(H220&gt;=50,50,IF(H220&gt;=30,40,IF(H220&gt;=20,30,IF(H220&gt;=10,20,10)))))</f>
        <v/>
      </c>
    </row>
    <row r="221">
      <c r="A221" s="3" t="n">
        <v>45982</v>
      </c>
      <c r="B221" s="4" t="inlineStr">
        <is>
          <t>Mi construction</t>
        </is>
      </c>
      <c r="C221" s="4" t="inlineStr">
        <is>
          <t>21/11/2025, 11:39 am</t>
        </is>
      </c>
      <c r="D221" s="4" t="inlineStr">
        <is>
          <t>21/11/2025, 11:41 am</t>
        </is>
      </c>
      <c r="E221" s="4" t="inlineStr">
        <is>
          <t>Got future date</t>
        </is>
      </c>
      <c r="F221" s="4">
        <f>Daily_Visit_Log!F221</f>
        <v/>
      </c>
      <c r="G221" s="4">
        <f>Daily_Visit_Log!Y221</f>
        <v/>
      </c>
      <c r="H221" s="4">
        <f>Daily_Visit_Log!Q221</f>
        <v/>
      </c>
      <c r="I221" s="4">
        <f>IF(F221&lt;5,"YES","NO")</f>
        <v/>
      </c>
      <c r="J221" s="4">
        <f>MIN(100,IF(F221&gt;=30,50,IF(F221&gt;=15,40,IF(F221&gt;=5,25,10)))+IF(H221&gt;=50,50,IF(H221&gt;=30,40,IF(H221&gt;=20,30,IF(H221&gt;=10,20,10)))))</f>
        <v/>
      </c>
    </row>
    <row r="222">
      <c r="A222" s="3" t="n">
        <v>46001</v>
      </c>
      <c r="B222" s="4" t="inlineStr">
        <is>
          <t>Mi construction</t>
        </is>
      </c>
      <c r="C222" s="4" t="inlineStr">
        <is>
          <t>10/12/2025, 5:43 pm</t>
        </is>
      </c>
      <c r="D222" s="4" t="inlineStr">
        <is>
          <t>10/12/2025, 5:46 pm</t>
        </is>
      </c>
      <c r="E222" s="4" t="inlineStr">
        <is>
          <t>Got future date</t>
        </is>
      </c>
      <c r="F222" s="4">
        <f>Daily_Visit_Log!F222</f>
        <v/>
      </c>
      <c r="G222" s="4">
        <f>Daily_Visit_Log!Y222</f>
        <v/>
      </c>
      <c r="H222" s="4">
        <f>Daily_Visit_Log!Q222</f>
        <v/>
      </c>
      <c r="I222" s="4">
        <f>IF(F222&lt;5,"YES","NO")</f>
        <v/>
      </c>
      <c r="J222" s="4">
        <f>MIN(100,IF(F222&gt;=30,50,IF(F222&gt;=15,40,IF(F222&gt;=5,25,10)))+IF(H222&gt;=50,50,IF(H222&gt;=30,40,IF(H222&gt;=20,30,IF(H222&gt;=10,20,10)))))</f>
        <v/>
      </c>
    </row>
    <row r="223">
      <c r="A223" s="3" t="n">
        <v>46042</v>
      </c>
      <c r="B223" s="4" t="inlineStr">
        <is>
          <t>Mi construction</t>
        </is>
      </c>
      <c r="C223" s="4" t="inlineStr">
        <is>
          <t>20/01/2026, 6:48 pm</t>
        </is>
      </c>
      <c r="D223" s="4" t="inlineStr">
        <is>
          <t>20/01/2026, 6:49 pm</t>
        </is>
      </c>
      <c r="E223" s="4" t="inlineStr">
        <is>
          <t>Got future date</t>
        </is>
      </c>
      <c r="F223" s="4">
        <f>Daily_Visit_Log!F223</f>
        <v/>
      </c>
      <c r="G223" s="4">
        <f>Daily_Visit_Log!Y223</f>
        <v/>
      </c>
      <c r="H223" s="4">
        <f>Daily_Visit_Log!Q223</f>
        <v/>
      </c>
      <c r="I223" s="4">
        <f>IF(F223&lt;5,"YES","NO")</f>
        <v/>
      </c>
      <c r="J223" s="4">
        <f>MIN(100,IF(F223&gt;=30,50,IF(F223&gt;=15,40,IF(F223&gt;=5,25,10)))+IF(H223&gt;=50,50,IF(H223&gt;=30,40,IF(H223&gt;=20,30,IF(H223&gt;=10,20,10)))))</f>
        <v/>
      </c>
    </row>
    <row r="224">
      <c r="A224" s="3" t="n">
        <v>45980</v>
      </c>
      <c r="B224" s="4" t="inlineStr">
        <is>
          <t>P S SRIJAN HEIGHT DEVELOPERS</t>
        </is>
      </c>
      <c r="C224" s="4" t="inlineStr">
        <is>
          <t>19/11/2025, 1:48 pm</t>
        </is>
      </c>
      <c r="D224" s="4" t="inlineStr">
        <is>
          <t>19/11/2025, 1:50 pm</t>
        </is>
      </c>
      <c r="E224" s="4" t="inlineStr">
        <is>
          <t>Got future date</t>
        </is>
      </c>
      <c r="F224" s="4">
        <f>Daily_Visit_Log!F224</f>
        <v/>
      </c>
      <c r="G224" s="4">
        <f>Daily_Visit_Log!Y224</f>
        <v/>
      </c>
      <c r="H224" s="4">
        <f>Daily_Visit_Log!Q224</f>
        <v/>
      </c>
      <c r="I224" s="4">
        <f>IF(F224&lt;5,"YES","NO")</f>
        <v/>
      </c>
      <c r="J224" s="4">
        <f>MIN(100,IF(F224&gt;=30,50,IF(F224&gt;=15,40,IF(F224&gt;=5,25,10)))+IF(H224&gt;=50,50,IF(H224&gt;=30,40,IF(H224&gt;=20,30,IF(H224&gt;=10,20,10)))))</f>
        <v/>
      </c>
    </row>
    <row r="225">
      <c r="A225" s="3" t="n">
        <v>45987</v>
      </c>
      <c r="B225" s="4" t="inlineStr">
        <is>
          <t>P S SRIJAN HEIGHT DEVELOPERS</t>
        </is>
      </c>
      <c r="C225" s="4" t="inlineStr">
        <is>
          <t>26/11/2025, 1:13 pm</t>
        </is>
      </c>
      <c r="D225" s="4" t="inlineStr">
        <is>
          <t>26/11/2025, 1:13 pm</t>
        </is>
      </c>
      <c r="E225" s="4" t="inlineStr">
        <is>
          <t>Got future date</t>
        </is>
      </c>
      <c r="F225" s="4">
        <f>Daily_Visit_Log!F225</f>
        <v/>
      </c>
      <c r="G225" s="4">
        <f>Daily_Visit_Log!Y225</f>
        <v/>
      </c>
      <c r="H225" s="4">
        <f>Daily_Visit_Log!Q225</f>
        <v/>
      </c>
      <c r="I225" s="4">
        <f>IF(F225&lt;5,"YES","NO")</f>
        <v/>
      </c>
      <c r="J225" s="4">
        <f>MIN(100,IF(F225&gt;=30,50,IF(F225&gt;=15,40,IF(F225&gt;=5,25,10)))+IF(H225&gt;=50,50,IF(H225&gt;=30,40,IF(H225&gt;=20,30,IF(H225&gt;=10,20,10)))))</f>
        <v/>
      </c>
    </row>
    <row r="226">
      <c r="A226" s="3" t="n">
        <v>46007</v>
      </c>
      <c r="B226" s="4" t="inlineStr">
        <is>
          <t>P S SRIJAN HEIGHT DEVELOPERS</t>
        </is>
      </c>
      <c r="C226" s="4" t="inlineStr">
        <is>
          <t>16/12/2025, 5:39 pm</t>
        </is>
      </c>
      <c r="D226" s="4" t="inlineStr">
        <is>
          <t>16/12/2025, 5:42 pm</t>
        </is>
      </c>
      <c r="E226" s="4" t="inlineStr">
        <is>
          <t>Got future date</t>
        </is>
      </c>
      <c r="F226" s="4">
        <f>Daily_Visit_Log!F226</f>
        <v/>
      </c>
      <c r="G226" s="4">
        <f>Daily_Visit_Log!Y226</f>
        <v/>
      </c>
      <c r="H226" s="4">
        <f>Daily_Visit_Log!Q226</f>
        <v/>
      </c>
      <c r="I226" s="4">
        <f>IF(F226&lt;5,"YES","NO")</f>
        <v/>
      </c>
      <c r="J226" s="4">
        <f>MIN(100,IF(F226&gt;=30,50,IF(F226&gt;=15,40,IF(F226&gt;=5,25,10)))+IF(H226&gt;=50,50,IF(H226&gt;=30,40,IF(H226&gt;=20,30,IF(H226&gt;=10,20,10)))))</f>
        <v/>
      </c>
    </row>
    <row r="227">
      <c r="A227" s="3" t="n">
        <v>46022</v>
      </c>
      <c r="B227" s="4" t="inlineStr">
        <is>
          <t>P S SRIJAN HEIGHT DEVELOPERS</t>
        </is>
      </c>
      <c r="C227" s="4" t="inlineStr">
        <is>
          <t>31/12/2025, 1:45 pm</t>
        </is>
      </c>
      <c r="D227" s="4" t="inlineStr">
        <is>
          <t>31/12/2025, 1:50 pm</t>
        </is>
      </c>
      <c r="E227" s="4" t="inlineStr">
        <is>
          <t>Got future date</t>
        </is>
      </c>
      <c r="F227" s="4">
        <f>Daily_Visit_Log!F227</f>
        <v/>
      </c>
      <c r="G227" s="4">
        <f>Daily_Visit_Log!Y227</f>
        <v/>
      </c>
      <c r="H227" s="4">
        <f>Daily_Visit_Log!Q227</f>
        <v/>
      </c>
      <c r="I227" s="4">
        <f>IF(F227&lt;5,"YES","NO")</f>
        <v/>
      </c>
      <c r="J227" s="4">
        <f>MIN(100,IF(F227&gt;=30,50,IF(F227&gt;=15,40,IF(F227&gt;=5,25,10)))+IF(H227&gt;=50,50,IF(H227&gt;=30,40,IF(H227&gt;=20,30,IF(H227&gt;=10,20,10)))))</f>
        <v/>
      </c>
    </row>
    <row r="228">
      <c r="A228" s="3" t="n">
        <v>45993</v>
      </c>
      <c r="B228" s="4" t="inlineStr">
        <is>
          <t>PRAGATI BUILDCON</t>
        </is>
      </c>
      <c r="C228" s="4" t="inlineStr">
        <is>
          <t>02/12/2025, 6:18 pm</t>
        </is>
      </c>
      <c r="D228" s="4" t="inlineStr">
        <is>
          <t>02/12/2025, 6:19 pm</t>
        </is>
      </c>
      <c r="E228" s="4" t="inlineStr">
        <is>
          <t>Got future date</t>
        </is>
      </c>
      <c r="F228" s="4">
        <f>Daily_Visit_Log!F228</f>
        <v/>
      </c>
      <c r="G228" s="4">
        <f>Daily_Visit_Log!Y228</f>
        <v/>
      </c>
      <c r="H228" s="4">
        <f>Daily_Visit_Log!Q228</f>
        <v/>
      </c>
      <c r="I228" s="4">
        <f>IF(F228&lt;5,"YES","NO")</f>
        <v/>
      </c>
      <c r="J228" s="4">
        <f>MIN(100,IF(F228&gt;=30,50,IF(F228&gt;=15,40,IF(F228&gt;=5,25,10)))+IF(H228&gt;=50,50,IF(H228&gt;=30,40,IF(H228&gt;=20,30,IF(H228&gt;=10,20,10)))))</f>
        <v/>
      </c>
    </row>
    <row r="229">
      <c r="A229" s="3" t="n">
        <v>46037</v>
      </c>
      <c r="B229" s="4" t="inlineStr">
        <is>
          <t>PRAGATI BUILDCON</t>
        </is>
      </c>
      <c r="C229" s="4" t="inlineStr">
        <is>
          <t>15/01/2026, 7:12 pm</t>
        </is>
      </c>
      <c r="D229" s="4" t="inlineStr">
        <is>
          <t>15/01/2026, 7:17 pm</t>
        </is>
      </c>
      <c r="E229" s="4" t="inlineStr">
        <is>
          <t>Got future date</t>
        </is>
      </c>
      <c r="F229" s="4">
        <f>Daily_Visit_Log!F229</f>
        <v/>
      </c>
      <c r="G229" s="4">
        <f>Daily_Visit_Log!Y229</f>
        <v/>
      </c>
      <c r="H229" s="4">
        <f>Daily_Visit_Log!Q229</f>
        <v/>
      </c>
      <c r="I229" s="4">
        <f>IF(F229&lt;5,"YES","NO")</f>
        <v/>
      </c>
      <c r="J229" s="4">
        <f>MIN(100,IF(F229&gt;=30,50,IF(F229&gt;=15,40,IF(F229&gt;=5,25,10)))+IF(H229&gt;=50,50,IF(H229&gt;=30,40,IF(H229&gt;=20,30,IF(H229&gt;=10,20,10)))))</f>
        <v/>
      </c>
    </row>
    <row r="230">
      <c r="A230" s="3" t="n">
        <v>46051</v>
      </c>
      <c r="B230" s="4" t="inlineStr">
        <is>
          <t>PRAGATI BUILDCON</t>
        </is>
      </c>
      <c r="C230" s="4" t="inlineStr">
        <is>
          <t>29/01/2026, 1:24 pm</t>
        </is>
      </c>
      <c r="D230" s="4" t="inlineStr">
        <is>
          <t>29/01/2026, 1:25 pm</t>
        </is>
      </c>
      <c r="E230" s="4" t="inlineStr">
        <is>
          <t>Opportunity generated</t>
        </is>
      </c>
      <c r="F230" s="4">
        <f>Daily_Visit_Log!F230</f>
        <v/>
      </c>
      <c r="G230" s="4">
        <f>Daily_Visit_Log!Y230</f>
        <v/>
      </c>
      <c r="H230" s="4">
        <f>Daily_Visit_Log!Q230</f>
        <v/>
      </c>
      <c r="I230" s="4">
        <f>IF(F230&lt;5,"YES","NO")</f>
        <v/>
      </c>
      <c r="J230" s="4">
        <f>MIN(100,IF(F230&gt;=30,50,IF(F230&gt;=15,40,IF(F230&gt;=5,25,10)))+IF(H230&gt;=50,50,IF(H230&gt;=30,40,IF(H230&gt;=20,30,IF(H230&gt;=10,20,10)))))</f>
        <v/>
      </c>
    </row>
    <row r="231">
      <c r="A231" s="3" t="n">
        <v>45971</v>
      </c>
      <c r="B231" s="4" t="inlineStr">
        <is>
          <t>RADHA TRADERS</t>
        </is>
      </c>
      <c r="C231" s="4" t="inlineStr">
        <is>
          <t>10/11/2025, 6:54 pm</t>
        </is>
      </c>
      <c r="D231" s="4" t="inlineStr">
        <is>
          <t>10/11/2025, 6:57 pm</t>
        </is>
      </c>
      <c r="E231" s="4" t="inlineStr">
        <is>
          <t>Account created</t>
        </is>
      </c>
      <c r="F231" s="4">
        <f>Daily_Visit_Log!F231</f>
        <v/>
      </c>
      <c r="G231" s="4">
        <f>Daily_Visit_Log!Y231</f>
        <v/>
      </c>
      <c r="H231" s="4">
        <f>Daily_Visit_Log!Q231</f>
        <v/>
      </c>
      <c r="I231" s="4">
        <f>IF(F231&lt;5,"YES","NO")</f>
        <v/>
      </c>
      <c r="J231" s="4">
        <f>MIN(100,IF(F231&gt;=30,50,IF(F231&gt;=15,40,IF(F231&gt;=5,25,10)))+IF(H231&gt;=50,50,IF(H231&gt;=30,40,IF(H231&gt;=20,30,IF(H231&gt;=10,20,10)))))</f>
        <v/>
      </c>
    </row>
    <row r="232">
      <c r="A232" s="3" t="n">
        <v>45973</v>
      </c>
      <c r="B232" s="4" t="inlineStr">
        <is>
          <t>ROYAL TRADERS</t>
        </is>
      </c>
      <c r="C232" s="4" t="inlineStr">
        <is>
          <t>12/11/2025, 1:45 pm</t>
        </is>
      </c>
      <c r="D232" s="4" t="inlineStr">
        <is>
          <t>12/11/2025, 1:47 pm</t>
        </is>
      </c>
      <c r="E232" s="4" t="inlineStr">
        <is>
          <t>Got future date</t>
        </is>
      </c>
      <c r="F232" s="4">
        <f>Daily_Visit_Log!F232</f>
        <v/>
      </c>
      <c r="G232" s="4">
        <f>Daily_Visit_Log!Y232</f>
        <v/>
      </c>
      <c r="H232" s="4">
        <f>Daily_Visit_Log!Q232</f>
        <v/>
      </c>
      <c r="I232" s="4">
        <f>IF(F232&lt;5,"YES","NO")</f>
        <v/>
      </c>
      <c r="J232" s="4">
        <f>MIN(100,IF(F232&gt;=30,50,IF(F232&gt;=15,40,IF(F232&gt;=5,25,10)))+IF(H232&gt;=50,50,IF(H232&gt;=30,40,IF(H232&gt;=20,30,IF(H232&gt;=10,20,10)))))</f>
        <v/>
      </c>
    </row>
    <row r="233">
      <c r="A233" s="3" t="n">
        <v>45992</v>
      </c>
      <c r="B233" s="4" t="inlineStr">
        <is>
          <t>ROYAL TRADERS</t>
        </is>
      </c>
      <c r="C233" s="4" t="inlineStr">
        <is>
          <t>01/12/2025, 7:19 pm</t>
        </is>
      </c>
      <c r="D233" s="4" t="inlineStr">
        <is>
          <t>01/12/2025, 7:20 pm</t>
        </is>
      </c>
      <c r="E233" s="4" t="inlineStr">
        <is>
          <t>Got future date</t>
        </is>
      </c>
      <c r="F233" s="4">
        <f>Daily_Visit_Log!F233</f>
        <v/>
      </c>
      <c r="G233" s="4">
        <f>Daily_Visit_Log!Y233</f>
        <v/>
      </c>
      <c r="H233" s="4">
        <f>Daily_Visit_Log!Q233</f>
        <v/>
      </c>
      <c r="I233" s="4">
        <f>IF(F233&lt;5,"YES","NO")</f>
        <v/>
      </c>
      <c r="J233" s="4">
        <f>MIN(100,IF(F233&gt;=30,50,IF(F233&gt;=15,40,IF(F233&gt;=5,25,10)))+IF(H233&gt;=50,50,IF(H233&gt;=30,40,IF(H233&gt;=20,30,IF(H233&gt;=10,20,10)))))</f>
        <v/>
      </c>
    </row>
    <row r="234">
      <c r="A234" s="3" t="n">
        <v>46020</v>
      </c>
      <c r="B234" s="4" t="inlineStr">
        <is>
          <t>ROYAL TRADERS</t>
        </is>
      </c>
      <c r="C234" s="4" t="inlineStr">
        <is>
          <t>29/12/2025, 5:56 pm</t>
        </is>
      </c>
      <c r="D234" s="4" t="inlineStr">
        <is>
          <t>29/12/2025, 5:57 pm</t>
        </is>
      </c>
      <c r="E234" s="4" t="inlineStr">
        <is>
          <t>Got future date</t>
        </is>
      </c>
      <c r="F234" s="4">
        <f>Daily_Visit_Log!F234</f>
        <v/>
      </c>
      <c r="G234" s="4">
        <f>Daily_Visit_Log!Y234</f>
        <v/>
      </c>
      <c r="H234" s="4">
        <f>Daily_Visit_Log!Q234</f>
        <v/>
      </c>
      <c r="I234" s="4">
        <f>IF(F234&lt;5,"YES","NO")</f>
        <v/>
      </c>
      <c r="J234" s="4">
        <f>MIN(100,IF(F234&gt;=30,50,IF(F234&gt;=15,40,IF(F234&gt;=5,25,10)))+IF(H234&gt;=50,50,IF(H234&gt;=30,40,IF(H234&gt;=20,30,IF(H234&gt;=10,20,10)))))</f>
        <v/>
      </c>
    </row>
    <row r="235">
      <c r="A235" s="3" t="n">
        <v>46030</v>
      </c>
      <c r="B235" s="4" t="inlineStr">
        <is>
          <t>ROYAL TRADERS</t>
        </is>
      </c>
      <c r="C235" s="4" t="inlineStr">
        <is>
          <t>08/01/2026, 6:55 pm</t>
        </is>
      </c>
      <c r="D235" s="4" t="inlineStr">
        <is>
          <t>08/01/2026, 6:58 pm</t>
        </is>
      </c>
      <c r="E235" s="4" t="inlineStr">
        <is>
          <t>Got future date</t>
        </is>
      </c>
      <c r="F235" s="4">
        <f>Daily_Visit_Log!F235</f>
        <v/>
      </c>
      <c r="G235" s="4">
        <f>Daily_Visit_Log!Y235</f>
        <v/>
      </c>
      <c r="H235" s="4">
        <f>Daily_Visit_Log!Q235</f>
        <v/>
      </c>
      <c r="I235" s="4">
        <f>IF(F235&lt;5,"YES","NO")</f>
        <v/>
      </c>
      <c r="J235" s="4">
        <f>MIN(100,IF(F235&gt;=30,50,IF(F235&gt;=15,40,IF(F235&gt;=5,25,10)))+IF(H235&gt;=50,50,IF(H235&gt;=30,40,IF(H235&gt;=20,30,IF(H235&gt;=10,20,10)))))</f>
        <v/>
      </c>
    </row>
    <row r="236">
      <c r="A236" s="3" t="n">
        <v>45965</v>
      </c>
      <c r="B236" s="4" t="inlineStr">
        <is>
          <t>Radius tech</t>
        </is>
      </c>
      <c r="C236" s="4" t="inlineStr">
        <is>
          <t>04/11/2025, 5:25 pm</t>
        </is>
      </c>
      <c r="D236" s="4" t="inlineStr">
        <is>
          <t>04/11/2025, 5:26 pm</t>
        </is>
      </c>
      <c r="E236" s="4" t="inlineStr">
        <is>
          <t>Got future date</t>
        </is>
      </c>
      <c r="F236" s="4">
        <f>Daily_Visit_Log!F236</f>
        <v/>
      </c>
      <c r="G236" s="4">
        <f>Daily_Visit_Log!Y236</f>
        <v/>
      </c>
      <c r="H236" s="4">
        <f>Daily_Visit_Log!Q236</f>
        <v/>
      </c>
      <c r="I236" s="4">
        <f>IF(F236&lt;5,"YES","NO")</f>
        <v/>
      </c>
      <c r="J236" s="4">
        <f>MIN(100,IF(F236&gt;=30,50,IF(F236&gt;=15,40,IF(F236&gt;=5,25,10)))+IF(H236&gt;=50,50,IF(H236&gt;=30,40,IF(H236&gt;=20,30,IF(H236&gt;=10,20,10)))))</f>
        <v/>
      </c>
    </row>
    <row r="237">
      <c r="A237" s="3" t="n">
        <v>45969</v>
      </c>
      <c r="B237" s="4" t="inlineStr">
        <is>
          <t>Radius tech</t>
        </is>
      </c>
      <c r="C237" s="4" t="inlineStr">
        <is>
          <t>08/11/2025, 6:47 pm</t>
        </is>
      </c>
      <c r="D237" s="4" t="inlineStr">
        <is>
          <t>08/11/2025, 6:50 pm</t>
        </is>
      </c>
      <c r="E237" s="4" t="inlineStr">
        <is>
          <t>Got future date</t>
        </is>
      </c>
      <c r="F237" s="4">
        <f>Daily_Visit_Log!F237</f>
        <v/>
      </c>
      <c r="G237" s="4">
        <f>Daily_Visit_Log!Y237</f>
        <v/>
      </c>
      <c r="H237" s="4">
        <f>Daily_Visit_Log!Q237</f>
        <v/>
      </c>
      <c r="I237" s="4">
        <f>IF(F237&lt;5,"YES","NO")</f>
        <v/>
      </c>
      <c r="J237" s="4">
        <f>MIN(100,IF(F237&gt;=30,50,IF(F237&gt;=15,40,IF(F237&gt;=5,25,10)))+IF(H237&gt;=50,50,IF(H237&gt;=30,40,IF(H237&gt;=20,30,IF(H237&gt;=10,20,10)))))</f>
        <v/>
      </c>
    </row>
    <row r="238">
      <c r="A238" s="3" t="n">
        <v>45981</v>
      </c>
      <c r="B238" s="4" t="inlineStr">
        <is>
          <t>Radius tech</t>
        </is>
      </c>
      <c r="C238" s="4" t="inlineStr">
        <is>
          <t>20/11/2025, 5:21 pm</t>
        </is>
      </c>
      <c r="D238" s="4" t="inlineStr">
        <is>
          <t>20/11/2025, 5:21 pm</t>
        </is>
      </c>
      <c r="E238" s="4" t="inlineStr">
        <is>
          <t>Got future date</t>
        </is>
      </c>
      <c r="F238" s="4">
        <f>Daily_Visit_Log!F238</f>
        <v/>
      </c>
      <c r="G238" s="4">
        <f>Daily_Visit_Log!Y238</f>
        <v/>
      </c>
      <c r="H238" s="4">
        <f>Daily_Visit_Log!Q238</f>
        <v/>
      </c>
      <c r="I238" s="4">
        <f>IF(F238&lt;5,"YES","NO")</f>
        <v/>
      </c>
      <c r="J238" s="4">
        <f>MIN(100,IF(F238&gt;=30,50,IF(F238&gt;=15,40,IF(F238&gt;=5,25,10)))+IF(H238&gt;=50,50,IF(H238&gt;=30,40,IF(H238&gt;=20,30,IF(H238&gt;=10,20,10)))))</f>
        <v/>
      </c>
    </row>
    <row r="239">
      <c r="A239" s="3" t="n">
        <v>46010</v>
      </c>
      <c r="B239" s="4" t="inlineStr">
        <is>
          <t>Radius tech</t>
        </is>
      </c>
      <c r="C239" s="4" t="inlineStr">
        <is>
          <t>19/12/2025, 3:50 pm</t>
        </is>
      </c>
      <c r="D239" s="4" t="inlineStr">
        <is>
          <t>19/12/2025, 3:53 pm</t>
        </is>
      </c>
      <c r="E239" s="4" t="inlineStr">
        <is>
          <t>Got future date</t>
        </is>
      </c>
      <c r="F239" s="4">
        <f>Daily_Visit_Log!F239</f>
        <v/>
      </c>
      <c r="G239" s="4">
        <f>Daily_Visit_Log!Y239</f>
        <v/>
      </c>
      <c r="H239" s="4">
        <f>Daily_Visit_Log!Q239</f>
        <v/>
      </c>
      <c r="I239" s="4">
        <f>IF(F239&lt;5,"YES","NO")</f>
        <v/>
      </c>
      <c r="J239" s="4">
        <f>MIN(100,IF(F239&gt;=30,50,IF(F239&gt;=15,40,IF(F239&gt;=5,25,10)))+IF(H239&gt;=50,50,IF(H239&gt;=30,40,IF(H239&gt;=20,30,IF(H239&gt;=10,20,10)))))</f>
        <v/>
      </c>
    </row>
    <row r="240">
      <c r="A240" s="3" t="n">
        <v>46036</v>
      </c>
      <c r="B240" s="4" t="inlineStr">
        <is>
          <t>Radius tech</t>
        </is>
      </c>
      <c r="C240" s="4" t="inlineStr">
        <is>
          <t>14/01/2026, 7:45 pm</t>
        </is>
      </c>
      <c r="D240" s="4" t="inlineStr">
        <is>
          <t>14/01/2026, 7:49 pm</t>
        </is>
      </c>
      <c r="E240" s="4" t="inlineStr">
        <is>
          <t>Got future date</t>
        </is>
      </c>
      <c r="F240" s="4">
        <f>Daily_Visit_Log!F240</f>
        <v/>
      </c>
      <c r="G240" s="4">
        <f>Daily_Visit_Log!Y240</f>
        <v/>
      </c>
      <c r="H240" s="4">
        <f>Daily_Visit_Log!Q240</f>
        <v/>
      </c>
      <c r="I240" s="4">
        <f>IF(F240&lt;5,"YES","NO")</f>
        <v/>
      </c>
      <c r="J240" s="4">
        <f>MIN(100,IF(F240&gt;=30,50,IF(F240&gt;=15,40,IF(F240&gt;=5,25,10)))+IF(H240&gt;=50,50,IF(H240&gt;=30,40,IF(H240&gt;=20,30,IF(H240&gt;=10,20,10)))))</f>
        <v/>
      </c>
    </row>
    <row r="241">
      <c r="A241" s="3" t="n">
        <v>46038</v>
      </c>
      <c r="B241" s="4" t="inlineStr">
        <is>
          <t>Radius tech</t>
        </is>
      </c>
      <c r="C241" s="4" t="inlineStr">
        <is>
          <t>16/01/2026, 3:52 pm</t>
        </is>
      </c>
      <c r="D241" s="4" t="inlineStr">
        <is>
          <t>16/01/2026, 3:53 pm</t>
        </is>
      </c>
      <c r="E241" s="4" t="inlineStr">
        <is>
          <t>Got future date</t>
        </is>
      </c>
      <c r="F241" s="4">
        <f>Daily_Visit_Log!F241</f>
        <v/>
      </c>
      <c r="G241" s="4">
        <f>Daily_Visit_Log!Y241</f>
        <v/>
      </c>
      <c r="H241" s="4">
        <f>Daily_Visit_Log!Q241</f>
        <v/>
      </c>
      <c r="I241" s="4">
        <f>IF(F241&lt;5,"YES","NO")</f>
        <v/>
      </c>
      <c r="J241" s="4">
        <f>MIN(100,IF(F241&gt;=30,50,IF(F241&gt;=15,40,IF(F241&gt;=5,25,10)))+IF(H241&gt;=50,50,IF(H241&gt;=30,40,IF(H241&gt;=20,30,IF(H241&gt;=10,20,10)))))</f>
        <v/>
      </c>
    </row>
    <row r="242">
      <c r="A242" s="3" t="n">
        <v>46052</v>
      </c>
      <c r="B242" s="4" t="inlineStr">
        <is>
          <t>Radius tech</t>
        </is>
      </c>
      <c r="C242" s="4" t="inlineStr">
        <is>
          <t>30/01/2026, 4:37 pm</t>
        </is>
      </c>
      <c r="D242" s="4" t="inlineStr">
        <is>
          <t>30/01/2026, 4:39 pm</t>
        </is>
      </c>
      <c r="E242" s="4" t="inlineStr">
        <is>
          <t>Opportunity generated</t>
        </is>
      </c>
      <c r="F242" s="4">
        <f>Daily_Visit_Log!F242</f>
        <v/>
      </c>
      <c r="G242" s="4">
        <f>Daily_Visit_Log!Y242</f>
        <v/>
      </c>
      <c r="H242" s="4">
        <f>Daily_Visit_Log!Q242</f>
        <v/>
      </c>
      <c r="I242" s="4">
        <f>IF(F242&lt;5,"YES","NO")</f>
        <v/>
      </c>
      <c r="J242" s="4">
        <f>MIN(100,IF(F242&gt;=30,50,IF(F242&gt;=15,40,IF(F242&gt;=5,25,10)))+IF(H242&gt;=50,50,IF(H242&gt;=30,40,IF(H242&gt;=20,30,IF(H242&gt;=10,20,10)))))</f>
        <v/>
      </c>
    </row>
    <row r="243">
      <c r="A243" s="3" t="n">
        <v>46031</v>
      </c>
      <c r="B243" s="4" t="inlineStr">
        <is>
          <t>Real india engineers and contractors</t>
        </is>
      </c>
      <c r="C243" s="4" t="inlineStr">
        <is>
          <t>09/01/2026, 3:25 pm</t>
        </is>
      </c>
      <c r="D243" s="4" t="inlineStr">
        <is>
          <t>09/01/2026, 3:27 pm</t>
        </is>
      </c>
      <c r="E243" s="4" t="inlineStr">
        <is>
          <t>Got future date</t>
        </is>
      </c>
      <c r="F243" s="4">
        <f>Daily_Visit_Log!F243</f>
        <v/>
      </c>
      <c r="G243" s="4">
        <f>Daily_Visit_Log!Y243</f>
        <v/>
      </c>
      <c r="H243" s="4">
        <f>Daily_Visit_Log!Q243</f>
        <v/>
      </c>
      <c r="I243" s="4">
        <f>IF(F243&lt;5,"YES","NO")</f>
        <v/>
      </c>
      <c r="J243" s="4">
        <f>MIN(100,IF(F243&gt;=30,50,IF(F243&gt;=15,40,IF(F243&gt;=5,25,10)))+IF(H243&gt;=50,50,IF(H243&gt;=30,40,IF(H243&gt;=20,30,IF(H243&gt;=10,20,10)))))</f>
        <v/>
      </c>
    </row>
    <row r="244">
      <c r="A244" s="3" t="n">
        <v>46035</v>
      </c>
      <c r="B244" s="4" t="inlineStr">
        <is>
          <t>Real india engineers and contractors</t>
        </is>
      </c>
      <c r="C244" s="4" t="inlineStr">
        <is>
          <t>13/01/2026, 7:28 pm</t>
        </is>
      </c>
      <c r="D244" s="4" t="inlineStr">
        <is>
          <t>13/01/2026, 7:29 pm</t>
        </is>
      </c>
      <c r="E244" s="4" t="inlineStr">
        <is>
          <t>Got future date</t>
        </is>
      </c>
      <c r="F244" s="4">
        <f>Daily_Visit_Log!F244</f>
        <v/>
      </c>
      <c r="G244" s="4">
        <f>Daily_Visit_Log!Y244</f>
        <v/>
      </c>
      <c r="H244" s="4">
        <f>Daily_Visit_Log!Q244</f>
        <v/>
      </c>
      <c r="I244" s="4">
        <f>IF(F244&lt;5,"YES","NO")</f>
        <v/>
      </c>
      <c r="J244" s="4">
        <f>MIN(100,IF(F244&gt;=30,50,IF(F244&gt;=15,40,IF(F244&gt;=5,25,10)))+IF(H244&gt;=50,50,IF(H244&gt;=30,40,IF(H244&gt;=20,30,IF(H244&gt;=10,20,10)))))</f>
        <v/>
      </c>
    </row>
    <row r="245">
      <c r="A245" s="3" t="n">
        <v>45973</v>
      </c>
      <c r="B245" s="4" t="inlineStr">
        <is>
          <t>S T C ASSOCIATES</t>
        </is>
      </c>
      <c r="C245" s="4" t="inlineStr">
        <is>
          <t>12/11/2025, 1:37 pm</t>
        </is>
      </c>
      <c r="D245" s="4" t="inlineStr">
        <is>
          <t>12/11/2025, 1:38 pm</t>
        </is>
      </c>
      <c r="E245" s="4" t="inlineStr">
        <is>
          <t>Got future date</t>
        </is>
      </c>
      <c r="F245" s="4">
        <f>Daily_Visit_Log!F245</f>
        <v/>
      </c>
      <c r="G245" s="4">
        <f>Daily_Visit_Log!Y245</f>
        <v/>
      </c>
      <c r="H245" s="4">
        <f>Daily_Visit_Log!Q245</f>
        <v/>
      </c>
      <c r="I245" s="4">
        <f>IF(F245&lt;5,"YES","NO")</f>
        <v/>
      </c>
      <c r="J245" s="4">
        <f>MIN(100,IF(F245&gt;=30,50,IF(F245&gt;=15,40,IF(F245&gt;=5,25,10)))+IF(H245&gt;=50,50,IF(H245&gt;=30,40,IF(H245&gt;=20,30,IF(H245&gt;=10,20,10)))))</f>
        <v/>
      </c>
    </row>
    <row r="246">
      <c r="A246" s="3" t="n">
        <v>46015</v>
      </c>
      <c r="B246" s="4" t="inlineStr">
        <is>
          <t>S T C ASSOCIATES</t>
        </is>
      </c>
      <c r="C246" s="4" t="inlineStr">
        <is>
          <t>24/12/2025, 5:29 pm</t>
        </is>
      </c>
      <c r="D246" s="4" t="inlineStr">
        <is>
          <t>24/12/2025, 5:31 pm</t>
        </is>
      </c>
      <c r="E246" s="4" t="inlineStr">
        <is>
          <t>Got future date</t>
        </is>
      </c>
      <c r="F246" s="4">
        <f>Daily_Visit_Log!F246</f>
        <v/>
      </c>
      <c r="G246" s="4">
        <f>Daily_Visit_Log!Y246</f>
        <v/>
      </c>
      <c r="H246" s="4">
        <f>Daily_Visit_Log!Q246</f>
        <v/>
      </c>
      <c r="I246" s="4">
        <f>IF(F246&lt;5,"YES","NO")</f>
        <v/>
      </c>
      <c r="J246" s="4">
        <f>MIN(100,IF(F246&gt;=30,50,IF(F246&gt;=15,40,IF(F246&gt;=5,25,10)))+IF(H246&gt;=50,50,IF(H246&gt;=30,40,IF(H246&gt;=20,30,IF(H246&gt;=10,20,10)))))</f>
        <v/>
      </c>
    </row>
    <row r="247">
      <c r="A247" s="3" t="n">
        <v>46044</v>
      </c>
      <c r="B247" s="4" t="inlineStr">
        <is>
          <t>S T C ASSOCIATES</t>
        </is>
      </c>
      <c r="C247" s="4" t="inlineStr">
        <is>
          <t>22/01/2026, 3:55 pm</t>
        </is>
      </c>
      <c r="D247" s="4" t="inlineStr">
        <is>
          <t>22/01/2026, 3:56 pm</t>
        </is>
      </c>
      <c r="E247" s="4" t="inlineStr">
        <is>
          <t>Got future date</t>
        </is>
      </c>
      <c r="F247" s="4">
        <f>Daily_Visit_Log!F247</f>
        <v/>
      </c>
      <c r="G247" s="4">
        <f>Daily_Visit_Log!Y247</f>
        <v/>
      </c>
      <c r="H247" s="4">
        <f>Daily_Visit_Log!Q247</f>
        <v/>
      </c>
      <c r="I247" s="4">
        <f>IF(F247&lt;5,"YES","NO")</f>
        <v/>
      </c>
      <c r="J247" s="4">
        <f>MIN(100,IF(F247&gt;=30,50,IF(F247&gt;=15,40,IF(F247&gt;=5,25,10)))+IF(H247&gt;=50,50,IF(H247&gt;=30,40,IF(H247&gt;=20,30,IF(H247&gt;=10,20,10)))))</f>
        <v/>
      </c>
    </row>
    <row r="248">
      <c r="A248" s="3" t="n">
        <v>45975</v>
      </c>
      <c r="B248" s="4" t="inlineStr">
        <is>
          <t>SAMAY CONSTRUCTION PRIVATE LIMITED</t>
        </is>
      </c>
      <c r="C248" s="4" t="inlineStr">
        <is>
          <t>14/11/2025, 2:57 pm</t>
        </is>
      </c>
      <c r="D248" s="4" t="inlineStr">
        <is>
          <t>14/11/2025, 2:59 pm</t>
        </is>
      </c>
      <c r="E248" s="4" t="inlineStr">
        <is>
          <t>Got future date</t>
        </is>
      </c>
      <c r="F248" s="4">
        <f>Daily_Visit_Log!F248</f>
        <v/>
      </c>
      <c r="G248" s="4">
        <f>Daily_Visit_Log!Y248</f>
        <v/>
      </c>
      <c r="H248" s="4">
        <f>Daily_Visit_Log!Q248</f>
        <v/>
      </c>
      <c r="I248" s="4">
        <f>IF(F248&lt;5,"YES","NO")</f>
        <v/>
      </c>
      <c r="J248" s="4">
        <f>MIN(100,IF(F248&gt;=30,50,IF(F248&gt;=15,40,IF(F248&gt;=5,25,10)))+IF(H248&gt;=50,50,IF(H248&gt;=30,40,IF(H248&gt;=20,30,IF(H248&gt;=10,20,10)))))</f>
        <v/>
      </c>
    </row>
    <row r="249">
      <c r="A249" s="3" t="n">
        <v>45986</v>
      </c>
      <c r="B249" s="4" t="inlineStr">
        <is>
          <t>SAMAY CONSTRUCTION PRIVATE LIMITED</t>
        </is>
      </c>
      <c r="C249" s="4" t="inlineStr">
        <is>
          <t>25/11/2025, 5:00 pm</t>
        </is>
      </c>
      <c r="D249" s="4" t="inlineStr">
        <is>
          <t>25/11/2025, 5:03 pm</t>
        </is>
      </c>
      <c r="E249" s="4" t="inlineStr">
        <is>
          <t>Got future date</t>
        </is>
      </c>
      <c r="F249" s="4">
        <f>Daily_Visit_Log!F249</f>
        <v/>
      </c>
      <c r="G249" s="4">
        <f>Daily_Visit_Log!Y249</f>
        <v/>
      </c>
      <c r="H249" s="4">
        <f>Daily_Visit_Log!Q249</f>
        <v/>
      </c>
      <c r="I249" s="4">
        <f>IF(F249&lt;5,"YES","NO")</f>
        <v/>
      </c>
      <c r="J249" s="4">
        <f>MIN(100,IF(F249&gt;=30,50,IF(F249&gt;=15,40,IF(F249&gt;=5,25,10)))+IF(H249&gt;=50,50,IF(H249&gt;=30,40,IF(H249&gt;=20,30,IF(H249&gt;=10,20,10)))))</f>
        <v/>
      </c>
    </row>
    <row r="250">
      <c r="A250" s="3" t="n">
        <v>46007</v>
      </c>
      <c r="B250" s="4" t="inlineStr">
        <is>
          <t>SAMAY CONSTRUCTION PRIVATE LIMITED</t>
        </is>
      </c>
      <c r="C250" s="4" t="inlineStr">
        <is>
          <t>16/12/2025, 12:29 pm</t>
        </is>
      </c>
      <c r="D250" s="4" t="inlineStr">
        <is>
          <t>16/12/2025, 12:31 pm</t>
        </is>
      </c>
      <c r="E250" s="4" t="inlineStr">
        <is>
          <t>Got future date</t>
        </is>
      </c>
      <c r="F250" s="4">
        <f>Daily_Visit_Log!F250</f>
        <v/>
      </c>
      <c r="G250" s="4">
        <f>Daily_Visit_Log!Y250</f>
        <v/>
      </c>
      <c r="H250" s="4">
        <f>Daily_Visit_Log!Q250</f>
        <v/>
      </c>
      <c r="I250" s="4">
        <f>IF(F250&lt;5,"YES","NO")</f>
        <v/>
      </c>
      <c r="J250" s="4">
        <f>MIN(100,IF(F250&gt;=30,50,IF(F250&gt;=15,40,IF(F250&gt;=5,25,10)))+IF(H250&gt;=50,50,IF(H250&gt;=30,40,IF(H250&gt;=20,30,IF(H250&gt;=10,20,10)))))</f>
        <v/>
      </c>
    </row>
    <row r="251">
      <c r="A251" s="3" t="n">
        <v>46030</v>
      </c>
      <c r="B251" s="4" t="inlineStr">
        <is>
          <t>SAMAY CONSTRUCTION PRIVATE LIMITED</t>
        </is>
      </c>
      <c r="C251" s="4" t="inlineStr">
        <is>
          <t>08/01/2026, 1:20 pm</t>
        </is>
      </c>
      <c r="D251" s="4" t="inlineStr">
        <is>
          <t>08/01/2026, 1:25 pm</t>
        </is>
      </c>
      <c r="E251" s="4" t="inlineStr">
        <is>
          <t>Got future date</t>
        </is>
      </c>
      <c r="F251" s="4">
        <f>Daily_Visit_Log!F251</f>
        <v/>
      </c>
      <c r="G251" s="4">
        <f>Daily_Visit_Log!Y251</f>
        <v/>
      </c>
      <c r="H251" s="4">
        <f>Daily_Visit_Log!Q251</f>
        <v/>
      </c>
      <c r="I251" s="4">
        <f>IF(F251&lt;5,"YES","NO")</f>
        <v/>
      </c>
      <c r="J251" s="4">
        <f>MIN(100,IF(F251&gt;=30,50,IF(F251&gt;=15,40,IF(F251&gt;=5,25,10)))+IF(H251&gt;=50,50,IF(H251&gt;=30,40,IF(H251&gt;=20,30,IF(H251&gt;=10,20,10)))))</f>
        <v/>
      </c>
    </row>
    <row r="252">
      <c r="A252" s="3" t="n">
        <v>46049</v>
      </c>
      <c r="B252" s="4" t="inlineStr">
        <is>
          <t>SAMAY CONSTRUCTION PRIVATE LIMITED</t>
        </is>
      </c>
      <c r="C252" s="4" t="inlineStr">
        <is>
          <t>27/01/2026, 4:35 pm</t>
        </is>
      </c>
      <c r="D252" s="4" t="inlineStr">
        <is>
          <t>27/01/2026, 4:36 pm</t>
        </is>
      </c>
      <c r="E252" s="4" t="inlineStr">
        <is>
          <t>Got future date</t>
        </is>
      </c>
      <c r="F252" s="4">
        <f>Daily_Visit_Log!F252</f>
        <v/>
      </c>
      <c r="G252" s="4">
        <f>Daily_Visit_Log!Y252</f>
        <v/>
      </c>
      <c r="H252" s="4">
        <f>Daily_Visit_Log!Q252</f>
        <v/>
      </c>
      <c r="I252" s="4">
        <f>IF(F252&lt;5,"YES","NO")</f>
        <v/>
      </c>
      <c r="J252" s="4">
        <f>MIN(100,IF(F252&gt;=30,50,IF(F252&gt;=15,40,IF(F252&gt;=5,25,10)))+IF(H252&gt;=50,50,IF(H252&gt;=30,40,IF(H252&gt;=20,30,IF(H252&gt;=10,20,10)))))</f>
        <v/>
      </c>
    </row>
    <row r="253">
      <c r="A253" s="3" t="n">
        <v>45973</v>
      </c>
      <c r="B253" s="4" t="inlineStr">
        <is>
          <t>SHIVAM ENTERPRISES</t>
        </is>
      </c>
      <c r="C253" s="4" t="inlineStr">
        <is>
          <t>12/11/2025, 2:37 pm</t>
        </is>
      </c>
      <c r="D253" s="4" t="inlineStr">
        <is>
          <t>12/11/2025, 2:38 pm</t>
        </is>
      </c>
      <c r="E253" s="4" t="inlineStr">
        <is>
          <t>Got future date</t>
        </is>
      </c>
      <c r="F253" s="4">
        <f>Daily_Visit_Log!F253</f>
        <v/>
      </c>
      <c r="G253" s="4">
        <f>Daily_Visit_Log!Y253</f>
        <v/>
      </c>
      <c r="H253" s="4">
        <f>Daily_Visit_Log!Q253</f>
        <v/>
      </c>
      <c r="I253" s="4">
        <f>IF(F253&lt;5,"YES","NO")</f>
        <v/>
      </c>
      <c r="J253" s="4">
        <f>MIN(100,IF(F253&gt;=30,50,IF(F253&gt;=15,40,IF(F253&gt;=5,25,10)))+IF(H253&gt;=50,50,IF(H253&gt;=30,40,IF(H253&gt;=20,30,IF(H253&gt;=10,20,10)))))</f>
        <v/>
      </c>
    </row>
    <row r="254">
      <c r="A254" s="3" t="n">
        <v>45986</v>
      </c>
      <c r="B254" s="4" t="inlineStr">
        <is>
          <t>SHIVAM ENTERPRISES</t>
        </is>
      </c>
      <c r="C254" s="4" t="inlineStr">
        <is>
          <t>25/11/2025, 1:13 pm</t>
        </is>
      </c>
      <c r="D254" s="4" t="inlineStr">
        <is>
          <t>25/11/2025, 1:14 pm</t>
        </is>
      </c>
      <c r="E254" s="4" t="inlineStr">
        <is>
          <t>Got future date</t>
        </is>
      </c>
      <c r="F254" s="4">
        <f>Daily_Visit_Log!F254</f>
        <v/>
      </c>
      <c r="G254" s="4">
        <f>Daily_Visit_Log!Y254</f>
        <v/>
      </c>
      <c r="H254" s="4">
        <f>Daily_Visit_Log!Q254</f>
        <v/>
      </c>
      <c r="I254" s="4">
        <f>IF(F254&lt;5,"YES","NO")</f>
        <v/>
      </c>
      <c r="J254" s="4">
        <f>MIN(100,IF(F254&gt;=30,50,IF(F254&gt;=15,40,IF(F254&gt;=5,25,10)))+IF(H254&gt;=50,50,IF(H254&gt;=30,40,IF(H254&gt;=20,30,IF(H254&gt;=10,20,10)))))</f>
        <v/>
      </c>
    </row>
    <row r="255">
      <c r="A255" s="3" t="n">
        <v>46002</v>
      </c>
      <c r="B255" s="4" t="inlineStr">
        <is>
          <t>SHIVAM ENTERPRISES</t>
        </is>
      </c>
      <c r="C255" s="4" t="inlineStr">
        <is>
          <t>11/12/2025, 5:26 pm</t>
        </is>
      </c>
      <c r="D255" s="4" t="inlineStr">
        <is>
          <t>11/12/2025, 5:27 pm</t>
        </is>
      </c>
      <c r="E255" s="4" t="inlineStr">
        <is>
          <t>Got future date</t>
        </is>
      </c>
      <c r="F255" s="4">
        <f>Daily_Visit_Log!F255</f>
        <v/>
      </c>
      <c r="G255" s="4">
        <f>Daily_Visit_Log!Y255</f>
        <v/>
      </c>
      <c r="H255" s="4">
        <f>Daily_Visit_Log!Q255</f>
        <v/>
      </c>
      <c r="I255" s="4">
        <f>IF(F255&lt;5,"YES","NO")</f>
        <v/>
      </c>
      <c r="J255" s="4">
        <f>MIN(100,IF(F255&gt;=30,50,IF(F255&gt;=15,40,IF(F255&gt;=5,25,10)))+IF(H255&gt;=50,50,IF(H255&gt;=30,40,IF(H255&gt;=20,30,IF(H255&gt;=10,20,10)))))</f>
        <v/>
      </c>
    </row>
    <row r="256">
      <c r="A256" s="3" t="n">
        <v>46036</v>
      </c>
      <c r="B256" s="4" t="inlineStr">
        <is>
          <t>SHIVAM ENTERPRISES</t>
        </is>
      </c>
      <c r="C256" s="4" t="inlineStr">
        <is>
          <t>14/01/2026, 4:54 pm</t>
        </is>
      </c>
      <c r="D256" s="4" t="inlineStr">
        <is>
          <t>14/01/2026, 4:56 pm</t>
        </is>
      </c>
      <c r="E256" s="4" t="inlineStr">
        <is>
          <t>Got future date</t>
        </is>
      </c>
      <c r="F256" s="4">
        <f>Daily_Visit_Log!F256</f>
        <v/>
      </c>
      <c r="G256" s="4">
        <f>Daily_Visit_Log!Y256</f>
        <v/>
      </c>
      <c r="H256" s="4">
        <f>Daily_Visit_Log!Q256</f>
        <v/>
      </c>
      <c r="I256" s="4">
        <f>IF(F256&lt;5,"YES","NO")</f>
        <v/>
      </c>
      <c r="J256" s="4">
        <f>MIN(100,IF(F256&gt;=30,50,IF(F256&gt;=15,40,IF(F256&gt;=5,25,10)))+IF(H256&gt;=50,50,IF(H256&gt;=30,40,IF(H256&gt;=20,30,IF(H256&gt;=10,20,10)))))</f>
        <v/>
      </c>
    </row>
    <row r="257">
      <c r="A257" s="3" t="n">
        <v>45971</v>
      </c>
      <c r="B257" s="4" t="inlineStr">
        <is>
          <t>SHREE BALAJI INFRASTRUCTURE AND TRADING CO</t>
        </is>
      </c>
      <c r="C257" s="4" t="inlineStr">
        <is>
          <t>10/11/2025, 9:50 am</t>
        </is>
      </c>
      <c r="D257" s="4" t="inlineStr">
        <is>
          <t>10/11/2025, 9:51 am</t>
        </is>
      </c>
      <c r="E257" s="4" t="inlineStr">
        <is>
          <t>Account created</t>
        </is>
      </c>
      <c r="F257" s="4">
        <f>Daily_Visit_Log!F257</f>
        <v/>
      </c>
      <c r="G257" s="4">
        <f>Daily_Visit_Log!Y257</f>
        <v/>
      </c>
      <c r="H257" s="4">
        <f>Daily_Visit_Log!Q257</f>
        <v/>
      </c>
      <c r="I257" s="4">
        <f>IF(F257&lt;5,"YES","NO")</f>
        <v/>
      </c>
      <c r="J257" s="4">
        <f>MIN(100,IF(F257&gt;=30,50,IF(F257&gt;=15,40,IF(F257&gt;=5,25,10)))+IF(H257&gt;=50,50,IF(H257&gt;=30,40,IF(H257&gt;=20,30,IF(H257&gt;=10,20,10)))))</f>
        <v/>
      </c>
    </row>
    <row r="258">
      <c r="A258" s="3" t="n">
        <v>45974</v>
      </c>
      <c r="B258" s="4" t="inlineStr">
        <is>
          <t>SOIL TO SKY PROJECTS PRIVATE LIMITED</t>
        </is>
      </c>
      <c r="C258" s="4" t="inlineStr">
        <is>
          <t>13/11/2025, 11:36 am</t>
        </is>
      </c>
      <c r="D258" s="4" t="inlineStr">
        <is>
          <t>13/11/2025, 11:37 am</t>
        </is>
      </c>
      <c r="E258" s="4" t="inlineStr">
        <is>
          <t>Got future date</t>
        </is>
      </c>
      <c r="F258" s="4">
        <f>Daily_Visit_Log!F258</f>
        <v/>
      </c>
      <c r="G258" s="4">
        <f>Daily_Visit_Log!Y258</f>
        <v/>
      </c>
      <c r="H258" s="4">
        <f>Daily_Visit_Log!Q258</f>
        <v/>
      </c>
      <c r="I258" s="4">
        <f>IF(F258&lt;5,"YES","NO")</f>
        <v/>
      </c>
      <c r="J258" s="4">
        <f>MIN(100,IF(F258&gt;=30,50,IF(F258&gt;=15,40,IF(F258&gt;=5,25,10)))+IF(H258&gt;=50,50,IF(H258&gt;=30,40,IF(H258&gt;=20,30,IF(H258&gt;=10,20,10)))))</f>
        <v/>
      </c>
    </row>
    <row r="259">
      <c r="A259" s="3" t="n">
        <v>45996</v>
      </c>
      <c r="B259" s="4" t="inlineStr">
        <is>
          <t>SOIL TO SKY PROJECTS PRIVATE LIMITED</t>
        </is>
      </c>
      <c r="C259" s="4" t="inlineStr">
        <is>
          <t>05/12/2025, 10:40 am</t>
        </is>
      </c>
      <c r="D259" s="4" t="inlineStr">
        <is>
          <t>05/12/2025, 10:41 am</t>
        </is>
      </c>
      <c r="E259" s="4" t="inlineStr">
        <is>
          <t>Got future date</t>
        </is>
      </c>
      <c r="F259" s="4">
        <f>Daily_Visit_Log!F259</f>
        <v/>
      </c>
      <c r="G259" s="4">
        <f>Daily_Visit_Log!Y259</f>
        <v/>
      </c>
      <c r="H259" s="4">
        <f>Daily_Visit_Log!Q259</f>
        <v/>
      </c>
      <c r="I259" s="4">
        <f>IF(F259&lt;5,"YES","NO")</f>
        <v/>
      </c>
      <c r="J259" s="4">
        <f>MIN(100,IF(F259&gt;=30,50,IF(F259&gt;=15,40,IF(F259&gt;=5,25,10)))+IF(H259&gt;=50,50,IF(H259&gt;=30,40,IF(H259&gt;=20,30,IF(H259&gt;=10,20,10)))))</f>
        <v/>
      </c>
    </row>
    <row r="260">
      <c r="A260" s="3" t="n">
        <v>46001</v>
      </c>
      <c r="B260" s="4" t="inlineStr">
        <is>
          <t>SOIL TO SKY PROJECTS PRIVATE LIMITED</t>
        </is>
      </c>
      <c r="C260" s="4" t="inlineStr">
        <is>
          <t>10/12/2025, 11:43 am</t>
        </is>
      </c>
      <c r="D260" s="4" t="inlineStr">
        <is>
          <t>10/12/2025, 11:44 am</t>
        </is>
      </c>
      <c r="E260" s="4" t="inlineStr">
        <is>
          <t>Got future date</t>
        </is>
      </c>
      <c r="F260" s="4">
        <f>Daily_Visit_Log!F260</f>
        <v/>
      </c>
      <c r="G260" s="4">
        <f>Daily_Visit_Log!Y260</f>
        <v/>
      </c>
      <c r="H260" s="4">
        <f>Daily_Visit_Log!Q260</f>
        <v/>
      </c>
      <c r="I260" s="4">
        <f>IF(F260&lt;5,"YES","NO")</f>
        <v/>
      </c>
      <c r="J260" s="4">
        <f>MIN(100,IF(F260&gt;=30,50,IF(F260&gt;=15,40,IF(F260&gt;=5,25,10)))+IF(H260&gt;=50,50,IF(H260&gt;=30,40,IF(H260&gt;=20,30,IF(H260&gt;=10,20,10)))))</f>
        <v/>
      </c>
    </row>
    <row r="261">
      <c r="A261" s="3" t="n">
        <v>46010</v>
      </c>
      <c r="B261" s="4" t="inlineStr">
        <is>
          <t>SOIL TO SKY PROJECTS PRIVATE LIMITED</t>
        </is>
      </c>
      <c r="C261" s="4" t="inlineStr">
        <is>
          <t>19/12/2025, 10:35 am</t>
        </is>
      </c>
      <c r="D261" s="4" t="inlineStr">
        <is>
          <t>19/12/2025, 10:37 am</t>
        </is>
      </c>
      <c r="E261" s="4" t="inlineStr">
        <is>
          <t>Got future date</t>
        </is>
      </c>
      <c r="F261" s="4">
        <f>Daily_Visit_Log!F261</f>
        <v/>
      </c>
      <c r="G261" s="4">
        <f>Daily_Visit_Log!Y261</f>
        <v/>
      </c>
      <c r="H261" s="4">
        <f>Daily_Visit_Log!Q261</f>
        <v/>
      </c>
      <c r="I261" s="4">
        <f>IF(F261&lt;5,"YES","NO")</f>
        <v/>
      </c>
      <c r="J261" s="4">
        <f>MIN(100,IF(F261&gt;=30,50,IF(F261&gt;=15,40,IF(F261&gt;=5,25,10)))+IF(H261&gt;=50,50,IF(H261&gt;=30,40,IF(H261&gt;=20,30,IF(H261&gt;=10,20,10)))))</f>
        <v/>
      </c>
    </row>
    <row r="262">
      <c r="A262" s="3" t="n">
        <v>46022</v>
      </c>
      <c r="B262" s="4" t="inlineStr">
        <is>
          <t>SOIL TO SKY PROJECTS PRIVATE LIMITED</t>
        </is>
      </c>
      <c r="C262" s="4" t="inlineStr">
        <is>
          <t>31/12/2025, 4:24 pm</t>
        </is>
      </c>
      <c r="D262" s="4" t="inlineStr">
        <is>
          <t>31/12/2025, 4:26 pm</t>
        </is>
      </c>
      <c r="E262" s="4" t="inlineStr">
        <is>
          <t>Got future date</t>
        </is>
      </c>
      <c r="F262" s="4">
        <f>Daily_Visit_Log!F262</f>
        <v/>
      </c>
      <c r="G262" s="4">
        <f>Daily_Visit_Log!Y262</f>
        <v/>
      </c>
      <c r="H262" s="4">
        <f>Daily_Visit_Log!Q262</f>
        <v/>
      </c>
      <c r="I262" s="4">
        <f>IF(F262&lt;5,"YES","NO")</f>
        <v/>
      </c>
      <c r="J262" s="4">
        <f>MIN(100,IF(F262&gt;=30,50,IF(F262&gt;=15,40,IF(F262&gt;=5,25,10)))+IF(H262&gt;=50,50,IF(H262&gt;=30,40,IF(H262&gt;=20,30,IF(H262&gt;=10,20,10)))))</f>
        <v/>
      </c>
    </row>
    <row r="263">
      <c r="A263" s="3" t="n">
        <v>46029</v>
      </c>
      <c r="B263" s="4" t="inlineStr">
        <is>
          <t>SOIL TO SKY PROJECTS PRIVATE LIMITED</t>
        </is>
      </c>
      <c r="C263" s="4" t="inlineStr">
        <is>
          <t>07/01/2026, 6:42 pm</t>
        </is>
      </c>
      <c r="D263" s="4" t="inlineStr">
        <is>
          <t>07/01/2026, 6:42 pm</t>
        </is>
      </c>
      <c r="E263" s="4" t="inlineStr">
        <is>
          <t>Got future date</t>
        </is>
      </c>
      <c r="F263" s="4">
        <f>Daily_Visit_Log!F263</f>
        <v/>
      </c>
      <c r="G263" s="4">
        <f>Daily_Visit_Log!Y263</f>
        <v/>
      </c>
      <c r="H263" s="4">
        <f>Daily_Visit_Log!Q263</f>
        <v/>
      </c>
      <c r="I263" s="4">
        <f>IF(F263&lt;5,"YES","NO")</f>
        <v/>
      </c>
      <c r="J263" s="4">
        <f>MIN(100,IF(F263&gt;=30,50,IF(F263&gt;=15,40,IF(F263&gt;=5,25,10)))+IF(H263&gt;=50,50,IF(H263&gt;=30,40,IF(H263&gt;=20,30,IF(H263&gt;=10,20,10)))))</f>
        <v/>
      </c>
    </row>
    <row r="264">
      <c r="A264" s="3" t="n">
        <v>46034</v>
      </c>
      <c r="B264" s="4" t="inlineStr">
        <is>
          <t>SOIL TO SKY PROJECTS PRIVATE LIMITED</t>
        </is>
      </c>
      <c r="C264" s="4" t="inlineStr">
        <is>
          <t>12/01/2026, 7:17 pm</t>
        </is>
      </c>
      <c r="D264" s="4" t="inlineStr">
        <is>
          <t>12/01/2026, 7:25 pm</t>
        </is>
      </c>
      <c r="E264" s="4" t="inlineStr">
        <is>
          <t>Got future date</t>
        </is>
      </c>
      <c r="F264" s="4">
        <f>Daily_Visit_Log!F264</f>
        <v/>
      </c>
      <c r="G264" s="4">
        <f>Daily_Visit_Log!Y264</f>
        <v/>
      </c>
      <c r="H264" s="4">
        <f>Daily_Visit_Log!Q264</f>
        <v/>
      </c>
      <c r="I264" s="4">
        <f>IF(F264&lt;5,"YES","NO")</f>
        <v/>
      </c>
      <c r="J264" s="4">
        <f>MIN(100,IF(F264&gt;=30,50,IF(F264&gt;=15,40,IF(F264&gt;=5,25,10)))+IF(H264&gt;=50,50,IF(H264&gt;=30,40,IF(H264&gt;=20,30,IF(H264&gt;=10,20,10)))))</f>
        <v/>
      </c>
    </row>
    <row r="265">
      <c r="A265" s="3" t="n">
        <v>46043</v>
      </c>
      <c r="B265" s="4" t="inlineStr">
        <is>
          <t>SOIL TO SKY PROJECTS PRIVATE LIMITED</t>
        </is>
      </c>
      <c r="C265" s="4" t="inlineStr">
        <is>
          <t>21/01/2026, 5:10 pm</t>
        </is>
      </c>
      <c r="D265" s="4" t="inlineStr">
        <is>
          <t>21/01/2026, 5:16 pm</t>
        </is>
      </c>
      <c r="E265" s="4" t="inlineStr">
        <is>
          <t>Got future date</t>
        </is>
      </c>
      <c r="F265" s="4">
        <f>Daily_Visit_Log!F265</f>
        <v/>
      </c>
      <c r="G265" s="4">
        <f>Daily_Visit_Log!Y265</f>
        <v/>
      </c>
      <c r="H265" s="4">
        <f>Daily_Visit_Log!Q265</f>
        <v/>
      </c>
      <c r="I265" s="4">
        <f>IF(F265&lt;5,"YES","NO")</f>
        <v/>
      </c>
      <c r="J265" s="4">
        <f>MIN(100,IF(F265&gt;=30,50,IF(F265&gt;=15,40,IF(F265&gt;=5,25,10)))+IF(H265&gt;=50,50,IF(H265&gt;=30,40,IF(H265&gt;=20,30,IF(H265&gt;=10,20,10)))))</f>
        <v/>
      </c>
    </row>
    <row r="266">
      <c r="A266" s="3" t="n">
        <v>46045</v>
      </c>
      <c r="B266" s="4" t="inlineStr">
        <is>
          <t>SOIL TO SKY PROJECTS PRIVATE LIMITED</t>
        </is>
      </c>
      <c r="C266" s="4" t="inlineStr">
        <is>
          <t>23/01/2026, 6:06 pm</t>
        </is>
      </c>
      <c r="D266" s="4" t="inlineStr">
        <is>
          <t>23/01/2026, 6:10 pm</t>
        </is>
      </c>
      <c r="E266" s="4" t="inlineStr">
        <is>
          <t>Got future date</t>
        </is>
      </c>
      <c r="F266" s="4">
        <f>Daily_Visit_Log!F266</f>
        <v/>
      </c>
      <c r="G266" s="4">
        <f>Daily_Visit_Log!Y266</f>
        <v/>
      </c>
      <c r="H266" s="4">
        <f>Daily_Visit_Log!Q266</f>
        <v/>
      </c>
      <c r="I266" s="4">
        <f>IF(F266&lt;5,"YES","NO")</f>
        <v/>
      </c>
      <c r="J266" s="4">
        <f>MIN(100,IF(F266&gt;=30,50,IF(F266&gt;=15,40,IF(F266&gt;=5,25,10)))+IF(H266&gt;=50,50,IF(H266&gt;=30,40,IF(H266&gt;=20,30,IF(H266&gt;=10,20,10)))))</f>
        <v/>
      </c>
    </row>
    <row r="267">
      <c r="A267" s="3" t="n">
        <v>46052</v>
      </c>
      <c r="B267" s="4" t="inlineStr">
        <is>
          <t>SOIL TO SKY PROJECTS PRIVATE LIMITED</t>
        </is>
      </c>
      <c r="C267" s="4" t="inlineStr">
        <is>
          <t>30/01/2026, 10:51 am</t>
        </is>
      </c>
      <c r="D267" s="4" t="inlineStr">
        <is>
          <t>30/01/2026, 10:53 am</t>
        </is>
      </c>
      <c r="E267" s="4" t="inlineStr">
        <is>
          <t>Got future date</t>
        </is>
      </c>
      <c r="F267" s="4">
        <f>Daily_Visit_Log!F267</f>
        <v/>
      </c>
      <c r="G267" s="4">
        <f>Daily_Visit_Log!Y267</f>
        <v/>
      </c>
      <c r="H267" s="4">
        <f>Daily_Visit_Log!Q267</f>
        <v/>
      </c>
      <c r="I267" s="4">
        <f>IF(F267&lt;5,"YES","NO")</f>
        <v/>
      </c>
      <c r="J267" s="4">
        <f>MIN(100,IF(F267&gt;=30,50,IF(F267&gt;=15,40,IF(F267&gt;=5,25,10)))+IF(H267&gt;=50,50,IF(H267&gt;=30,40,IF(H267&gt;=20,30,IF(H267&gt;=10,20,10)))))</f>
        <v/>
      </c>
    </row>
    <row r="268">
      <c r="A268" s="3" t="n">
        <v>45994</v>
      </c>
      <c r="B268" s="4" t="inlineStr">
        <is>
          <t>SRI JAGANNATH TRADERS</t>
        </is>
      </c>
      <c r="C268" s="4" t="inlineStr">
        <is>
          <t>03/12/2025, 5:15 pm</t>
        </is>
      </c>
      <c r="D268" s="4" t="inlineStr">
        <is>
          <t>03/12/2025, 5:16 pm</t>
        </is>
      </c>
      <c r="E268" s="4" t="inlineStr">
        <is>
          <t>Got future date</t>
        </is>
      </c>
      <c r="F268" s="4">
        <f>Daily_Visit_Log!F268</f>
        <v/>
      </c>
      <c r="G268" s="4">
        <f>Daily_Visit_Log!Y268</f>
        <v/>
      </c>
      <c r="H268" s="4">
        <f>Daily_Visit_Log!Q268</f>
        <v/>
      </c>
      <c r="I268" s="4">
        <f>IF(F268&lt;5,"YES","NO")</f>
        <v/>
      </c>
      <c r="J268" s="4">
        <f>MIN(100,IF(F268&gt;=30,50,IF(F268&gt;=15,40,IF(F268&gt;=5,25,10)))+IF(H268&gt;=50,50,IF(H268&gt;=30,40,IF(H268&gt;=20,30,IF(H268&gt;=10,20,10)))))</f>
        <v/>
      </c>
    </row>
    <row r="269">
      <c r="A269" s="3" t="n">
        <v>46045</v>
      </c>
      <c r="B269" s="4" t="inlineStr">
        <is>
          <t>SRI JAGANNATH TRADERS</t>
        </is>
      </c>
      <c r="C269" s="4" t="inlineStr">
        <is>
          <t>23/01/2026, 1:45 pm</t>
        </is>
      </c>
      <c r="D269" s="4" t="inlineStr">
        <is>
          <t>23/01/2026, 1:46 pm</t>
        </is>
      </c>
      <c r="E269" s="4" t="inlineStr">
        <is>
          <t>Got future date</t>
        </is>
      </c>
      <c r="F269" s="4">
        <f>Daily_Visit_Log!F269</f>
        <v/>
      </c>
      <c r="G269" s="4">
        <f>Daily_Visit_Log!Y269</f>
        <v/>
      </c>
      <c r="H269" s="4">
        <f>Daily_Visit_Log!Q269</f>
        <v/>
      </c>
      <c r="I269" s="4">
        <f>IF(F269&lt;5,"YES","NO")</f>
        <v/>
      </c>
      <c r="J269" s="4">
        <f>MIN(100,IF(F269&gt;=30,50,IF(F269&gt;=15,40,IF(F269&gt;=5,25,10)))+IF(H269&gt;=50,50,IF(H269&gt;=30,40,IF(H269&gt;=20,30,IF(H269&gt;=10,20,10)))))</f>
        <v/>
      </c>
    </row>
    <row r="270">
      <c r="A270" s="3" t="n">
        <v>45967</v>
      </c>
      <c r="B270" s="4" t="inlineStr">
        <is>
          <t>SRISHTI DESIGNER</t>
        </is>
      </c>
      <c r="C270" s="4" t="inlineStr">
        <is>
          <t>06/11/2025, 11:53 am</t>
        </is>
      </c>
      <c r="D270" s="4" t="inlineStr">
        <is>
          <t>06/11/2025, 11:54 am</t>
        </is>
      </c>
      <c r="E270" s="4" t="inlineStr">
        <is>
          <t>Got future date</t>
        </is>
      </c>
      <c r="F270" s="4">
        <f>Daily_Visit_Log!F270</f>
        <v/>
      </c>
      <c r="G270" s="4">
        <f>Daily_Visit_Log!Y270</f>
        <v/>
      </c>
      <c r="H270" s="4">
        <f>Daily_Visit_Log!Q270</f>
        <v/>
      </c>
      <c r="I270" s="4">
        <f>IF(F270&lt;5,"YES","NO")</f>
        <v/>
      </c>
      <c r="J270" s="4">
        <f>MIN(100,IF(F270&gt;=30,50,IF(F270&gt;=15,40,IF(F270&gt;=5,25,10)))+IF(H270&gt;=50,50,IF(H270&gt;=30,40,IF(H270&gt;=20,30,IF(H270&gt;=10,20,10)))))</f>
        <v/>
      </c>
    </row>
    <row r="271">
      <c r="A271" s="3" t="n">
        <v>45975</v>
      </c>
      <c r="B271" s="4" t="inlineStr">
        <is>
          <t>SRISHTI DESIGNER</t>
        </is>
      </c>
      <c r="C271" s="4" t="inlineStr">
        <is>
          <t>14/11/2025, 4:16 pm</t>
        </is>
      </c>
      <c r="D271" s="4" t="inlineStr">
        <is>
          <t>14/11/2025, 4:17 pm</t>
        </is>
      </c>
      <c r="E271" s="4" t="inlineStr">
        <is>
          <t>Got future date</t>
        </is>
      </c>
      <c r="F271" s="4">
        <f>Daily_Visit_Log!F271</f>
        <v/>
      </c>
      <c r="G271" s="4">
        <f>Daily_Visit_Log!Y271</f>
        <v/>
      </c>
      <c r="H271" s="4">
        <f>Daily_Visit_Log!Q271</f>
        <v/>
      </c>
      <c r="I271" s="4">
        <f>IF(F271&lt;5,"YES","NO")</f>
        <v/>
      </c>
      <c r="J271" s="4">
        <f>MIN(100,IF(F271&gt;=30,50,IF(F271&gt;=15,40,IF(F271&gt;=5,25,10)))+IF(H271&gt;=50,50,IF(H271&gt;=30,40,IF(H271&gt;=20,30,IF(H271&gt;=10,20,10)))))</f>
        <v/>
      </c>
    </row>
    <row r="272">
      <c r="A272" s="3" t="n">
        <v>45982</v>
      </c>
      <c r="B272" s="4" t="inlineStr">
        <is>
          <t>SRISHTI DESIGNER</t>
        </is>
      </c>
      <c r="C272" s="4" t="inlineStr">
        <is>
          <t>21/11/2025, 3:31 pm</t>
        </is>
      </c>
      <c r="D272" s="4" t="inlineStr">
        <is>
          <t>21/11/2025, 3:32 pm</t>
        </is>
      </c>
      <c r="E272" s="4" t="inlineStr">
        <is>
          <t>Got future date</t>
        </is>
      </c>
      <c r="F272" s="4">
        <f>Daily_Visit_Log!F272</f>
        <v/>
      </c>
      <c r="G272" s="4">
        <f>Daily_Visit_Log!Y272</f>
        <v/>
      </c>
      <c r="H272" s="4">
        <f>Daily_Visit_Log!Q272</f>
        <v/>
      </c>
      <c r="I272" s="4">
        <f>IF(F272&lt;5,"YES","NO")</f>
        <v/>
      </c>
      <c r="J272" s="4">
        <f>MIN(100,IF(F272&gt;=30,50,IF(F272&gt;=15,40,IF(F272&gt;=5,25,10)))+IF(H272&gt;=50,50,IF(H272&gt;=30,40,IF(H272&gt;=20,30,IF(H272&gt;=10,20,10)))))</f>
        <v/>
      </c>
    </row>
    <row r="273">
      <c r="A273" s="3" t="n">
        <v>46013</v>
      </c>
      <c r="B273" s="4" t="inlineStr">
        <is>
          <t>SRISHTI DESIGNER</t>
        </is>
      </c>
      <c r="C273" s="4" t="inlineStr">
        <is>
          <t>22/12/2025, 8:06 pm</t>
        </is>
      </c>
      <c r="D273" s="4" t="inlineStr">
        <is>
          <t>22/12/2025, 8:09 pm</t>
        </is>
      </c>
      <c r="E273" s="4" t="inlineStr">
        <is>
          <t>Got future date</t>
        </is>
      </c>
      <c r="F273" s="4">
        <f>Daily_Visit_Log!F273</f>
        <v/>
      </c>
      <c r="G273" s="4">
        <f>Daily_Visit_Log!Y273</f>
        <v/>
      </c>
      <c r="H273" s="4">
        <f>Daily_Visit_Log!Q273</f>
        <v/>
      </c>
      <c r="I273" s="4">
        <f>IF(F273&lt;5,"YES","NO")</f>
        <v/>
      </c>
      <c r="J273" s="4">
        <f>MIN(100,IF(F273&gt;=30,50,IF(F273&gt;=15,40,IF(F273&gt;=5,25,10)))+IF(H273&gt;=50,50,IF(H273&gt;=30,40,IF(H273&gt;=20,30,IF(H273&gt;=10,20,10)))))</f>
        <v/>
      </c>
    </row>
    <row r="274">
      <c r="A274" s="3" t="n">
        <v>46030</v>
      </c>
      <c r="B274" s="4" t="inlineStr">
        <is>
          <t>SRISHTI DESIGNER</t>
        </is>
      </c>
      <c r="C274" s="4" t="inlineStr">
        <is>
          <t>08/01/2026, 5:13 pm</t>
        </is>
      </c>
      <c r="D274" s="4" t="inlineStr">
        <is>
          <t>08/01/2026, 5:15 pm</t>
        </is>
      </c>
      <c r="E274" s="4" t="inlineStr">
        <is>
          <t>Got future date</t>
        </is>
      </c>
      <c r="F274" s="4">
        <f>Daily_Visit_Log!F274</f>
        <v/>
      </c>
      <c r="G274" s="4">
        <f>Daily_Visit_Log!Y274</f>
        <v/>
      </c>
      <c r="H274" s="4">
        <f>Daily_Visit_Log!Q274</f>
        <v/>
      </c>
      <c r="I274" s="4">
        <f>IF(F274&lt;5,"YES","NO")</f>
        <v/>
      </c>
      <c r="J274" s="4">
        <f>MIN(100,IF(F274&gt;=30,50,IF(F274&gt;=15,40,IF(F274&gt;=5,25,10)))+IF(H274&gt;=50,50,IF(H274&gt;=30,40,IF(H274&gt;=20,30,IF(H274&gt;=10,20,10)))))</f>
        <v/>
      </c>
    </row>
    <row r="275">
      <c r="A275" s="3" t="n">
        <v>46038</v>
      </c>
      <c r="B275" s="4" t="inlineStr">
        <is>
          <t>SRISHTI DESIGNER</t>
        </is>
      </c>
      <c r="C275" s="4" t="inlineStr">
        <is>
          <t>16/01/2026, 10:55 am</t>
        </is>
      </c>
      <c r="D275" s="4" t="inlineStr">
        <is>
          <t>16/01/2026, 10:56 am</t>
        </is>
      </c>
      <c r="E275" s="4" t="inlineStr">
        <is>
          <t>Got future date</t>
        </is>
      </c>
      <c r="F275" s="4">
        <f>Daily_Visit_Log!F275</f>
        <v/>
      </c>
      <c r="G275" s="4">
        <f>Daily_Visit_Log!Y275</f>
        <v/>
      </c>
      <c r="H275" s="4">
        <f>Daily_Visit_Log!Q275</f>
        <v/>
      </c>
      <c r="I275" s="4">
        <f>IF(F275&lt;5,"YES","NO")</f>
        <v/>
      </c>
      <c r="J275" s="4">
        <f>MIN(100,IF(F275&gt;=30,50,IF(F275&gt;=15,40,IF(F275&gt;=5,25,10)))+IF(H275&gt;=50,50,IF(H275&gt;=30,40,IF(H275&gt;=20,30,IF(H275&gt;=10,20,10)))))</f>
        <v/>
      </c>
    </row>
    <row r="276">
      <c r="A276" s="3" t="n">
        <v>46006</v>
      </c>
      <c r="B276" s="4" t="inlineStr">
        <is>
          <t>Sahu construction</t>
        </is>
      </c>
      <c r="C276" s="4" t="inlineStr">
        <is>
          <t>15/12/2025, 2:06 pm</t>
        </is>
      </c>
      <c r="D276" s="4" t="inlineStr">
        <is>
          <t>15/12/2025, 2:07 pm</t>
        </is>
      </c>
      <c r="E276" s="4" t="inlineStr">
        <is>
          <t>Got future date</t>
        </is>
      </c>
      <c r="F276" s="4">
        <f>Daily_Visit_Log!F276</f>
        <v/>
      </c>
      <c r="G276" s="4">
        <f>Daily_Visit_Log!Y276</f>
        <v/>
      </c>
      <c r="H276" s="4">
        <f>Daily_Visit_Log!Q276</f>
        <v/>
      </c>
      <c r="I276" s="4">
        <f>IF(F276&lt;5,"YES","NO")</f>
        <v/>
      </c>
      <c r="J276" s="4">
        <f>MIN(100,IF(F276&gt;=30,50,IF(F276&gt;=15,40,IF(F276&gt;=5,25,10)))+IF(H276&gt;=50,50,IF(H276&gt;=30,40,IF(H276&gt;=20,30,IF(H276&gt;=10,20,10)))))</f>
        <v/>
      </c>
    </row>
    <row r="277">
      <c r="A277" s="3" t="n">
        <v>46010</v>
      </c>
      <c r="B277" s="4" t="inlineStr">
        <is>
          <t>Sahu construction</t>
        </is>
      </c>
      <c r="C277" s="4" t="inlineStr">
        <is>
          <t>19/12/2025, 6:10 pm</t>
        </is>
      </c>
      <c r="D277" s="4" t="inlineStr">
        <is>
          <t>19/12/2025, 6:11 pm</t>
        </is>
      </c>
      <c r="E277" s="4" t="inlineStr">
        <is>
          <t>Got future date</t>
        </is>
      </c>
      <c r="F277" s="4">
        <f>Daily_Visit_Log!F277</f>
        <v/>
      </c>
      <c r="G277" s="4">
        <f>Daily_Visit_Log!Y277</f>
        <v/>
      </c>
      <c r="H277" s="4">
        <f>Daily_Visit_Log!Q277</f>
        <v/>
      </c>
      <c r="I277" s="4">
        <f>IF(F277&lt;5,"YES","NO")</f>
        <v/>
      </c>
      <c r="J277" s="4">
        <f>MIN(100,IF(F277&gt;=30,50,IF(F277&gt;=15,40,IF(F277&gt;=5,25,10)))+IF(H277&gt;=50,50,IF(H277&gt;=30,40,IF(H277&gt;=20,30,IF(H277&gt;=10,20,10)))))</f>
        <v/>
      </c>
    </row>
    <row r="278">
      <c r="A278" s="3" t="n">
        <v>46022</v>
      </c>
      <c r="B278" s="4" t="inlineStr">
        <is>
          <t>Sahu construction</t>
        </is>
      </c>
      <c r="C278" s="4" t="inlineStr">
        <is>
          <t>31/12/2025, 5:31 pm</t>
        </is>
      </c>
      <c r="D278" s="4" t="inlineStr">
        <is>
          <t>31/12/2025, 5:34 pm</t>
        </is>
      </c>
      <c r="E278" s="4" t="inlineStr">
        <is>
          <t>Got future date</t>
        </is>
      </c>
      <c r="F278" s="4">
        <f>Daily_Visit_Log!F278</f>
        <v/>
      </c>
      <c r="G278" s="4">
        <f>Daily_Visit_Log!Y278</f>
        <v/>
      </c>
      <c r="H278" s="4">
        <f>Daily_Visit_Log!Q278</f>
        <v/>
      </c>
      <c r="I278" s="4">
        <f>IF(F278&lt;5,"YES","NO")</f>
        <v/>
      </c>
      <c r="J278" s="4">
        <f>MIN(100,IF(F278&gt;=30,50,IF(F278&gt;=15,40,IF(F278&gt;=5,25,10)))+IF(H278&gt;=50,50,IF(H278&gt;=30,40,IF(H278&gt;=20,30,IF(H278&gt;=10,20,10)))))</f>
        <v/>
      </c>
    </row>
    <row r="279">
      <c r="A279" s="3" t="n">
        <v>46034</v>
      </c>
      <c r="B279" s="4" t="inlineStr">
        <is>
          <t>Sahu construction</t>
        </is>
      </c>
      <c r="C279" s="4" t="inlineStr">
        <is>
          <t>12/01/2026, 1:32 pm</t>
        </is>
      </c>
      <c r="D279" s="4" t="inlineStr">
        <is>
          <t>12/01/2026, 1:33 pm</t>
        </is>
      </c>
      <c r="E279" s="4" t="inlineStr">
        <is>
          <t>Got future date</t>
        </is>
      </c>
      <c r="F279" s="4">
        <f>Daily_Visit_Log!F279</f>
        <v/>
      </c>
      <c r="G279" s="4">
        <f>Daily_Visit_Log!Y279</f>
        <v/>
      </c>
      <c r="H279" s="4">
        <f>Daily_Visit_Log!Q279</f>
        <v/>
      </c>
      <c r="I279" s="4">
        <f>IF(F279&lt;5,"YES","NO")</f>
        <v/>
      </c>
      <c r="J279" s="4">
        <f>MIN(100,IF(F279&gt;=30,50,IF(F279&gt;=15,40,IF(F279&gt;=5,25,10)))+IF(H279&gt;=50,50,IF(H279&gt;=30,40,IF(H279&gt;=20,30,IF(H279&gt;=10,20,10)))))</f>
        <v/>
      </c>
    </row>
    <row r="280">
      <c r="A280" s="3" t="n">
        <v>46038</v>
      </c>
      <c r="B280" s="4" t="inlineStr">
        <is>
          <t>Sahu construction</t>
        </is>
      </c>
      <c r="C280" s="4" t="inlineStr">
        <is>
          <t>16/01/2026, 5:30 pm</t>
        </is>
      </c>
      <c r="D280" s="4" t="inlineStr">
        <is>
          <t>16/01/2026, 5:31 pm</t>
        </is>
      </c>
      <c r="E280" s="4" t="inlineStr">
        <is>
          <t>Got future date</t>
        </is>
      </c>
      <c r="F280" s="4">
        <f>Daily_Visit_Log!F280</f>
        <v/>
      </c>
      <c r="G280" s="4">
        <f>Daily_Visit_Log!Y280</f>
        <v/>
      </c>
      <c r="H280" s="4">
        <f>Daily_Visit_Log!Q280</f>
        <v/>
      </c>
      <c r="I280" s="4">
        <f>IF(F280&lt;5,"YES","NO")</f>
        <v/>
      </c>
      <c r="J280" s="4">
        <f>MIN(100,IF(F280&gt;=30,50,IF(F280&gt;=15,40,IF(F280&gt;=5,25,10)))+IF(H280&gt;=50,50,IF(H280&gt;=30,40,IF(H280&gt;=20,30,IF(H280&gt;=10,20,10)))))</f>
        <v/>
      </c>
    </row>
    <row r="281">
      <c r="A281" s="3" t="n">
        <v>46052</v>
      </c>
      <c r="B281" s="4" t="inlineStr">
        <is>
          <t>Sahu construction</t>
        </is>
      </c>
      <c r="C281" s="4" t="inlineStr">
        <is>
          <t>30/01/2026, 5:34 pm</t>
        </is>
      </c>
      <c r="D281" s="4" t="inlineStr">
        <is>
          <t>30/01/2026, 5:35 pm</t>
        </is>
      </c>
      <c r="E281" s="4" t="inlineStr">
        <is>
          <t>Got future date</t>
        </is>
      </c>
      <c r="F281" s="4">
        <f>Daily_Visit_Log!F281</f>
        <v/>
      </c>
      <c r="G281" s="4">
        <f>Daily_Visit_Log!Y281</f>
        <v/>
      </c>
      <c r="H281" s="4">
        <f>Daily_Visit_Log!Q281</f>
        <v/>
      </c>
      <c r="I281" s="4">
        <f>IF(F281&lt;5,"YES","NO")</f>
        <v/>
      </c>
      <c r="J281" s="4">
        <f>MIN(100,IF(F281&gt;=30,50,IF(F281&gt;=15,40,IF(F281&gt;=5,25,10)))+IF(H281&gt;=50,50,IF(H281&gt;=30,40,IF(H281&gt;=20,30,IF(H281&gt;=10,20,10)))))</f>
        <v/>
      </c>
    </row>
    <row r="282">
      <c r="A282" s="3" t="n">
        <v>45975</v>
      </c>
      <c r="B282" s="4" t="inlineStr">
        <is>
          <t>Sahu contruction</t>
        </is>
      </c>
      <c r="C282" s="4" t="inlineStr">
        <is>
          <t>14/11/2025, 5:43 pm</t>
        </is>
      </c>
      <c r="D282" s="4" t="inlineStr">
        <is>
          <t>14/11/2025, 5:44 pm</t>
        </is>
      </c>
      <c r="E282" s="4" t="inlineStr">
        <is>
          <t>Got future date</t>
        </is>
      </c>
      <c r="F282" s="4">
        <f>Daily_Visit_Log!F282</f>
        <v/>
      </c>
      <c r="G282" s="4">
        <f>Daily_Visit_Log!Y282</f>
        <v/>
      </c>
      <c r="H282" s="4">
        <f>Daily_Visit_Log!Q282</f>
        <v/>
      </c>
      <c r="I282" s="4">
        <f>IF(F282&lt;5,"YES","NO")</f>
        <v/>
      </c>
      <c r="J282" s="4">
        <f>MIN(100,IF(F282&gt;=30,50,IF(F282&gt;=15,40,IF(F282&gt;=5,25,10)))+IF(H282&gt;=50,50,IF(H282&gt;=30,40,IF(H282&gt;=20,30,IF(H282&gt;=10,20,10)))))</f>
        <v/>
      </c>
    </row>
    <row r="283">
      <c r="A283" s="3" t="n">
        <v>45982</v>
      </c>
      <c r="B283" s="4" t="inlineStr">
        <is>
          <t>Sahu contruction</t>
        </is>
      </c>
      <c r="C283" s="4" t="inlineStr">
        <is>
          <t>21/11/2025, 5:23 pm</t>
        </is>
      </c>
      <c r="D283" s="4" t="inlineStr">
        <is>
          <t>21/11/2025, 5:24 pm</t>
        </is>
      </c>
      <c r="E283" s="4" t="inlineStr">
        <is>
          <t>Got future date</t>
        </is>
      </c>
      <c r="F283" s="4">
        <f>Daily_Visit_Log!F283</f>
        <v/>
      </c>
      <c r="G283" s="4">
        <f>Daily_Visit_Log!Y283</f>
        <v/>
      </c>
      <c r="H283" s="4">
        <f>Daily_Visit_Log!Q283</f>
        <v/>
      </c>
      <c r="I283" s="4">
        <f>IF(F283&lt;5,"YES","NO")</f>
        <v/>
      </c>
      <c r="J283" s="4">
        <f>MIN(100,IF(F283&gt;=30,50,IF(F283&gt;=15,40,IF(F283&gt;=5,25,10)))+IF(H283&gt;=50,50,IF(H283&gt;=30,40,IF(H283&gt;=20,30,IF(H283&gt;=10,20,10)))))</f>
        <v/>
      </c>
    </row>
    <row r="284">
      <c r="A284" s="3" t="n">
        <v>45985</v>
      </c>
      <c r="B284" s="4" t="inlineStr">
        <is>
          <t>Sahu contruction</t>
        </is>
      </c>
      <c r="C284" s="4" t="inlineStr">
        <is>
          <t>24/11/2025, 3:21 pm</t>
        </is>
      </c>
      <c r="D284" s="4" t="inlineStr">
        <is>
          <t>24/11/2025, 3:23 pm</t>
        </is>
      </c>
      <c r="E284" s="4" t="inlineStr">
        <is>
          <t>Got future date</t>
        </is>
      </c>
      <c r="F284" s="4">
        <f>Daily_Visit_Log!F284</f>
        <v/>
      </c>
      <c r="G284" s="4">
        <f>Daily_Visit_Log!Y284</f>
        <v/>
      </c>
      <c r="H284" s="4">
        <f>Daily_Visit_Log!Q284</f>
        <v/>
      </c>
      <c r="I284" s="4">
        <f>IF(F284&lt;5,"YES","NO")</f>
        <v/>
      </c>
      <c r="J284" s="4">
        <f>MIN(100,IF(F284&gt;=30,50,IF(F284&gt;=15,40,IF(F284&gt;=5,25,10)))+IF(H284&gt;=50,50,IF(H284&gt;=30,40,IF(H284&gt;=20,30,IF(H284&gt;=10,20,10)))))</f>
        <v/>
      </c>
    </row>
    <row r="285">
      <c r="A285" s="3" t="n">
        <v>45996</v>
      </c>
      <c r="B285" s="4" t="inlineStr">
        <is>
          <t>Sahu contruction</t>
        </is>
      </c>
      <c r="C285" s="4" t="inlineStr">
        <is>
          <t>05/12/2025, 6:36 pm</t>
        </is>
      </c>
      <c r="D285" s="4" t="inlineStr">
        <is>
          <t>05/12/2025, 6:40 pm</t>
        </is>
      </c>
      <c r="E285" s="4" t="inlineStr">
        <is>
          <t>Got future date</t>
        </is>
      </c>
      <c r="F285" s="4">
        <f>Daily_Visit_Log!F285</f>
        <v/>
      </c>
      <c r="G285" s="4">
        <f>Daily_Visit_Log!Y285</f>
        <v/>
      </c>
      <c r="H285" s="4">
        <f>Daily_Visit_Log!Q285</f>
        <v/>
      </c>
      <c r="I285" s="4">
        <f>IF(F285&lt;5,"YES","NO")</f>
        <v/>
      </c>
      <c r="J285" s="4">
        <f>MIN(100,IF(F285&gt;=30,50,IF(F285&gt;=15,40,IF(F285&gt;=5,25,10)))+IF(H285&gt;=50,50,IF(H285&gt;=30,40,IF(H285&gt;=20,30,IF(H285&gt;=10,20,10)))))</f>
        <v/>
      </c>
    </row>
    <row r="286">
      <c r="A286" s="3" t="n">
        <v>46003</v>
      </c>
      <c r="B286" s="4" t="inlineStr">
        <is>
          <t>Sahu contruction</t>
        </is>
      </c>
      <c r="C286" s="4" t="inlineStr">
        <is>
          <t>12/12/2025, 6:04 pm</t>
        </is>
      </c>
      <c r="D286" s="4" t="inlineStr">
        <is>
          <t>12/12/2025, 6:06 pm</t>
        </is>
      </c>
      <c r="E286" s="4" t="inlineStr">
        <is>
          <t>Got future date</t>
        </is>
      </c>
      <c r="F286" s="4">
        <f>Daily_Visit_Log!F286</f>
        <v/>
      </c>
      <c r="G286" s="4">
        <f>Daily_Visit_Log!Y286</f>
        <v/>
      </c>
      <c r="H286" s="4">
        <f>Daily_Visit_Log!Q286</f>
        <v/>
      </c>
      <c r="I286" s="4">
        <f>IF(F286&lt;5,"YES","NO")</f>
        <v/>
      </c>
      <c r="J286" s="4">
        <f>MIN(100,IF(F286&gt;=30,50,IF(F286&gt;=15,40,IF(F286&gt;=5,25,10)))+IF(H286&gt;=50,50,IF(H286&gt;=30,40,IF(H286&gt;=20,30,IF(H286&gt;=10,20,10)))))</f>
        <v/>
      </c>
    </row>
    <row r="287">
      <c r="A287" s="3" t="n">
        <v>46017</v>
      </c>
      <c r="B287" s="4" t="inlineStr">
        <is>
          <t>Sahu contruction</t>
        </is>
      </c>
      <c r="C287" s="4" t="inlineStr">
        <is>
          <t>26/12/2025, 5:38 pm</t>
        </is>
      </c>
      <c r="D287" s="4" t="inlineStr">
        <is>
          <t>26/12/2025, 5:40 pm</t>
        </is>
      </c>
      <c r="E287" s="4" t="inlineStr">
        <is>
          <t>Got future date</t>
        </is>
      </c>
      <c r="F287" s="4">
        <f>Daily_Visit_Log!F287</f>
        <v/>
      </c>
      <c r="G287" s="4">
        <f>Daily_Visit_Log!Y287</f>
        <v/>
      </c>
      <c r="H287" s="4">
        <f>Daily_Visit_Log!Q287</f>
        <v/>
      </c>
      <c r="I287" s="4">
        <f>IF(F287&lt;5,"YES","NO")</f>
        <v/>
      </c>
      <c r="J287" s="4">
        <f>MIN(100,IF(F287&gt;=30,50,IF(F287&gt;=15,40,IF(F287&gt;=5,25,10)))+IF(H287&gt;=50,50,IF(H287&gt;=30,40,IF(H287&gt;=20,30,IF(H287&gt;=10,20,10)))))</f>
        <v/>
      </c>
    </row>
    <row r="288">
      <c r="A288" s="3" t="n">
        <v>46022</v>
      </c>
      <c r="B288" s="4" t="inlineStr">
        <is>
          <t>Sahu contruction</t>
        </is>
      </c>
      <c r="C288" s="4" t="inlineStr">
        <is>
          <t>31/12/2025, 5:16 pm</t>
        </is>
      </c>
      <c r="D288" s="4" t="inlineStr">
        <is>
          <t>31/12/2025, 5:17 pm</t>
        </is>
      </c>
      <c r="E288" s="4" t="inlineStr">
        <is>
          <t>Got future date</t>
        </is>
      </c>
      <c r="F288" s="4">
        <f>Daily_Visit_Log!F288</f>
        <v/>
      </c>
      <c r="G288" s="4">
        <f>Daily_Visit_Log!Y288</f>
        <v/>
      </c>
      <c r="H288" s="4">
        <f>Daily_Visit_Log!Q288</f>
        <v/>
      </c>
      <c r="I288" s="4">
        <f>IF(F288&lt;5,"YES","NO")</f>
        <v/>
      </c>
      <c r="J288" s="4">
        <f>MIN(100,IF(F288&gt;=30,50,IF(F288&gt;=15,40,IF(F288&gt;=5,25,10)))+IF(H288&gt;=50,50,IF(H288&gt;=30,40,IF(H288&gt;=20,30,IF(H288&gt;=10,20,10)))))</f>
        <v/>
      </c>
    </row>
    <row r="289">
      <c r="A289" s="3" t="n">
        <v>46027</v>
      </c>
      <c r="B289" s="4" t="inlineStr">
        <is>
          <t>Sahu contruction</t>
        </is>
      </c>
      <c r="C289" s="4" t="inlineStr">
        <is>
          <t>05/01/2026, 1:06 pm</t>
        </is>
      </c>
      <c r="D289" s="4" t="inlineStr">
        <is>
          <t>05/01/2026, 1:09 pm</t>
        </is>
      </c>
      <c r="E289" s="4" t="inlineStr">
        <is>
          <t>Got future date</t>
        </is>
      </c>
      <c r="F289" s="4">
        <f>Daily_Visit_Log!F289</f>
        <v/>
      </c>
      <c r="G289" s="4">
        <f>Daily_Visit_Log!Y289</f>
        <v/>
      </c>
      <c r="H289" s="4">
        <f>Daily_Visit_Log!Q289</f>
        <v/>
      </c>
      <c r="I289" s="4">
        <f>IF(F289&lt;5,"YES","NO")</f>
        <v/>
      </c>
      <c r="J289" s="4">
        <f>MIN(100,IF(F289&gt;=30,50,IF(F289&gt;=15,40,IF(F289&gt;=5,25,10)))+IF(H289&gt;=50,50,IF(H289&gt;=30,40,IF(H289&gt;=20,30,IF(H289&gt;=10,20,10)))))</f>
        <v/>
      </c>
    </row>
    <row r="290">
      <c r="A290" s="3" t="n">
        <v>46031</v>
      </c>
      <c r="B290" s="4" t="inlineStr">
        <is>
          <t>Sahu contruction</t>
        </is>
      </c>
      <c r="C290" s="4" t="inlineStr">
        <is>
          <t>09/01/2026, 5:37 pm</t>
        </is>
      </c>
      <c r="D290" s="4" t="inlineStr">
        <is>
          <t>09/01/2026, 5:40 pm</t>
        </is>
      </c>
      <c r="E290" s="4" t="inlineStr">
        <is>
          <t>Got future date</t>
        </is>
      </c>
      <c r="F290" s="4">
        <f>Daily_Visit_Log!F290</f>
        <v/>
      </c>
      <c r="G290" s="4">
        <f>Daily_Visit_Log!Y290</f>
        <v/>
      </c>
      <c r="H290" s="4">
        <f>Daily_Visit_Log!Q290</f>
        <v/>
      </c>
      <c r="I290" s="4">
        <f>IF(F290&lt;5,"YES","NO")</f>
        <v/>
      </c>
      <c r="J290" s="4">
        <f>MIN(100,IF(F290&gt;=30,50,IF(F290&gt;=15,40,IF(F290&gt;=5,25,10)))+IF(H290&gt;=50,50,IF(H290&gt;=30,40,IF(H290&gt;=20,30,IF(H290&gt;=10,20,10)))))</f>
        <v/>
      </c>
    </row>
    <row r="291">
      <c r="A291" s="3" t="n">
        <v>46052</v>
      </c>
      <c r="B291" s="4" t="inlineStr">
        <is>
          <t>Sahu contruction</t>
        </is>
      </c>
      <c r="C291" s="4" t="inlineStr">
        <is>
          <t>30/01/2026, 5:50 pm</t>
        </is>
      </c>
      <c r="D291" s="4" t="inlineStr">
        <is>
          <t>30/01/2026, 5:53 pm</t>
        </is>
      </c>
      <c r="E291" s="4" t="inlineStr">
        <is>
          <t>Got future date</t>
        </is>
      </c>
      <c r="F291" s="4">
        <f>Daily_Visit_Log!F291</f>
        <v/>
      </c>
      <c r="G291" s="4">
        <f>Daily_Visit_Log!Y291</f>
        <v/>
      </c>
      <c r="H291" s="4">
        <f>Daily_Visit_Log!Q291</f>
        <v/>
      </c>
      <c r="I291" s="4">
        <f>IF(F291&lt;5,"YES","NO")</f>
        <v/>
      </c>
      <c r="J291" s="4">
        <f>MIN(100,IF(F291&gt;=30,50,IF(F291&gt;=15,40,IF(F291&gt;=5,25,10)))+IF(H291&gt;=50,50,IF(H291&gt;=30,40,IF(H291&gt;=20,30,IF(H291&gt;=10,20,10)))))</f>
        <v/>
      </c>
    </row>
    <row r="292">
      <c r="A292" s="3" t="n">
        <v>45967</v>
      </c>
      <c r="B292" s="4" t="inlineStr">
        <is>
          <t>Samay construction</t>
        </is>
      </c>
      <c r="C292" s="4" t="inlineStr">
        <is>
          <t>06/11/2025, 5:49 pm</t>
        </is>
      </c>
      <c r="D292" s="4" t="inlineStr">
        <is>
          <t>06/11/2025, 5:50 pm</t>
        </is>
      </c>
      <c r="E292" s="4" t="inlineStr">
        <is>
          <t>Got future date</t>
        </is>
      </c>
      <c r="F292" s="4">
        <f>Daily_Visit_Log!F292</f>
        <v/>
      </c>
      <c r="G292" s="4">
        <f>Daily_Visit_Log!Y292</f>
        <v/>
      </c>
      <c r="H292" s="4">
        <f>Daily_Visit_Log!Q292</f>
        <v/>
      </c>
      <c r="I292" s="4">
        <f>IF(F292&lt;5,"YES","NO")</f>
        <v/>
      </c>
      <c r="J292" s="4">
        <f>MIN(100,IF(F292&gt;=30,50,IF(F292&gt;=15,40,IF(F292&gt;=5,25,10)))+IF(H292&gt;=50,50,IF(H292&gt;=30,40,IF(H292&gt;=20,30,IF(H292&gt;=10,20,10)))))</f>
        <v/>
      </c>
    </row>
    <row r="293">
      <c r="A293" s="3" t="n">
        <v>45967</v>
      </c>
      <c r="B293" s="4" t="inlineStr">
        <is>
          <t>Samay construction</t>
        </is>
      </c>
      <c r="C293" s="4" t="inlineStr">
        <is>
          <t>06/11/2025, 7:13 pm</t>
        </is>
      </c>
      <c r="D293" s="4" t="inlineStr">
        <is>
          <t>06/11/2025, 7:15 pm</t>
        </is>
      </c>
      <c r="E293" s="4" t="inlineStr">
        <is>
          <t>Got future date</t>
        </is>
      </c>
      <c r="F293" s="4">
        <f>Daily_Visit_Log!F293</f>
        <v/>
      </c>
      <c r="G293" s="4">
        <f>Daily_Visit_Log!Y293</f>
        <v/>
      </c>
      <c r="H293" s="4">
        <f>Daily_Visit_Log!Q293</f>
        <v/>
      </c>
      <c r="I293" s="4">
        <f>IF(F293&lt;5,"YES","NO")</f>
        <v/>
      </c>
      <c r="J293" s="4">
        <f>MIN(100,IF(F293&gt;=30,50,IF(F293&gt;=15,40,IF(F293&gt;=5,25,10)))+IF(H293&gt;=50,50,IF(H293&gt;=30,40,IF(H293&gt;=20,30,IF(H293&gt;=10,20,10)))))</f>
        <v/>
      </c>
    </row>
    <row r="294">
      <c r="A294" s="3" t="n">
        <v>45968</v>
      </c>
      <c r="B294" s="4" t="inlineStr">
        <is>
          <t>Samay construction</t>
        </is>
      </c>
      <c r="C294" s="4" t="inlineStr">
        <is>
          <t>07/11/2025, 6:44 pm</t>
        </is>
      </c>
      <c r="D294" s="4" t="inlineStr">
        <is>
          <t>07/11/2025, 6:51 pm</t>
        </is>
      </c>
      <c r="E294" s="4" t="inlineStr">
        <is>
          <t>Got future date</t>
        </is>
      </c>
      <c r="F294" s="4">
        <f>Daily_Visit_Log!F294</f>
        <v/>
      </c>
      <c r="G294" s="4">
        <f>Daily_Visit_Log!Y294</f>
        <v/>
      </c>
      <c r="H294" s="4">
        <f>Daily_Visit_Log!Q294</f>
        <v/>
      </c>
      <c r="I294" s="4">
        <f>IF(F294&lt;5,"YES","NO")</f>
        <v/>
      </c>
      <c r="J294" s="4">
        <f>MIN(100,IF(F294&gt;=30,50,IF(F294&gt;=15,40,IF(F294&gt;=5,25,10)))+IF(H294&gt;=50,50,IF(H294&gt;=30,40,IF(H294&gt;=20,30,IF(H294&gt;=10,20,10)))))</f>
        <v/>
      </c>
    </row>
    <row r="295">
      <c r="A295" s="3" t="n">
        <v>45969</v>
      </c>
      <c r="B295" s="4" t="inlineStr">
        <is>
          <t>Samay construction</t>
        </is>
      </c>
      <c r="C295" s="4" t="inlineStr">
        <is>
          <t>08/11/2025, 6:40 pm</t>
        </is>
      </c>
      <c r="D295" s="4" t="inlineStr">
        <is>
          <t>08/11/2025, 6:41 pm</t>
        </is>
      </c>
      <c r="E295" s="4" t="inlineStr">
        <is>
          <t>Got future date</t>
        </is>
      </c>
      <c r="F295" s="4">
        <f>Daily_Visit_Log!F295</f>
        <v/>
      </c>
      <c r="G295" s="4">
        <f>Daily_Visit_Log!Y295</f>
        <v/>
      </c>
      <c r="H295" s="4">
        <f>Daily_Visit_Log!Q295</f>
        <v/>
      </c>
      <c r="I295" s="4">
        <f>IF(F295&lt;5,"YES","NO")</f>
        <v/>
      </c>
      <c r="J295" s="4">
        <f>MIN(100,IF(F295&gt;=30,50,IF(F295&gt;=15,40,IF(F295&gt;=5,25,10)))+IF(H295&gt;=50,50,IF(H295&gt;=30,40,IF(H295&gt;=20,30,IF(H295&gt;=10,20,10)))))</f>
        <v/>
      </c>
    </row>
    <row r="296">
      <c r="A296" s="3" t="n">
        <v>45973</v>
      </c>
      <c r="B296" s="4" t="inlineStr">
        <is>
          <t>Samay construction</t>
        </is>
      </c>
      <c r="C296" s="4" t="inlineStr">
        <is>
          <t>12/11/2025, 3:52 pm</t>
        </is>
      </c>
      <c r="D296" s="4" t="inlineStr">
        <is>
          <t>12/11/2025, 3:53 pm</t>
        </is>
      </c>
      <c r="E296" s="4" t="inlineStr">
        <is>
          <t>Got future date</t>
        </is>
      </c>
      <c r="F296" s="4">
        <f>Daily_Visit_Log!F296</f>
        <v/>
      </c>
      <c r="G296" s="4">
        <f>Daily_Visit_Log!Y296</f>
        <v/>
      </c>
      <c r="H296" s="4">
        <f>Daily_Visit_Log!Q296</f>
        <v/>
      </c>
      <c r="I296" s="4">
        <f>IF(F296&lt;5,"YES","NO")</f>
        <v/>
      </c>
      <c r="J296" s="4">
        <f>MIN(100,IF(F296&gt;=30,50,IF(F296&gt;=15,40,IF(F296&gt;=5,25,10)))+IF(H296&gt;=50,50,IF(H296&gt;=30,40,IF(H296&gt;=20,30,IF(H296&gt;=10,20,10)))))</f>
        <v/>
      </c>
    </row>
    <row r="297">
      <c r="A297" s="3" t="n">
        <v>45974</v>
      </c>
      <c r="B297" s="4" t="inlineStr">
        <is>
          <t>Samay construction</t>
        </is>
      </c>
      <c r="C297" s="4" t="inlineStr">
        <is>
          <t>13/11/2025, 6:13 pm</t>
        </is>
      </c>
      <c r="D297" s="4" t="inlineStr">
        <is>
          <t>13/11/2025, 6:14 pm</t>
        </is>
      </c>
      <c r="E297" s="4" t="inlineStr">
        <is>
          <t>Got future date</t>
        </is>
      </c>
      <c r="F297" s="4">
        <f>Daily_Visit_Log!F297</f>
        <v/>
      </c>
      <c r="G297" s="4">
        <f>Daily_Visit_Log!Y297</f>
        <v/>
      </c>
      <c r="H297" s="4">
        <f>Daily_Visit_Log!Q297</f>
        <v/>
      </c>
      <c r="I297" s="4">
        <f>IF(F297&lt;5,"YES","NO")</f>
        <v/>
      </c>
      <c r="J297" s="4">
        <f>MIN(100,IF(F297&gt;=30,50,IF(F297&gt;=15,40,IF(F297&gt;=5,25,10)))+IF(H297&gt;=50,50,IF(H297&gt;=30,40,IF(H297&gt;=20,30,IF(H297&gt;=10,20,10)))))</f>
        <v/>
      </c>
    </row>
    <row r="298">
      <c r="A298" s="3" t="n">
        <v>45978</v>
      </c>
      <c r="B298" s="4" t="inlineStr">
        <is>
          <t>Samay construction</t>
        </is>
      </c>
      <c r="C298" s="4" t="inlineStr">
        <is>
          <t>17/11/2025, 6:38 pm</t>
        </is>
      </c>
      <c r="D298" s="4" t="inlineStr">
        <is>
          <t>17/11/2025, 6:39 pm</t>
        </is>
      </c>
      <c r="E298" s="4" t="inlineStr">
        <is>
          <t>Got future date</t>
        </is>
      </c>
      <c r="F298" s="4">
        <f>Daily_Visit_Log!F298</f>
        <v/>
      </c>
      <c r="G298" s="4">
        <f>Daily_Visit_Log!Y298</f>
        <v/>
      </c>
      <c r="H298" s="4">
        <f>Daily_Visit_Log!Q298</f>
        <v/>
      </c>
      <c r="I298" s="4">
        <f>IF(F298&lt;5,"YES","NO")</f>
        <v/>
      </c>
      <c r="J298" s="4">
        <f>MIN(100,IF(F298&gt;=30,50,IF(F298&gt;=15,40,IF(F298&gt;=5,25,10)))+IF(H298&gt;=50,50,IF(H298&gt;=30,40,IF(H298&gt;=20,30,IF(H298&gt;=10,20,10)))))</f>
        <v/>
      </c>
    </row>
    <row r="299">
      <c r="A299" s="3" t="n">
        <v>45981</v>
      </c>
      <c r="B299" s="4" t="inlineStr">
        <is>
          <t>Samay construction</t>
        </is>
      </c>
      <c r="C299" s="4" t="inlineStr">
        <is>
          <t>20/11/2025, 5:34 pm</t>
        </is>
      </c>
      <c r="D299" s="4" t="inlineStr">
        <is>
          <t>20/11/2025, 5:36 pm</t>
        </is>
      </c>
      <c r="E299" s="4" t="inlineStr">
        <is>
          <t>Got future date</t>
        </is>
      </c>
      <c r="F299" s="4">
        <f>Daily_Visit_Log!F299</f>
        <v/>
      </c>
      <c r="G299" s="4">
        <f>Daily_Visit_Log!Y299</f>
        <v/>
      </c>
      <c r="H299" s="4">
        <f>Daily_Visit_Log!Q299</f>
        <v/>
      </c>
      <c r="I299" s="4">
        <f>IF(F299&lt;5,"YES","NO")</f>
        <v/>
      </c>
      <c r="J299" s="4">
        <f>MIN(100,IF(F299&gt;=30,50,IF(F299&gt;=15,40,IF(F299&gt;=5,25,10)))+IF(H299&gt;=50,50,IF(H299&gt;=30,40,IF(H299&gt;=20,30,IF(H299&gt;=10,20,10)))))</f>
        <v/>
      </c>
    </row>
    <row r="300">
      <c r="A300" s="3" t="n">
        <v>46001</v>
      </c>
      <c r="B300" s="4" t="inlineStr">
        <is>
          <t>Samay construction</t>
        </is>
      </c>
      <c r="C300" s="4" t="inlineStr">
        <is>
          <t>10/12/2025, 7:25 pm</t>
        </is>
      </c>
      <c r="D300" s="4" t="inlineStr">
        <is>
          <t>10/12/2025, 7:38 pm</t>
        </is>
      </c>
      <c r="E300" s="4" t="inlineStr">
        <is>
          <t>Got future date</t>
        </is>
      </c>
      <c r="F300" s="4">
        <f>Daily_Visit_Log!F300</f>
        <v/>
      </c>
      <c r="G300" s="4">
        <f>Daily_Visit_Log!Y300</f>
        <v/>
      </c>
      <c r="H300" s="4">
        <f>Daily_Visit_Log!Q300</f>
        <v/>
      </c>
      <c r="I300" s="4">
        <f>IF(F300&lt;5,"YES","NO")</f>
        <v/>
      </c>
      <c r="J300" s="4">
        <f>MIN(100,IF(F300&gt;=30,50,IF(F300&gt;=15,40,IF(F300&gt;=5,25,10)))+IF(H300&gt;=50,50,IF(H300&gt;=30,40,IF(H300&gt;=20,30,IF(H300&gt;=10,20,10)))))</f>
        <v/>
      </c>
    </row>
    <row r="301">
      <c r="A301" s="3" t="n">
        <v>46003</v>
      </c>
      <c r="B301" s="4" t="inlineStr">
        <is>
          <t>Samay construction</t>
        </is>
      </c>
      <c r="C301" s="4" t="inlineStr">
        <is>
          <t>12/12/2025, 12:39 pm</t>
        </is>
      </c>
      <c r="D301" s="4" t="inlineStr">
        <is>
          <t>12/12/2025, 12:42 pm</t>
        </is>
      </c>
      <c r="E301" s="4" t="inlineStr">
        <is>
          <t>Got future date</t>
        </is>
      </c>
      <c r="F301" s="4">
        <f>Daily_Visit_Log!F301</f>
        <v/>
      </c>
      <c r="G301" s="4">
        <f>Daily_Visit_Log!Y301</f>
        <v/>
      </c>
      <c r="H301" s="4">
        <f>Daily_Visit_Log!Q301</f>
        <v/>
      </c>
      <c r="I301" s="4">
        <f>IF(F301&lt;5,"YES","NO")</f>
        <v/>
      </c>
      <c r="J301" s="4">
        <f>MIN(100,IF(F301&gt;=30,50,IF(F301&gt;=15,40,IF(F301&gt;=5,25,10)))+IF(H301&gt;=50,50,IF(H301&gt;=30,40,IF(H301&gt;=20,30,IF(H301&gt;=10,20,10)))))</f>
        <v/>
      </c>
    </row>
    <row r="302">
      <c r="A302" s="3" t="n">
        <v>46003</v>
      </c>
      <c r="B302" s="4" t="inlineStr">
        <is>
          <t>Samay construction</t>
        </is>
      </c>
      <c r="C302" s="4" t="inlineStr">
        <is>
          <t>12/12/2025, 4:59 pm</t>
        </is>
      </c>
      <c r="D302" s="4" t="inlineStr">
        <is>
          <t>12/12/2025, 5:04 pm</t>
        </is>
      </c>
      <c r="E302" s="4" t="inlineStr">
        <is>
          <t>Got future date</t>
        </is>
      </c>
      <c r="F302" s="4">
        <f>Daily_Visit_Log!F302</f>
        <v/>
      </c>
      <c r="G302" s="4">
        <f>Daily_Visit_Log!Y302</f>
        <v/>
      </c>
      <c r="H302" s="4">
        <f>Daily_Visit_Log!Q302</f>
        <v/>
      </c>
      <c r="I302" s="4">
        <f>IF(F302&lt;5,"YES","NO")</f>
        <v/>
      </c>
      <c r="J302" s="4">
        <f>MIN(100,IF(F302&gt;=30,50,IF(F302&gt;=15,40,IF(F302&gt;=5,25,10)))+IF(H302&gt;=50,50,IF(H302&gt;=30,40,IF(H302&gt;=20,30,IF(H302&gt;=10,20,10)))))</f>
        <v/>
      </c>
    </row>
    <row r="303">
      <c r="A303" s="3" t="n">
        <v>46006</v>
      </c>
      <c r="B303" s="4" t="inlineStr">
        <is>
          <t>Samay construction</t>
        </is>
      </c>
      <c r="C303" s="4" t="inlineStr">
        <is>
          <t>15/12/2025, 4:21 pm</t>
        </is>
      </c>
      <c r="D303" s="4" t="inlineStr">
        <is>
          <t>15/12/2025, 4:22 pm</t>
        </is>
      </c>
      <c r="E303" s="4" t="inlineStr">
        <is>
          <t>Got future date</t>
        </is>
      </c>
      <c r="F303" s="4">
        <f>Daily_Visit_Log!F303</f>
        <v/>
      </c>
      <c r="G303" s="4">
        <f>Daily_Visit_Log!Y303</f>
        <v/>
      </c>
      <c r="H303" s="4">
        <f>Daily_Visit_Log!Q303</f>
        <v/>
      </c>
      <c r="I303" s="4">
        <f>IF(F303&lt;5,"YES","NO")</f>
        <v/>
      </c>
      <c r="J303" s="4">
        <f>MIN(100,IF(F303&gt;=30,50,IF(F303&gt;=15,40,IF(F303&gt;=5,25,10)))+IF(H303&gt;=50,50,IF(H303&gt;=30,40,IF(H303&gt;=20,30,IF(H303&gt;=10,20,10)))))</f>
        <v/>
      </c>
    </row>
    <row r="304">
      <c r="A304" s="3" t="n">
        <v>46006</v>
      </c>
      <c r="B304" s="4" t="inlineStr">
        <is>
          <t>Samay construction</t>
        </is>
      </c>
      <c r="C304" s="4" t="inlineStr">
        <is>
          <t>15/12/2025, 5:07 pm</t>
        </is>
      </c>
      <c r="D304" s="4" t="inlineStr">
        <is>
          <t>15/12/2025, 5:08 pm</t>
        </is>
      </c>
      <c r="E304" s="4" t="inlineStr">
        <is>
          <t>Got future date</t>
        </is>
      </c>
      <c r="F304" s="4">
        <f>Daily_Visit_Log!F304</f>
        <v/>
      </c>
      <c r="G304" s="4">
        <f>Daily_Visit_Log!Y304</f>
        <v/>
      </c>
      <c r="H304" s="4">
        <f>Daily_Visit_Log!Q304</f>
        <v/>
      </c>
      <c r="I304" s="4">
        <f>IF(F304&lt;5,"YES","NO")</f>
        <v/>
      </c>
      <c r="J304" s="4">
        <f>MIN(100,IF(F304&gt;=30,50,IF(F304&gt;=15,40,IF(F304&gt;=5,25,10)))+IF(H304&gt;=50,50,IF(H304&gt;=30,40,IF(H304&gt;=20,30,IF(H304&gt;=10,20,10)))))</f>
        <v/>
      </c>
    </row>
    <row r="305">
      <c r="A305" s="3" t="n">
        <v>46007</v>
      </c>
      <c r="B305" s="4" t="inlineStr">
        <is>
          <t>Samay construction</t>
        </is>
      </c>
      <c r="C305" s="4" t="inlineStr">
        <is>
          <t>16/12/2025, 6:28 pm</t>
        </is>
      </c>
      <c r="D305" s="4" t="inlineStr">
        <is>
          <t>16/12/2025, 6:30 pm</t>
        </is>
      </c>
      <c r="E305" s="4" t="inlineStr">
        <is>
          <t>Got future date</t>
        </is>
      </c>
      <c r="F305" s="4">
        <f>Daily_Visit_Log!F305</f>
        <v/>
      </c>
      <c r="G305" s="4">
        <f>Daily_Visit_Log!Y305</f>
        <v/>
      </c>
      <c r="H305" s="4">
        <f>Daily_Visit_Log!Q305</f>
        <v/>
      </c>
      <c r="I305" s="4">
        <f>IF(F305&lt;5,"YES","NO")</f>
        <v/>
      </c>
      <c r="J305" s="4">
        <f>MIN(100,IF(F305&gt;=30,50,IF(F305&gt;=15,40,IF(F305&gt;=5,25,10)))+IF(H305&gt;=50,50,IF(H305&gt;=30,40,IF(H305&gt;=20,30,IF(H305&gt;=10,20,10)))))</f>
        <v/>
      </c>
    </row>
    <row r="306">
      <c r="A306" s="3" t="n">
        <v>46007</v>
      </c>
      <c r="B306" s="4" t="inlineStr">
        <is>
          <t>Samay construction</t>
        </is>
      </c>
      <c r="C306" s="4" t="inlineStr">
        <is>
          <t>16/12/2025, 6:50 pm</t>
        </is>
      </c>
      <c r="D306" s="4" t="inlineStr">
        <is>
          <t>16/12/2025, 6:51 pm</t>
        </is>
      </c>
      <c r="E306" s="4" t="inlineStr">
        <is>
          <t>Got future date</t>
        </is>
      </c>
      <c r="F306" s="4">
        <f>Daily_Visit_Log!F306</f>
        <v/>
      </c>
      <c r="G306" s="4">
        <f>Daily_Visit_Log!Y306</f>
        <v/>
      </c>
      <c r="H306" s="4">
        <f>Daily_Visit_Log!Q306</f>
        <v/>
      </c>
      <c r="I306" s="4">
        <f>IF(F306&lt;5,"YES","NO")</f>
        <v/>
      </c>
      <c r="J306" s="4">
        <f>MIN(100,IF(F306&gt;=30,50,IF(F306&gt;=15,40,IF(F306&gt;=5,25,10)))+IF(H306&gt;=50,50,IF(H306&gt;=30,40,IF(H306&gt;=20,30,IF(H306&gt;=10,20,10)))))</f>
        <v/>
      </c>
    </row>
    <row r="307">
      <c r="A307" s="3" t="n">
        <v>46010</v>
      </c>
      <c r="B307" s="4" t="inlineStr">
        <is>
          <t>Samay construction</t>
        </is>
      </c>
      <c r="C307" s="4" t="inlineStr">
        <is>
          <t>19/12/2025, 3:45 pm</t>
        </is>
      </c>
      <c r="D307" s="4" t="inlineStr">
        <is>
          <t>19/12/2025, 3:46 pm</t>
        </is>
      </c>
      <c r="E307" s="4" t="inlineStr">
        <is>
          <t>Got future date</t>
        </is>
      </c>
      <c r="F307" s="4">
        <f>Daily_Visit_Log!F307</f>
        <v/>
      </c>
      <c r="G307" s="4">
        <f>Daily_Visit_Log!Y307</f>
        <v/>
      </c>
      <c r="H307" s="4">
        <f>Daily_Visit_Log!Q307</f>
        <v/>
      </c>
      <c r="I307" s="4">
        <f>IF(F307&lt;5,"YES","NO")</f>
        <v/>
      </c>
      <c r="J307" s="4">
        <f>MIN(100,IF(F307&gt;=30,50,IF(F307&gt;=15,40,IF(F307&gt;=5,25,10)))+IF(H307&gt;=50,50,IF(H307&gt;=30,40,IF(H307&gt;=20,30,IF(H307&gt;=10,20,10)))))</f>
        <v/>
      </c>
    </row>
    <row r="308">
      <c r="A308" s="3" t="n">
        <v>46010</v>
      </c>
      <c r="B308" s="4" t="inlineStr">
        <is>
          <t>Samay construction</t>
        </is>
      </c>
      <c r="C308" s="4" t="inlineStr">
        <is>
          <t>19/12/2025, 4:23 pm</t>
        </is>
      </c>
      <c r="D308" s="4" t="inlineStr">
        <is>
          <t>19/12/2025, 4:24 pm</t>
        </is>
      </c>
      <c r="E308" s="4" t="inlineStr">
        <is>
          <t>Got future date</t>
        </is>
      </c>
      <c r="F308" s="4">
        <f>Daily_Visit_Log!F308</f>
        <v/>
      </c>
      <c r="G308" s="4">
        <f>Daily_Visit_Log!Y308</f>
        <v/>
      </c>
      <c r="H308" s="4">
        <f>Daily_Visit_Log!Q308</f>
        <v/>
      </c>
      <c r="I308" s="4">
        <f>IF(F308&lt;5,"YES","NO")</f>
        <v/>
      </c>
      <c r="J308" s="4">
        <f>MIN(100,IF(F308&gt;=30,50,IF(F308&gt;=15,40,IF(F308&gt;=5,25,10)))+IF(H308&gt;=50,50,IF(H308&gt;=30,40,IF(H308&gt;=20,30,IF(H308&gt;=10,20,10)))))</f>
        <v/>
      </c>
    </row>
    <row r="309">
      <c r="A309" s="3" t="n">
        <v>46013</v>
      </c>
      <c r="B309" s="4" t="inlineStr">
        <is>
          <t>Samay construction</t>
        </is>
      </c>
      <c r="C309" s="4" t="inlineStr">
        <is>
          <t>22/12/2025, 7:50 pm</t>
        </is>
      </c>
      <c r="D309" s="4" t="inlineStr">
        <is>
          <t>22/12/2025, 7:51 pm</t>
        </is>
      </c>
      <c r="E309" s="4" t="inlineStr">
        <is>
          <t>Got future date</t>
        </is>
      </c>
      <c r="F309" s="4">
        <f>Daily_Visit_Log!F309</f>
        <v/>
      </c>
      <c r="G309" s="4">
        <f>Daily_Visit_Log!Y309</f>
        <v/>
      </c>
      <c r="H309" s="4">
        <f>Daily_Visit_Log!Q309</f>
        <v/>
      </c>
      <c r="I309" s="4">
        <f>IF(F309&lt;5,"YES","NO")</f>
        <v/>
      </c>
      <c r="J309" s="4">
        <f>MIN(100,IF(F309&gt;=30,50,IF(F309&gt;=15,40,IF(F309&gt;=5,25,10)))+IF(H309&gt;=50,50,IF(H309&gt;=30,40,IF(H309&gt;=20,30,IF(H309&gt;=10,20,10)))))</f>
        <v/>
      </c>
    </row>
    <row r="310">
      <c r="A310" s="3" t="n">
        <v>46014</v>
      </c>
      <c r="B310" s="4" t="inlineStr">
        <is>
          <t>Samay construction</t>
        </is>
      </c>
      <c r="C310" s="4" t="inlineStr">
        <is>
          <t>23/12/2025, 7:31 pm</t>
        </is>
      </c>
      <c r="D310" s="4" t="inlineStr">
        <is>
          <t>23/12/2025, 7:32 pm</t>
        </is>
      </c>
      <c r="E310" s="4" t="inlineStr">
        <is>
          <t>Got future date</t>
        </is>
      </c>
      <c r="F310" s="4">
        <f>Daily_Visit_Log!F310</f>
        <v/>
      </c>
      <c r="G310" s="4">
        <f>Daily_Visit_Log!Y310</f>
        <v/>
      </c>
      <c r="H310" s="4">
        <f>Daily_Visit_Log!Q310</f>
        <v/>
      </c>
      <c r="I310" s="4">
        <f>IF(F310&lt;5,"YES","NO")</f>
        <v/>
      </c>
      <c r="J310" s="4">
        <f>MIN(100,IF(F310&gt;=30,50,IF(F310&gt;=15,40,IF(F310&gt;=5,25,10)))+IF(H310&gt;=50,50,IF(H310&gt;=30,40,IF(H310&gt;=20,30,IF(H310&gt;=10,20,10)))))</f>
        <v/>
      </c>
    </row>
    <row r="311">
      <c r="A311" s="3" t="n">
        <v>46014</v>
      </c>
      <c r="B311" s="4" t="inlineStr">
        <is>
          <t>Samay construction</t>
        </is>
      </c>
      <c r="C311" s="4" t="inlineStr">
        <is>
          <t>23/12/2025, 7:39 pm</t>
        </is>
      </c>
      <c r="D311" s="4" t="inlineStr">
        <is>
          <t>23/12/2025, 7:45 pm</t>
        </is>
      </c>
      <c r="E311" s="4" t="inlineStr">
        <is>
          <t>Got future date</t>
        </is>
      </c>
      <c r="F311" s="4">
        <f>Daily_Visit_Log!F311</f>
        <v/>
      </c>
      <c r="G311" s="4">
        <f>Daily_Visit_Log!Y311</f>
        <v/>
      </c>
      <c r="H311" s="4">
        <f>Daily_Visit_Log!Q311</f>
        <v/>
      </c>
      <c r="I311" s="4">
        <f>IF(F311&lt;5,"YES","NO")</f>
        <v/>
      </c>
      <c r="J311" s="4">
        <f>MIN(100,IF(F311&gt;=30,50,IF(F311&gt;=15,40,IF(F311&gt;=5,25,10)))+IF(H311&gt;=50,50,IF(H311&gt;=30,40,IF(H311&gt;=20,30,IF(H311&gt;=10,20,10)))))</f>
        <v/>
      </c>
    </row>
    <row r="312">
      <c r="A312" s="3" t="n">
        <v>46015</v>
      </c>
      <c r="B312" s="4" t="inlineStr">
        <is>
          <t>Samay construction</t>
        </is>
      </c>
      <c r="C312" s="4" t="inlineStr">
        <is>
          <t>24/12/2025, 12:37 pm</t>
        </is>
      </c>
      <c r="D312" s="4" t="inlineStr">
        <is>
          <t>24/12/2025, 12:40 pm</t>
        </is>
      </c>
      <c r="E312" s="4" t="inlineStr">
        <is>
          <t>Got future date</t>
        </is>
      </c>
      <c r="F312" s="4">
        <f>Daily_Visit_Log!F312</f>
        <v/>
      </c>
      <c r="G312" s="4">
        <f>Daily_Visit_Log!Y312</f>
        <v/>
      </c>
      <c r="H312" s="4">
        <f>Daily_Visit_Log!Q312</f>
        <v/>
      </c>
      <c r="I312" s="4">
        <f>IF(F312&lt;5,"YES","NO")</f>
        <v/>
      </c>
      <c r="J312" s="4">
        <f>MIN(100,IF(F312&gt;=30,50,IF(F312&gt;=15,40,IF(F312&gt;=5,25,10)))+IF(H312&gt;=50,50,IF(H312&gt;=30,40,IF(H312&gt;=20,30,IF(H312&gt;=10,20,10)))))</f>
        <v/>
      </c>
    </row>
    <row r="313">
      <c r="A313" s="3" t="n">
        <v>46022</v>
      </c>
      <c r="B313" s="4" t="inlineStr">
        <is>
          <t>Samay construction</t>
        </is>
      </c>
      <c r="C313" s="4" t="inlineStr">
        <is>
          <t>31/12/2025, 11:07 am</t>
        </is>
      </c>
      <c r="D313" s="4" t="inlineStr">
        <is>
          <t>31/12/2025, 11:08 am</t>
        </is>
      </c>
      <c r="E313" s="4" t="inlineStr">
        <is>
          <t>Got future date</t>
        </is>
      </c>
      <c r="F313" s="4">
        <f>Daily_Visit_Log!F313</f>
        <v/>
      </c>
      <c r="G313" s="4">
        <f>Daily_Visit_Log!Y313</f>
        <v/>
      </c>
      <c r="H313" s="4">
        <f>Daily_Visit_Log!Q313</f>
        <v/>
      </c>
      <c r="I313" s="4">
        <f>IF(F313&lt;5,"YES","NO")</f>
        <v/>
      </c>
      <c r="J313" s="4">
        <f>MIN(100,IF(F313&gt;=30,50,IF(F313&gt;=15,40,IF(F313&gt;=5,25,10)))+IF(H313&gt;=50,50,IF(H313&gt;=30,40,IF(H313&gt;=20,30,IF(H313&gt;=10,20,10)))))</f>
        <v/>
      </c>
    </row>
    <row r="314">
      <c r="A314" s="3" t="n">
        <v>46028</v>
      </c>
      <c r="B314" s="4" t="inlineStr">
        <is>
          <t>Samay construction</t>
        </is>
      </c>
      <c r="C314" s="4" t="inlineStr">
        <is>
          <t>06/01/2026, 4:24 pm</t>
        </is>
      </c>
      <c r="D314" s="4" t="inlineStr">
        <is>
          <t>06/01/2026, 4:25 pm</t>
        </is>
      </c>
      <c r="E314" s="4" t="inlineStr">
        <is>
          <t>Got future date</t>
        </is>
      </c>
      <c r="F314" s="4">
        <f>Daily_Visit_Log!F314</f>
        <v/>
      </c>
      <c r="G314" s="4">
        <f>Daily_Visit_Log!Y314</f>
        <v/>
      </c>
      <c r="H314" s="4">
        <f>Daily_Visit_Log!Q314</f>
        <v/>
      </c>
      <c r="I314" s="4">
        <f>IF(F314&lt;5,"YES","NO")</f>
        <v/>
      </c>
      <c r="J314" s="4">
        <f>MIN(100,IF(F314&gt;=30,50,IF(F314&gt;=15,40,IF(F314&gt;=5,25,10)))+IF(H314&gt;=50,50,IF(H314&gt;=30,40,IF(H314&gt;=20,30,IF(H314&gt;=10,20,10)))))</f>
        <v/>
      </c>
    </row>
    <row r="315">
      <c r="A315" s="3" t="n">
        <v>46028</v>
      </c>
      <c r="B315" s="4" t="inlineStr">
        <is>
          <t>Samay construction</t>
        </is>
      </c>
      <c r="C315" s="4" t="inlineStr">
        <is>
          <t>06/01/2026, 6:34 pm</t>
        </is>
      </c>
      <c r="D315" s="4" t="inlineStr">
        <is>
          <t>06/01/2026, 6:37 pm</t>
        </is>
      </c>
      <c r="E315" s="4" t="inlineStr">
        <is>
          <t>Got future date</t>
        </is>
      </c>
      <c r="F315" s="4">
        <f>Daily_Visit_Log!F315</f>
        <v/>
      </c>
      <c r="G315" s="4">
        <f>Daily_Visit_Log!Y315</f>
        <v/>
      </c>
      <c r="H315" s="4">
        <f>Daily_Visit_Log!Q315</f>
        <v/>
      </c>
      <c r="I315" s="4">
        <f>IF(F315&lt;5,"YES","NO")</f>
        <v/>
      </c>
      <c r="J315" s="4">
        <f>MIN(100,IF(F315&gt;=30,50,IF(F315&gt;=15,40,IF(F315&gt;=5,25,10)))+IF(H315&gt;=50,50,IF(H315&gt;=30,40,IF(H315&gt;=20,30,IF(H315&gt;=10,20,10)))))</f>
        <v/>
      </c>
    </row>
    <row r="316">
      <c r="A316" s="3" t="n">
        <v>46030</v>
      </c>
      <c r="B316" s="4" t="inlineStr">
        <is>
          <t>Samay construction</t>
        </is>
      </c>
      <c r="C316" s="4" t="inlineStr">
        <is>
          <t>08/01/2026, 4:59 pm</t>
        </is>
      </c>
      <c r="D316" s="4" t="inlineStr">
        <is>
          <t>08/01/2026, 5:01 pm</t>
        </is>
      </c>
      <c r="E316" s="4" t="inlineStr">
        <is>
          <t>Got future date</t>
        </is>
      </c>
      <c r="F316" s="4">
        <f>Daily_Visit_Log!F316</f>
        <v/>
      </c>
      <c r="G316" s="4">
        <f>Daily_Visit_Log!Y316</f>
        <v/>
      </c>
      <c r="H316" s="4">
        <f>Daily_Visit_Log!Q316</f>
        <v/>
      </c>
      <c r="I316" s="4">
        <f>IF(F316&lt;5,"YES","NO")</f>
        <v/>
      </c>
      <c r="J316" s="4">
        <f>MIN(100,IF(F316&gt;=30,50,IF(F316&gt;=15,40,IF(F316&gt;=5,25,10)))+IF(H316&gt;=50,50,IF(H316&gt;=30,40,IF(H316&gt;=20,30,IF(H316&gt;=10,20,10)))))</f>
        <v/>
      </c>
    </row>
    <row r="317">
      <c r="A317" s="3" t="n">
        <v>46030</v>
      </c>
      <c r="B317" s="4" t="inlineStr">
        <is>
          <t>Samay construction</t>
        </is>
      </c>
      <c r="C317" s="4" t="inlineStr">
        <is>
          <t>08/01/2026, 5:05 pm</t>
        </is>
      </c>
      <c r="D317" s="4" t="inlineStr">
        <is>
          <t>08/01/2026, 5:06 pm</t>
        </is>
      </c>
      <c r="E317" s="4" t="inlineStr">
        <is>
          <t>Got future date</t>
        </is>
      </c>
      <c r="F317" s="4">
        <f>Daily_Visit_Log!F317</f>
        <v/>
      </c>
      <c r="G317" s="4">
        <f>Daily_Visit_Log!Y317</f>
        <v/>
      </c>
      <c r="H317" s="4">
        <f>Daily_Visit_Log!Q317</f>
        <v/>
      </c>
      <c r="I317" s="4">
        <f>IF(F317&lt;5,"YES","NO")</f>
        <v/>
      </c>
      <c r="J317" s="4">
        <f>MIN(100,IF(F317&gt;=30,50,IF(F317&gt;=15,40,IF(F317&gt;=5,25,10)))+IF(H317&gt;=50,50,IF(H317&gt;=30,40,IF(H317&gt;=20,30,IF(H317&gt;=10,20,10)))))</f>
        <v/>
      </c>
    </row>
    <row r="318">
      <c r="A318" s="3" t="n">
        <v>46031</v>
      </c>
      <c r="B318" s="4" t="inlineStr">
        <is>
          <t>Samay construction</t>
        </is>
      </c>
      <c r="C318" s="4" t="inlineStr">
        <is>
          <t>09/01/2026, 4:32 pm</t>
        </is>
      </c>
      <c r="D318" s="4" t="inlineStr">
        <is>
          <t>09/01/2026, 4:35 pm</t>
        </is>
      </c>
      <c r="E318" s="4" t="inlineStr">
        <is>
          <t>Got future date</t>
        </is>
      </c>
      <c r="F318" s="4">
        <f>Daily_Visit_Log!F318</f>
        <v/>
      </c>
      <c r="G318" s="4">
        <f>Daily_Visit_Log!Y318</f>
        <v/>
      </c>
      <c r="H318" s="4">
        <f>Daily_Visit_Log!Q318</f>
        <v/>
      </c>
      <c r="I318" s="4">
        <f>IF(F318&lt;5,"YES","NO")</f>
        <v/>
      </c>
      <c r="J318" s="4">
        <f>MIN(100,IF(F318&gt;=30,50,IF(F318&gt;=15,40,IF(F318&gt;=5,25,10)))+IF(H318&gt;=50,50,IF(H318&gt;=30,40,IF(H318&gt;=20,30,IF(H318&gt;=10,20,10)))))</f>
        <v/>
      </c>
    </row>
    <row r="319">
      <c r="A319" s="3" t="n">
        <v>46035</v>
      </c>
      <c r="B319" s="4" t="inlineStr">
        <is>
          <t>Samay construction</t>
        </is>
      </c>
      <c r="C319" s="4" t="inlineStr">
        <is>
          <t>13/01/2026, 7:18 pm</t>
        </is>
      </c>
      <c r="D319" s="4" t="inlineStr">
        <is>
          <t>13/01/2026, 7:21 pm</t>
        </is>
      </c>
      <c r="E319" s="4" t="inlineStr">
        <is>
          <t>Got future date</t>
        </is>
      </c>
      <c r="F319" s="4">
        <f>Daily_Visit_Log!F319</f>
        <v/>
      </c>
      <c r="G319" s="4">
        <f>Daily_Visit_Log!Y319</f>
        <v/>
      </c>
      <c r="H319" s="4">
        <f>Daily_Visit_Log!Q319</f>
        <v/>
      </c>
      <c r="I319" s="4">
        <f>IF(F319&lt;5,"YES","NO")</f>
        <v/>
      </c>
      <c r="J319" s="4">
        <f>MIN(100,IF(F319&gt;=30,50,IF(F319&gt;=15,40,IF(F319&gt;=5,25,10)))+IF(H319&gt;=50,50,IF(H319&gt;=30,40,IF(H319&gt;=20,30,IF(H319&gt;=10,20,10)))))</f>
        <v/>
      </c>
    </row>
    <row r="320">
      <c r="A320" s="3" t="n">
        <v>46041</v>
      </c>
      <c r="B320" s="4" t="inlineStr">
        <is>
          <t>Samay construction</t>
        </is>
      </c>
      <c r="C320" s="4" t="inlineStr">
        <is>
          <t>19/01/2026, 5:16 pm</t>
        </is>
      </c>
      <c r="D320" s="4" t="inlineStr">
        <is>
          <t>19/01/2026, 5:17 pm</t>
        </is>
      </c>
      <c r="E320" s="4" t="inlineStr">
        <is>
          <t>Got future date</t>
        </is>
      </c>
      <c r="F320" s="4">
        <f>Daily_Visit_Log!F320</f>
        <v/>
      </c>
      <c r="G320" s="4">
        <f>Daily_Visit_Log!Y320</f>
        <v/>
      </c>
      <c r="H320" s="4">
        <f>Daily_Visit_Log!Q320</f>
        <v/>
      </c>
      <c r="I320" s="4">
        <f>IF(F320&lt;5,"YES","NO")</f>
        <v/>
      </c>
      <c r="J320" s="4">
        <f>MIN(100,IF(F320&gt;=30,50,IF(F320&gt;=15,40,IF(F320&gt;=5,25,10)))+IF(H320&gt;=50,50,IF(H320&gt;=30,40,IF(H320&gt;=20,30,IF(H320&gt;=10,20,10)))))</f>
        <v/>
      </c>
    </row>
    <row r="321">
      <c r="A321" s="3" t="n">
        <v>46043</v>
      </c>
      <c r="B321" s="4" t="inlineStr">
        <is>
          <t>Samay construction</t>
        </is>
      </c>
      <c r="C321" s="4" t="inlineStr">
        <is>
          <t>21/01/2026, 11:56 am</t>
        </is>
      </c>
      <c r="D321" s="4" t="inlineStr">
        <is>
          <t>21/01/2026, 11:56 am</t>
        </is>
      </c>
      <c r="E321" s="4" t="inlineStr">
        <is>
          <t>Got future date</t>
        </is>
      </c>
      <c r="F321" s="4">
        <f>Daily_Visit_Log!F321</f>
        <v/>
      </c>
      <c r="G321" s="4">
        <f>Daily_Visit_Log!Y321</f>
        <v/>
      </c>
      <c r="H321" s="4">
        <f>Daily_Visit_Log!Q321</f>
        <v/>
      </c>
      <c r="I321" s="4">
        <f>IF(F321&lt;5,"YES","NO")</f>
        <v/>
      </c>
      <c r="J321" s="4">
        <f>MIN(100,IF(F321&gt;=30,50,IF(F321&gt;=15,40,IF(F321&gt;=5,25,10)))+IF(H321&gt;=50,50,IF(H321&gt;=30,40,IF(H321&gt;=20,30,IF(H321&gt;=10,20,10)))))</f>
        <v/>
      </c>
    </row>
    <row r="322">
      <c r="A322" s="3" t="n">
        <v>46044</v>
      </c>
      <c r="B322" s="4" t="inlineStr">
        <is>
          <t>Samay construction</t>
        </is>
      </c>
      <c r="C322" s="4" t="inlineStr">
        <is>
          <t>22/01/2026, 7:11 pm</t>
        </is>
      </c>
      <c r="D322" s="4" t="inlineStr">
        <is>
          <t>22/01/2026, 7:12 pm</t>
        </is>
      </c>
      <c r="E322" s="4" t="inlineStr">
        <is>
          <t>Got future date</t>
        </is>
      </c>
      <c r="F322" s="4">
        <f>Daily_Visit_Log!F322</f>
        <v/>
      </c>
      <c r="G322" s="4">
        <f>Daily_Visit_Log!Y322</f>
        <v/>
      </c>
      <c r="H322" s="4">
        <f>Daily_Visit_Log!Q322</f>
        <v/>
      </c>
      <c r="I322" s="4">
        <f>IF(F322&lt;5,"YES","NO")</f>
        <v/>
      </c>
      <c r="J322" s="4">
        <f>MIN(100,IF(F322&gt;=30,50,IF(F322&gt;=15,40,IF(F322&gt;=5,25,10)))+IF(H322&gt;=50,50,IF(H322&gt;=30,40,IF(H322&gt;=20,30,IF(H322&gt;=10,20,10)))))</f>
        <v/>
      </c>
    </row>
    <row r="323">
      <c r="A323" s="3" t="n">
        <v>46049</v>
      </c>
      <c r="B323" s="4" t="inlineStr">
        <is>
          <t>Samay construction</t>
        </is>
      </c>
      <c r="C323" s="4" t="inlineStr">
        <is>
          <t>27/01/2026, 11:46 am</t>
        </is>
      </c>
      <c r="D323" s="4" t="inlineStr">
        <is>
          <t>27/01/2026, 11:48 am</t>
        </is>
      </c>
      <c r="E323" s="4" t="inlineStr">
        <is>
          <t>Got future date</t>
        </is>
      </c>
      <c r="F323" s="4">
        <f>Daily_Visit_Log!F323</f>
        <v/>
      </c>
      <c r="G323" s="4">
        <f>Daily_Visit_Log!Y323</f>
        <v/>
      </c>
      <c r="H323" s="4">
        <f>Daily_Visit_Log!Q323</f>
        <v/>
      </c>
      <c r="I323" s="4">
        <f>IF(F323&lt;5,"YES","NO")</f>
        <v/>
      </c>
      <c r="J323" s="4">
        <f>MIN(100,IF(F323&gt;=30,50,IF(F323&gt;=15,40,IF(F323&gt;=5,25,10)))+IF(H323&gt;=50,50,IF(H323&gt;=30,40,IF(H323&gt;=20,30,IF(H323&gt;=10,20,10)))))</f>
        <v/>
      </c>
    </row>
    <row r="324">
      <c r="A324" s="3" t="n">
        <v>46050</v>
      </c>
      <c r="B324" s="4" t="inlineStr">
        <is>
          <t>Samay construction</t>
        </is>
      </c>
      <c r="C324" s="4" t="inlineStr">
        <is>
          <t>28/01/2026, 6:17 pm</t>
        </is>
      </c>
      <c r="D324" s="4" t="inlineStr">
        <is>
          <t>28/01/2026, 6:18 pm</t>
        </is>
      </c>
      <c r="E324" s="4" t="inlineStr">
        <is>
          <t>Got future date</t>
        </is>
      </c>
      <c r="F324" s="4">
        <f>Daily_Visit_Log!F324</f>
        <v/>
      </c>
      <c r="G324" s="4">
        <f>Daily_Visit_Log!Y324</f>
        <v/>
      </c>
      <c r="H324" s="4">
        <f>Daily_Visit_Log!Q324</f>
        <v/>
      </c>
      <c r="I324" s="4">
        <f>IF(F324&lt;5,"YES","NO")</f>
        <v/>
      </c>
      <c r="J324" s="4">
        <f>MIN(100,IF(F324&gt;=30,50,IF(F324&gt;=15,40,IF(F324&gt;=5,25,10)))+IF(H324&gt;=50,50,IF(H324&gt;=30,40,IF(H324&gt;=20,30,IF(H324&gt;=10,20,10)))))</f>
        <v/>
      </c>
    </row>
    <row r="325">
      <c r="A325" s="3" t="n">
        <v>45969</v>
      </c>
      <c r="B325" s="4" t="inlineStr">
        <is>
          <t>Samay construction pvt Ltd.</t>
        </is>
      </c>
      <c r="C325" s="4" t="inlineStr">
        <is>
          <t>08/11/2025, 6:59 pm</t>
        </is>
      </c>
      <c r="D325" s="4" t="inlineStr">
        <is>
          <t>08/11/2025, 7:01 pm</t>
        </is>
      </c>
      <c r="E325" s="4" t="inlineStr">
        <is>
          <t>Got future date</t>
        </is>
      </c>
      <c r="F325" s="4">
        <f>Daily_Visit_Log!F325</f>
        <v/>
      </c>
      <c r="G325" s="4">
        <f>Daily_Visit_Log!Y325</f>
        <v/>
      </c>
      <c r="H325" s="4">
        <f>Daily_Visit_Log!Q325</f>
        <v/>
      </c>
      <c r="I325" s="4">
        <f>IF(F325&lt;5,"YES","NO")</f>
        <v/>
      </c>
      <c r="J325" s="4">
        <f>MIN(100,IF(F325&gt;=30,50,IF(F325&gt;=15,40,IF(F325&gt;=5,25,10)))+IF(H325&gt;=50,50,IF(H325&gt;=30,40,IF(H325&gt;=20,30,IF(H325&gt;=10,20,10)))))</f>
        <v/>
      </c>
    </row>
    <row r="326">
      <c r="A326" s="3" t="n">
        <v>45978</v>
      </c>
      <c r="B326" s="4" t="inlineStr">
        <is>
          <t>Samay construction pvt Ltd.</t>
        </is>
      </c>
      <c r="C326" s="4" t="inlineStr">
        <is>
          <t>17/11/2025, 7:30 pm</t>
        </is>
      </c>
      <c r="D326" s="4" t="inlineStr">
        <is>
          <t>17/11/2025, 7:31 pm</t>
        </is>
      </c>
      <c r="E326" s="4" t="inlineStr">
        <is>
          <t>Got future date</t>
        </is>
      </c>
      <c r="F326" s="4">
        <f>Daily_Visit_Log!F326</f>
        <v/>
      </c>
      <c r="G326" s="4">
        <f>Daily_Visit_Log!Y326</f>
        <v/>
      </c>
      <c r="H326" s="4">
        <f>Daily_Visit_Log!Q326</f>
        <v/>
      </c>
      <c r="I326" s="4">
        <f>IF(F326&lt;5,"YES","NO")</f>
        <v/>
      </c>
      <c r="J326" s="4">
        <f>MIN(100,IF(F326&gt;=30,50,IF(F326&gt;=15,40,IF(F326&gt;=5,25,10)))+IF(H326&gt;=50,50,IF(H326&gt;=30,40,IF(H326&gt;=20,30,IF(H326&gt;=10,20,10)))))</f>
        <v/>
      </c>
    </row>
    <row r="327">
      <c r="A327" s="3" t="n">
        <v>46007</v>
      </c>
      <c r="B327" s="4" t="inlineStr">
        <is>
          <t>Samay construction pvt Ltd.</t>
        </is>
      </c>
      <c r="C327" s="4" t="inlineStr">
        <is>
          <t>16/12/2025, 7:31 pm</t>
        </is>
      </c>
      <c r="D327" s="4" t="inlineStr">
        <is>
          <t>16/12/2025, 7:38 pm</t>
        </is>
      </c>
      <c r="E327" s="4" t="inlineStr">
        <is>
          <t>Lead qualified</t>
        </is>
      </c>
      <c r="F327" s="4">
        <f>Daily_Visit_Log!F327</f>
        <v/>
      </c>
      <c r="G327" s="4">
        <f>Daily_Visit_Log!Y327</f>
        <v/>
      </c>
      <c r="H327" s="4">
        <f>Daily_Visit_Log!Q327</f>
        <v/>
      </c>
      <c r="I327" s="4">
        <f>IF(F327&lt;5,"YES","NO")</f>
        <v/>
      </c>
      <c r="J327" s="4">
        <f>MIN(100,IF(F327&gt;=30,50,IF(F327&gt;=15,40,IF(F327&gt;=5,25,10)))+IF(H327&gt;=50,50,IF(H327&gt;=30,40,IF(H327&gt;=20,30,IF(H327&gt;=10,20,10)))))</f>
        <v/>
      </c>
    </row>
    <row r="328">
      <c r="A328" s="3" t="n">
        <v>46013</v>
      </c>
      <c r="B328" s="4" t="inlineStr">
        <is>
          <t>Samay construction pvt Ltd.</t>
        </is>
      </c>
      <c r="C328" s="4" t="inlineStr">
        <is>
          <t>22/12/2025, 6:25 pm</t>
        </is>
      </c>
      <c r="D328" s="4" t="inlineStr">
        <is>
          <t>22/12/2025, 6:27 pm</t>
        </is>
      </c>
      <c r="E328" s="4" t="inlineStr">
        <is>
          <t>Got future date</t>
        </is>
      </c>
      <c r="F328" s="4">
        <f>Daily_Visit_Log!F328</f>
        <v/>
      </c>
      <c r="G328" s="4">
        <f>Daily_Visit_Log!Y328</f>
        <v/>
      </c>
      <c r="H328" s="4">
        <f>Daily_Visit_Log!Q328</f>
        <v/>
      </c>
      <c r="I328" s="4">
        <f>IF(F328&lt;5,"YES","NO")</f>
        <v/>
      </c>
      <c r="J328" s="4">
        <f>MIN(100,IF(F328&gt;=30,50,IF(F328&gt;=15,40,IF(F328&gt;=5,25,10)))+IF(H328&gt;=50,50,IF(H328&gt;=30,40,IF(H328&gt;=20,30,IF(H328&gt;=10,20,10)))))</f>
        <v/>
      </c>
    </row>
    <row r="329">
      <c r="A329" s="3" t="n">
        <v>46022</v>
      </c>
      <c r="B329" s="4" t="inlineStr">
        <is>
          <t>Samay construction pvt Ltd.</t>
        </is>
      </c>
      <c r="C329" s="4" t="inlineStr">
        <is>
          <t>31/12/2025, 12:19 pm</t>
        </is>
      </c>
      <c r="D329" s="4" t="inlineStr">
        <is>
          <t>31/12/2025, 12:20 pm</t>
        </is>
      </c>
      <c r="E329" s="4" t="inlineStr">
        <is>
          <t>Got future date</t>
        </is>
      </c>
      <c r="F329" s="4">
        <f>Daily_Visit_Log!F329</f>
        <v/>
      </c>
      <c r="G329" s="4">
        <f>Daily_Visit_Log!Y329</f>
        <v/>
      </c>
      <c r="H329" s="4">
        <f>Daily_Visit_Log!Q329</f>
        <v/>
      </c>
      <c r="I329" s="4">
        <f>IF(F329&lt;5,"YES","NO")</f>
        <v/>
      </c>
      <c r="J329" s="4">
        <f>MIN(100,IF(F329&gt;=30,50,IF(F329&gt;=15,40,IF(F329&gt;=5,25,10)))+IF(H329&gt;=50,50,IF(H329&gt;=30,40,IF(H329&gt;=20,30,IF(H329&gt;=10,20,10)))))</f>
        <v/>
      </c>
    </row>
    <row r="330">
      <c r="A330" s="3" t="n">
        <v>46027</v>
      </c>
      <c r="B330" s="4" t="inlineStr">
        <is>
          <t>Samay construction pvt Ltd.</t>
        </is>
      </c>
      <c r="C330" s="4" t="inlineStr">
        <is>
          <t>05/01/2026, 7:29 pm</t>
        </is>
      </c>
      <c r="D330" s="4" t="inlineStr">
        <is>
          <t>05/01/2026, 7:30 pm</t>
        </is>
      </c>
      <c r="E330" s="4" t="inlineStr">
        <is>
          <t>Got future date</t>
        </is>
      </c>
      <c r="F330" s="4">
        <f>Daily_Visit_Log!F330</f>
        <v/>
      </c>
      <c r="G330" s="4">
        <f>Daily_Visit_Log!Y330</f>
        <v/>
      </c>
      <c r="H330" s="4">
        <f>Daily_Visit_Log!Q330</f>
        <v/>
      </c>
      <c r="I330" s="4">
        <f>IF(F330&lt;5,"YES","NO")</f>
        <v/>
      </c>
      <c r="J330" s="4">
        <f>MIN(100,IF(F330&gt;=30,50,IF(F330&gt;=15,40,IF(F330&gt;=5,25,10)))+IF(H330&gt;=50,50,IF(H330&gt;=30,40,IF(H330&gt;=20,30,IF(H330&gt;=10,20,10)))))</f>
        <v/>
      </c>
    </row>
    <row r="331">
      <c r="A331" s="3" t="n">
        <v>46035</v>
      </c>
      <c r="B331" s="4" t="inlineStr">
        <is>
          <t>Samay construction pvt Ltd.</t>
        </is>
      </c>
      <c r="C331" s="4" t="inlineStr">
        <is>
          <t>13/01/2026, 7:55 pm</t>
        </is>
      </c>
      <c r="D331" s="4" t="inlineStr">
        <is>
          <t>13/01/2026, 8:05 pm</t>
        </is>
      </c>
      <c r="E331" s="4" t="inlineStr">
        <is>
          <t>Got future date</t>
        </is>
      </c>
      <c r="F331" s="4">
        <f>Daily_Visit_Log!F331</f>
        <v/>
      </c>
      <c r="G331" s="4">
        <f>Daily_Visit_Log!Y331</f>
        <v/>
      </c>
      <c r="H331" s="4">
        <f>Daily_Visit_Log!Q331</f>
        <v/>
      </c>
      <c r="I331" s="4">
        <f>IF(F331&lt;5,"YES","NO")</f>
        <v/>
      </c>
      <c r="J331" s="4">
        <f>MIN(100,IF(F331&gt;=30,50,IF(F331&gt;=15,40,IF(F331&gt;=5,25,10)))+IF(H331&gt;=50,50,IF(H331&gt;=30,40,IF(H331&gt;=20,30,IF(H331&gt;=10,20,10)))))</f>
        <v/>
      </c>
    </row>
    <row r="332">
      <c r="A332" s="3" t="n">
        <v>46041</v>
      </c>
      <c r="B332" s="4" t="inlineStr">
        <is>
          <t>Samay construction pvt Ltd.</t>
        </is>
      </c>
      <c r="C332" s="4" t="inlineStr">
        <is>
          <t>19/01/2026, 1:23 pm</t>
        </is>
      </c>
      <c r="D332" s="4" t="inlineStr">
        <is>
          <t>19/01/2026, 1:26 pm</t>
        </is>
      </c>
      <c r="E332" s="4" t="inlineStr">
        <is>
          <t>Got future date</t>
        </is>
      </c>
      <c r="F332" s="4">
        <f>Daily_Visit_Log!F332</f>
        <v/>
      </c>
      <c r="G332" s="4">
        <f>Daily_Visit_Log!Y332</f>
        <v/>
      </c>
      <c r="H332" s="4">
        <f>Daily_Visit_Log!Q332</f>
        <v/>
      </c>
      <c r="I332" s="4">
        <f>IF(F332&lt;5,"YES","NO")</f>
        <v/>
      </c>
      <c r="J332" s="4">
        <f>MIN(100,IF(F332&gt;=30,50,IF(F332&gt;=15,40,IF(F332&gt;=5,25,10)))+IF(H332&gt;=50,50,IF(H332&gt;=30,40,IF(H332&gt;=20,30,IF(H332&gt;=10,20,10)))))</f>
        <v/>
      </c>
    </row>
    <row r="333">
      <c r="A333" s="3" t="n">
        <v>45985</v>
      </c>
      <c r="B333" s="4" t="inlineStr">
        <is>
          <t>Sri ram traders</t>
        </is>
      </c>
      <c r="C333" s="4" t="inlineStr">
        <is>
          <t>24/11/2025, 7:18 pm</t>
        </is>
      </c>
      <c r="D333" s="4" t="inlineStr">
        <is>
          <t>24/11/2025, 7:19 pm</t>
        </is>
      </c>
      <c r="E333" s="4" t="inlineStr">
        <is>
          <t>Got future date</t>
        </is>
      </c>
      <c r="F333" s="4">
        <f>Daily_Visit_Log!F333</f>
        <v/>
      </c>
      <c r="G333" s="4">
        <f>Daily_Visit_Log!Y333</f>
        <v/>
      </c>
      <c r="H333" s="4">
        <f>Daily_Visit_Log!Q333</f>
        <v/>
      </c>
      <c r="I333" s="4">
        <f>IF(F333&lt;5,"YES","NO")</f>
        <v/>
      </c>
      <c r="J333" s="4">
        <f>MIN(100,IF(F333&gt;=30,50,IF(F333&gt;=15,40,IF(F333&gt;=5,25,10)))+IF(H333&gt;=50,50,IF(H333&gt;=30,40,IF(H333&gt;=20,30,IF(H333&gt;=10,20,10)))))</f>
        <v/>
      </c>
    </row>
    <row r="334">
      <c r="A334" s="3" t="n">
        <v>45985</v>
      </c>
      <c r="B334" s="4" t="inlineStr">
        <is>
          <t>Sri ram traders</t>
        </is>
      </c>
      <c r="C334" s="4" t="inlineStr">
        <is>
          <t>24/11/2025, 7:32 pm</t>
        </is>
      </c>
      <c r="D334" s="4" t="inlineStr">
        <is>
          <t>24/11/2025, 7:33 pm</t>
        </is>
      </c>
      <c r="E334" s="4" t="inlineStr">
        <is>
          <t>Got future date</t>
        </is>
      </c>
      <c r="F334" s="4">
        <f>Daily_Visit_Log!F334</f>
        <v/>
      </c>
      <c r="G334" s="4">
        <f>Daily_Visit_Log!Y334</f>
        <v/>
      </c>
      <c r="H334" s="4">
        <f>Daily_Visit_Log!Q334</f>
        <v/>
      </c>
      <c r="I334" s="4">
        <f>IF(F334&lt;5,"YES","NO")</f>
        <v/>
      </c>
      <c r="J334" s="4">
        <f>MIN(100,IF(F334&gt;=30,50,IF(F334&gt;=15,40,IF(F334&gt;=5,25,10)))+IF(H334&gt;=50,50,IF(H334&gt;=30,40,IF(H334&gt;=20,30,IF(H334&gt;=10,20,10)))))</f>
        <v/>
      </c>
    </row>
    <row r="335">
      <c r="A335" s="3" t="n">
        <v>45986</v>
      </c>
      <c r="B335" s="4" t="inlineStr">
        <is>
          <t>Sri ram traders</t>
        </is>
      </c>
      <c r="C335" s="4" t="inlineStr">
        <is>
          <t>25/11/2025, 5:47 pm</t>
        </is>
      </c>
      <c r="D335" s="4" t="inlineStr">
        <is>
          <t>25/11/2025, 5:48 pm</t>
        </is>
      </c>
      <c r="E335" s="4" t="inlineStr">
        <is>
          <t>Got future date</t>
        </is>
      </c>
      <c r="F335" s="4">
        <f>Daily_Visit_Log!F335</f>
        <v/>
      </c>
      <c r="G335" s="4">
        <f>Daily_Visit_Log!Y335</f>
        <v/>
      </c>
      <c r="H335" s="4">
        <f>Daily_Visit_Log!Q335</f>
        <v/>
      </c>
      <c r="I335" s="4">
        <f>IF(F335&lt;5,"YES","NO")</f>
        <v/>
      </c>
      <c r="J335" s="4">
        <f>MIN(100,IF(F335&gt;=30,50,IF(F335&gt;=15,40,IF(F335&gt;=5,25,10)))+IF(H335&gt;=50,50,IF(H335&gt;=30,40,IF(H335&gt;=20,30,IF(H335&gt;=10,20,10)))))</f>
        <v/>
      </c>
    </row>
    <row r="336">
      <c r="A336" s="3" t="n">
        <v>46049</v>
      </c>
      <c r="B336" s="4" t="inlineStr">
        <is>
          <t>Sri ram traders</t>
        </is>
      </c>
      <c r="C336" s="4" t="inlineStr">
        <is>
          <t>27/01/2026, 5:40 pm</t>
        </is>
      </c>
      <c r="D336" s="4" t="inlineStr">
        <is>
          <t>27/01/2026, 5:42 pm</t>
        </is>
      </c>
      <c r="E336" s="4" t="inlineStr">
        <is>
          <t>Got future date</t>
        </is>
      </c>
      <c r="F336" s="4">
        <f>Daily_Visit_Log!F336</f>
        <v/>
      </c>
      <c r="G336" s="4">
        <f>Daily_Visit_Log!Y336</f>
        <v/>
      </c>
      <c r="H336" s="4">
        <f>Daily_Visit_Log!Q336</f>
        <v/>
      </c>
      <c r="I336" s="4">
        <f>IF(F336&lt;5,"YES","NO")</f>
        <v/>
      </c>
      <c r="J336" s="4">
        <f>MIN(100,IF(F336&gt;=30,50,IF(F336&gt;=15,40,IF(F336&gt;=5,25,10)))+IF(H336&gt;=50,50,IF(H336&gt;=30,40,IF(H336&gt;=20,30,IF(H336&gt;=10,20,10)))))</f>
        <v/>
      </c>
    </row>
    <row r="337">
      <c r="A337" s="3" t="n">
        <v>46049</v>
      </c>
      <c r="B337" s="4" t="inlineStr">
        <is>
          <t>Sri ram traders</t>
        </is>
      </c>
      <c r="C337" s="4" t="inlineStr">
        <is>
          <t>27/01/2026, 6:32 pm</t>
        </is>
      </c>
      <c r="D337" s="4" t="inlineStr">
        <is>
          <t>27/01/2026, 6:33 pm</t>
        </is>
      </c>
      <c r="E337" s="4" t="inlineStr">
        <is>
          <t>Got future date</t>
        </is>
      </c>
      <c r="F337" s="4">
        <f>Daily_Visit_Log!F337</f>
        <v/>
      </c>
      <c r="G337" s="4">
        <f>Daily_Visit_Log!Y337</f>
        <v/>
      </c>
      <c r="H337" s="4">
        <f>Daily_Visit_Log!Q337</f>
        <v/>
      </c>
      <c r="I337" s="4">
        <f>IF(F337&lt;5,"YES","NO")</f>
        <v/>
      </c>
      <c r="J337" s="4">
        <f>MIN(100,IF(F337&gt;=30,50,IF(F337&gt;=15,40,IF(F337&gt;=5,25,10)))+IF(H337&gt;=50,50,IF(H337&gt;=30,40,IF(H337&gt;=20,30,IF(H337&gt;=10,20,10)))))</f>
        <v/>
      </c>
    </row>
    <row r="338">
      <c r="A338" s="3" t="n">
        <v>45967</v>
      </c>
      <c r="B338" s="4" t="inlineStr">
        <is>
          <t>Vacon engineers &amp; contractors</t>
        </is>
      </c>
      <c r="C338" s="4" t="inlineStr">
        <is>
          <t>06/11/2025, 6:52 pm</t>
        </is>
      </c>
      <c r="D338" s="4" t="inlineStr">
        <is>
          <t>06/11/2025, 6:54 pm</t>
        </is>
      </c>
      <c r="E338" s="4" t="inlineStr">
        <is>
          <t>Got future date</t>
        </is>
      </c>
      <c r="F338" s="4">
        <f>Daily_Visit_Log!F338</f>
        <v/>
      </c>
      <c r="G338" s="4">
        <f>Daily_Visit_Log!Y338</f>
        <v/>
      </c>
      <c r="H338" s="4">
        <f>Daily_Visit_Log!Q338</f>
        <v/>
      </c>
      <c r="I338" s="4">
        <f>IF(F338&lt;5,"YES","NO")</f>
        <v/>
      </c>
      <c r="J338" s="4">
        <f>MIN(100,IF(F338&gt;=30,50,IF(F338&gt;=15,40,IF(F338&gt;=5,25,10)))+IF(H338&gt;=50,50,IF(H338&gt;=30,40,IF(H338&gt;=20,30,IF(H338&gt;=10,20,10)))))</f>
        <v/>
      </c>
    </row>
    <row r="339">
      <c r="A339" s="3" t="n">
        <v>45973</v>
      </c>
      <c r="B339" s="4" t="inlineStr">
        <is>
          <t>Vacon engineers &amp; contractors</t>
        </is>
      </c>
      <c r="C339" s="4" t="inlineStr">
        <is>
          <t>12/11/2025, 3:28 pm</t>
        </is>
      </c>
      <c r="D339" s="4" t="inlineStr">
        <is>
          <t>12/11/2025, 3:33 pm</t>
        </is>
      </c>
      <c r="E339" s="4" t="inlineStr">
        <is>
          <t>Got future date</t>
        </is>
      </c>
      <c r="F339" s="4">
        <f>Daily_Visit_Log!F339</f>
        <v/>
      </c>
      <c r="G339" s="4">
        <f>Daily_Visit_Log!Y339</f>
        <v/>
      </c>
      <c r="H339" s="4">
        <f>Daily_Visit_Log!Q339</f>
        <v/>
      </c>
      <c r="I339" s="4">
        <f>IF(F339&lt;5,"YES","NO")</f>
        <v/>
      </c>
      <c r="J339" s="4">
        <f>MIN(100,IF(F339&gt;=30,50,IF(F339&gt;=15,40,IF(F339&gt;=5,25,10)))+IF(H339&gt;=50,50,IF(H339&gt;=30,40,IF(H339&gt;=20,30,IF(H339&gt;=10,20,10)))))</f>
        <v/>
      </c>
    </row>
    <row r="340">
      <c r="A340" s="3" t="n">
        <v>46001</v>
      </c>
      <c r="B340" s="4" t="inlineStr">
        <is>
          <t>Vacon engineers &amp; contractors</t>
        </is>
      </c>
      <c r="C340" s="4" t="inlineStr">
        <is>
          <t>10/12/2025, 6:36 pm</t>
        </is>
      </c>
      <c r="D340" s="4" t="inlineStr">
        <is>
          <t>10/12/2025, 6:38 pm</t>
        </is>
      </c>
      <c r="E340" s="4" t="inlineStr">
        <is>
          <t>Got future date</t>
        </is>
      </c>
      <c r="F340" s="4">
        <f>Daily_Visit_Log!F340</f>
        <v/>
      </c>
      <c r="G340" s="4">
        <f>Daily_Visit_Log!Y340</f>
        <v/>
      </c>
      <c r="H340" s="4">
        <f>Daily_Visit_Log!Q340</f>
        <v/>
      </c>
      <c r="I340" s="4">
        <f>IF(F340&lt;5,"YES","NO")</f>
        <v/>
      </c>
      <c r="J340" s="4">
        <f>MIN(100,IF(F340&gt;=30,50,IF(F340&gt;=15,40,IF(F340&gt;=5,25,10)))+IF(H340&gt;=50,50,IF(H340&gt;=30,40,IF(H340&gt;=20,30,IF(H340&gt;=10,20,10)))))</f>
        <v/>
      </c>
    </row>
    <row r="341">
      <c r="A341" s="3" t="n">
        <v>46028</v>
      </c>
      <c r="B341" s="4" t="inlineStr">
        <is>
          <t>Vacon engineers &amp; contractors</t>
        </is>
      </c>
      <c r="C341" s="4" t="inlineStr">
        <is>
          <t>06/01/2026, 6:40 pm</t>
        </is>
      </c>
      <c r="D341" s="4" t="inlineStr">
        <is>
          <t>06/01/2026, 6:42 pm</t>
        </is>
      </c>
      <c r="E341" s="4" t="inlineStr">
        <is>
          <t>Got future date</t>
        </is>
      </c>
      <c r="F341" s="4">
        <f>Daily_Visit_Log!F341</f>
        <v/>
      </c>
      <c r="G341" s="4">
        <f>Daily_Visit_Log!Y341</f>
        <v/>
      </c>
      <c r="H341" s="4">
        <f>Daily_Visit_Log!Q341</f>
        <v/>
      </c>
      <c r="I341" s="4">
        <f>IF(F341&lt;5,"YES","NO")</f>
        <v/>
      </c>
      <c r="J341" s="4">
        <f>MIN(100,IF(F341&gt;=30,50,IF(F341&gt;=15,40,IF(F341&gt;=5,25,10)))+IF(H341&gt;=50,50,IF(H341&gt;=30,40,IF(H341&gt;=20,30,IF(H341&gt;=10,20,10)))))</f>
        <v/>
      </c>
    </row>
    <row r="342">
      <c r="A342" s="3" t="n">
        <v>46038</v>
      </c>
      <c r="B342" s="4" t="inlineStr">
        <is>
          <t>Vacon engineers &amp; contractors</t>
        </is>
      </c>
      <c r="C342" s="4" t="inlineStr">
        <is>
          <t>16/01/2026, 1:58 pm</t>
        </is>
      </c>
      <c r="D342" s="4" t="inlineStr">
        <is>
          <t>16/01/2026, 2:05 pm</t>
        </is>
      </c>
      <c r="E342" s="4" t="inlineStr">
        <is>
          <t>Got future date</t>
        </is>
      </c>
      <c r="F342" s="4">
        <f>Daily_Visit_Log!F342</f>
        <v/>
      </c>
      <c r="G342" s="4">
        <f>Daily_Visit_Log!Y342</f>
        <v/>
      </c>
      <c r="H342" s="4">
        <f>Daily_Visit_Log!Q342</f>
        <v/>
      </c>
      <c r="I342" s="4">
        <f>IF(F342&lt;5,"YES","NO")</f>
        <v/>
      </c>
      <c r="J342" s="4">
        <f>MIN(100,IF(F342&gt;=30,50,IF(F342&gt;=15,40,IF(F342&gt;=5,25,10)))+IF(H342&gt;=50,50,IF(H342&gt;=30,40,IF(H342&gt;=20,30,IF(H342&gt;=10,20,10)))))</f>
        <v/>
      </c>
    </row>
    <row r="343">
      <c r="A343" s="3" t="n">
        <v>46050</v>
      </c>
      <c r="B343" s="4" t="inlineStr">
        <is>
          <t>Vacon engineers &amp; contractors</t>
        </is>
      </c>
      <c r="C343" s="4" t="inlineStr">
        <is>
          <t>28/01/2026, 5:36 pm</t>
        </is>
      </c>
      <c r="D343" s="4" t="inlineStr">
        <is>
          <t>28/01/2026, 5:41 pm</t>
        </is>
      </c>
      <c r="E343" s="4" t="inlineStr">
        <is>
          <t>Got future date</t>
        </is>
      </c>
      <c r="F343" s="4">
        <f>Daily_Visit_Log!F343</f>
        <v/>
      </c>
      <c r="G343" s="4">
        <f>Daily_Visit_Log!Y343</f>
        <v/>
      </c>
      <c r="H343" s="4">
        <f>Daily_Visit_Log!Q343</f>
        <v/>
      </c>
      <c r="I343" s="4">
        <f>IF(F343&lt;5,"YES","NO")</f>
        <v/>
      </c>
      <c r="J343" s="4">
        <f>MIN(100,IF(F343&gt;=30,50,IF(F343&gt;=15,40,IF(F343&gt;=5,25,10)))+IF(H343&gt;=50,50,IF(H343&gt;=30,40,IF(H343&gt;=20,30,IF(H343&gt;=10,20,10)))))</f>
        <v/>
      </c>
    </row>
    <row r="344">
      <c r="A344" s="3" t="n">
        <v>45992</v>
      </c>
      <c r="B344" s="4" t="inlineStr">
        <is>
          <t>WELCOME STEEL</t>
        </is>
      </c>
      <c r="C344" s="4" t="inlineStr">
        <is>
          <t>01/12/2025, 7:15 pm</t>
        </is>
      </c>
      <c r="D344" s="4" t="inlineStr">
        <is>
          <t>01/12/2025, 7:16 pm</t>
        </is>
      </c>
      <c r="E344" s="4" t="inlineStr">
        <is>
          <t>Got future date</t>
        </is>
      </c>
      <c r="F344" s="4">
        <f>Daily_Visit_Log!F344</f>
        <v/>
      </c>
      <c r="G344" s="4">
        <f>Daily_Visit_Log!Y344</f>
        <v/>
      </c>
      <c r="H344" s="4">
        <f>Daily_Visit_Log!Q344</f>
        <v/>
      </c>
      <c r="I344" s="4">
        <f>IF(F344&lt;5,"YES","NO")</f>
        <v/>
      </c>
      <c r="J344" s="4">
        <f>MIN(100,IF(F344&gt;=30,50,IF(F344&gt;=15,40,IF(F344&gt;=5,25,10)))+IF(H344&gt;=50,50,IF(H344&gt;=30,40,IF(H344&gt;=20,30,IF(H344&gt;=10,20,10)))))</f>
        <v/>
      </c>
    </row>
    <row r="345">
      <c r="A345" s="3" t="n">
        <v>45999</v>
      </c>
      <c r="B345" s="4" t="inlineStr">
        <is>
          <t>WELCOME STEEL</t>
        </is>
      </c>
      <c r="C345" s="4" t="inlineStr">
        <is>
          <t>08/12/2025, 7:28 pm</t>
        </is>
      </c>
      <c r="D345" s="4" t="inlineStr">
        <is>
          <t>08/12/2025, 7:32 pm</t>
        </is>
      </c>
      <c r="E345" s="4" t="inlineStr">
        <is>
          <t>Got future date</t>
        </is>
      </c>
      <c r="F345" s="4">
        <f>Daily_Visit_Log!F345</f>
        <v/>
      </c>
      <c r="G345" s="4">
        <f>Daily_Visit_Log!Y345</f>
        <v/>
      </c>
      <c r="H345" s="4">
        <f>Daily_Visit_Log!Q345</f>
        <v/>
      </c>
      <c r="I345" s="4">
        <f>IF(F345&lt;5,"YES","NO")</f>
        <v/>
      </c>
      <c r="J345" s="4">
        <f>MIN(100,IF(F345&gt;=30,50,IF(F345&gt;=15,40,IF(F345&gt;=5,25,10)))+IF(H345&gt;=50,50,IF(H345&gt;=30,40,IF(H345&gt;=20,30,IF(H345&gt;=10,20,10)))))</f>
        <v/>
      </c>
    </row>
    <row r="346">
      <c r="A346" s="3" t="n">
        <v>46015</v>
      </c>
      <c r="B346" s="4" t="inlineStr">
        <is>
          <t>WELCOME STEEL</t>
        </is>
      </c>
      <c r="C346" s="4" t="inlineStr">
        <is>
          <t>24/12/2025, 5:44 pm</t>
        </is>
      </c>
      <c r="D346" s="4" t="inlineStr"/>
      <c r="E346" s="4" t="inlineStr"/>
      <c r="F346" s="4">
        <f>Daily_Visit_Log!F346</f>
        <v/>
      </c>
      <c r="G346" s="4">
        <f>Daily_Visit_Log!Y346</f>
        <v/>
      </c>
      <c r="H346" s="4">
        <f>Daily_Visit_Log!Q346</f>
        <v/>
      </c>
      <c r="I346" s="4">
        <f>IF(F346&lt;5,"YES","NO")</f>
        <v/>
      </c>
      <c r="J346" s="4">
        <f>MIN(100,IF(F346&gt;=30,50,IF(F346&gt;=15,40,IF(F346&gt;=5,25,10)))+IF(H346&gt;=50,50,IF(H346&gt;=30,40,IF(H346&gt;=20,30,IF(H346&gt;=10,20,10)))))</f>
        <v/>
      </c>
    </row>
    <row r="347">
      <c r="A347" s="3" t="n">
        <v>46015</v>
      </c>
      <c r="B347" s="4" t="inlineStr">
        <is>
          <t>WELCOME STEEL</t>
        </is>
      </c>
      <c r="C347" s="4" t="inlineStr">
        <is>
          <t>24/12/2025, 6:17 pm</t>
        </is>
      </c>
      <c r="D347" s="4" t="inlineStr">
        <is>
          <t>24/12/2025, 6:18 pm</t>
        </is>
      </c>
      <c r="E347" s="4" t="inlineStr">
        <is>
          <t>Got future date</t>
        </is>
      </c>
      <c r="F347" s="4">
        <f>Daily_Visit_Log!F347</f>
        <v/>
      </c>
      <c r="G347" s="4">
        <f>Daily_Visit_Log!Y347</f>
        <v/>
      </c>
      <c r="H347" s="4">
        <f>Daily_Visit_Log!Q347</f>
        <v/>
      </c>
      <c r="I347" s="4">
        <f>IF(F347&lt;5,"YES","NO")</f>
        <v/>
      </c>
      <c r="J347" s="4">
        <f>MIN(100,IF(F347&gt;=30,50,IF(F347&gt;=15,40,IF(F347&gt;=5,25,10)))+IF(H347&gt;=50,50,IF(H347&gt;=30,40,IF(H347&gt;=20,30,IF(H347&gt;=10,20,10)))))</f>
        <v/>
      </c>
    </row>
    <row r="348">
      <c r="A348" s="3" t="n">
        <v>46020</v>
      </c>
      <c r="B348" s="4" t="inlineStr">
        <is>
          <t>WELCOME STEEL</t>
        </is>
      </c>
      <c r="C348" s="4" t="inlineStr">
        <is>
          <t>29/12/2025, 5:59 pm</t>
        </is>
      </c>
      <c r="D348" s="4" t="inlineStr">
        <is>
          <t>29/12/2025, 6:01 pm</t>
        </is>
      </c>
      <c r="E348" s="4" t="inlineStr">
        <is>
          <t>Got future date</t>
        </is>
      </c>
      <c r="F348" s="4">
        <f>Daily_Visit_Log!F348</f>
        <v/>
      </c>
      <c r="G348" s="4">
        <f>Daily_Visit_Log!Y348</f>
        <v/>
      </c>
      <c r="H348" s="4">
        <f>Daily_Visit_Log!Q348</f>
        <v/>
      </c>
      <c r="I348" s="4">
        <f>IF(F348&lt;5,"YES","NO")</f>
        <v/>
      </c>
      <c r="J348" s="4">
        <f>MIN(100,IF(F348&gt;=30,50,IF(F348&gt;=15,40,IF(F348&gt;=5,25,10)))+IF(H348&gt;=50,50,IF(H348&gt;=30,40,IF(H348&gt;=20,30,IF(H348&gt;=10,20,10)))))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2" t="inlineStr">
        <is>
          <t>Section</t>
        </is>
      </c>
      <c r="B1" s="2" t="inlineStr">
        <is>
          <t>Details</t>
        </is>
      </c>
    </row>
    <row r="2">
      <c r="A2" s="4" t="inlineStr">
        <is>
          <t>Data Source</t>
        </is>
      </c>
      <c r="B2" s="4" t="inlineStr">
        <is>
          <t>report1770198136609.xls</t>
        </is>
      </c>
    </row>
    <row r="3">
      <c r="A3" s="4" t="inlineStr">
        <is>
          <t>Analysis Period</t>
        </is>
      </c>
      <c r="B3" s="4" t="inlineStr">
        <is>
          <t>November 2025 - February 2026</t>
        </is>
      </c>
    </row>
    <row r="4">
      <c r="A4" s="4" t="inlineStr">
        <is>
          <t>Total Records</t>
        </is>
      </c>
      <c r="B4" s="4" t="inlineStr">
        <is>
          <t>347 visit records</t>
        </is>
      </c>
    </row>
    <row r="5">
      <c r="A5" s="4" t="inlineStr">
        <is>
          <t>Date Range</t>
        </is>
      </c>
      <c r="B5" s="4" t="inlineStr">
        <is>
          <t>2025-11-04 to 2026-02-04</t>
        </is>
      </c>
    </row>
    <row r="6">
      <c r="A6" s="4" t="inlineStr"/>
      <c r="B6" s="4" t="inlineStr"/>
    </row>
    <row r="7">
      <c r="A7" s="4" t="inlineStr">
        <is>
          <t>Calculations</t>
        </is>
      </c>
      <c r="B7" s="4" t="inlineStr">
        <is>
          <t>Duration (min) = (Check-out DateTime - Check-in DateTime) * 24 * 60</t>
        </is>
      </c>
    </row>
    <row r="8">
      <c r="A8" s="4" t="inlineStr"/>
      <c r="B8" s="4" t="inlineStr">
        <is>
          <t>Working Days = Count of unique dates with visits (excluding Sundays)</t>
        </is>
      </c>
    </row>
    <row r="9">
      <c r="A9" s="4" t="inlineStr"/>
      <c r="B9" s="4" t="inlineStr">
        <is>
          <t>Avg Visits/Day = Total Visits / Working Days</t>
        </is>
      </c>
    </row>
    <row r="10">
      <c r="A10" s="4" t="inlineStr"/>
      <c r="B10" s="4" t="inlineStr">
        <is>
          <t>Repeat Visit Rate = (Repeat Customers / Unique Customers) * 100</t>
        </is>
      </c>
    </row>
    <row r="11">
      <c r="A11" s="4" t="inlineStr"/>
      <c r="B11" s="4" t="inlineStr">
        <is>
          <t>Concentration Index = (Top 3 Pin Code Visits / Total Visits) * 100</t>
        </is>
      </c>
    </row>
    <row r="12">
      <c r="A12" s="4" t="inlineStr"/>
      <c r="B12" s="4" t="inlineStr">
        <is>
          <t>Quality Score = Duration component (50 pts) + Comments component (50 pts)</t>
        </is>
      </c>
    </row>
    <row r="13">
      <c r="A13" s="4" t="inlineStr"/>
      <c r="B13" s="4" t="inlineStr">
        <is>
          <t>Visit Number = Running count per customer ordered by check-in datetime</t>
        </is>
      </c>
    </row>
    <row r="14">
      <c r="A14" s="4" t="inlineStr">
        <is>
          <t>Quality Thresholds</t>
        </is>
      </c>
      <c r="B14" s="4" t="inlineStr"/>
    </row>
    <row r="15">
      <c r="A15" s="4" t="inlineStr"/>
      <c r="B15" s="4" t="inlineStr">
        <is>
          <t>Short Visit: &lt;5 minutes</t>
        </is>
      </c>
    </row>
    <row r="16">
      <c r="A16" s="4" t="inlineStr"/>
      <c r="B16" s="4" t="inlineStr">
        <is>
          <t>High Frequency Customer: 10+ visits in analysis period</t>
        </is>
      </c>
    </row>
    <row r="17">
      <c r="A17" s="4" t="inlineStr">
        <is>
          <t>Working Days</t>
        </is>
      </c>
      <c r="B17" s="4" t="inlineStr"/>
    </row>
    <row r="18">
      <c r="A18" s="4" t="inlineStr"/>
      <c r="B18" s="4" t="inlineStr">
        <is>
          <t>Sundays excluded from working day count, only days with visits counted</t>
        </is>
      </c>
    </row>
    <row r="19">
      <c r="A19" s="4" t="inlineStr">
        <is>
          <t>Assumptions</t>
        </is>
      </c>
      <c r="B19" s="4" t="inlineStr"/>
    </row>
    <row r="20">
      <c r="A20" s="4" t="inlineStr"/>
      <c r="B20" s="4" t="inlineStr">
        <is>
          <t>No public holidays accounted for beyond Sundays</t>
        </is>
      </c>
    </row>
    <row r="21">
      <c r="A21" s="4" t="inlineStr"/>
      <c r="B21" s="4" t="inlineStr">
        <is>
          <t>Monthly Potential and Taluka fields were empty in source data</t>
        </is>
      </c>
    </row>
    <row r="22">
      <c r="A22" s="4" t="inlineStr">
        <is>
          <t>Data Quality</t>
        </is>
      </c>
      <c r="B22" s="4" t="inlineStr"/>
    </row>
    <row r="23">
      <c r="A23" s="4" t="inlineStr"/>
      <c r="B23" s="4" t="inlineStr">
        <is>
          <t>99.4% data completeness across all fields</t>
        </is>
      </c>
    </row>
    <row r="24">
      <c r="A24" s="4" t="inlineStr"/>
      <c r="B24" s="4" t="inlineStr">
        <is>
          <t>All formulas are dynamic and will recalculate with data changes</t>
        </is>
      </c>
    </row>
    <row r="25">
      <c r="A25" s="4" t="inlineStr">
        <is>
          <t>Limitations</t>
        </is>
      </c>
      <c r="B25" s="4" t="inlineStr"/>
    </row>
    <row r="26">
      <c r="A26" s="4" t="inlineStr"/>
      <c r="B26" s="4" t="inlineStr">
        <is>
          <t>Nov: 97, Dec: 131, Jan: 117, Feb: 2 visits</t>
        </is>
      </c>
    </row>
    <row r="27">
      <c r="A27" s="4" t="inlineStr"/>
      <c r="B27" s="4" t="inlineStr">
        <is>
          <t>Coordinate precision limited to ~100m for clustering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2026-02-04T10:41:57Z</dcterms:created>
  <dcterms:modified xmlns:dcterms="http://purl.org/dc/terms/" xmlns:xsi="http://www.w3.org/2001/XMLSchema-instance" xsi:type="dcterms:W3CDTF">2026-02-04T10:41:57Z</dcterms:modified>
</cp:coreProperties>
</file>