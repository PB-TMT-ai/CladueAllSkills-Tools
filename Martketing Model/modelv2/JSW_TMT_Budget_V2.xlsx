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dget Control" sheetId="2" state="visible" r:id="rId2"/>
    <sheet xmlns:r="http://schemas.openxmlformats.org/officeDocument/2006/relationships" name="Obj1 - Helix Launch" sheetId="3" state="visible" r:id="rId3"/>
    <sheet xmlns:r="http://schemas.openxmlformats.org/officeDocument/2006/relationships" name="Obj2 - JSW ONE Grow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1F4E79"/>
      <sz val="11"/>
    </font>
    <font>
      <name val="Calibri"/>
      <b val="1"/>
      <color rgb="00FFFFFF"/>
      <sz val="12"/>
    </font>
    <font>
      <name val="Calibri"/>
      <b val="1"/>
      <color rgb="00FFFFFF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color rgb="00808080"/>
      <sz val="9"/>
    </font>
    <font>
      <name val="Calibri"/>
      <b val="1"/>
      <color rgb="001F4E79"/>
      <sz val="16"/>
    </font>
    <font>
      <name val="Calibri"/>
      <b val="1"/>
      <color rgb="001F4E79"/>
      <sz val="13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9DC3E6"/>
        <bgColor rgb="009DC3E6"/>
      </patternFill>
    </fill>
    <fill>
      <patternFill patternType="solid">
        <fgColor rgb="00DAEEF3"/>
        <bgColor rgb="00DAEEF3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  <fill>
      <patternFill patternType="solid">
        <fgColor rgb="00EBF1DE"/>
        <bgColor rgb="00EBF1DE"/>
      </patternFill>
    </fill>
    <fill>
      <patternFill patternType="solid">
        <fgColor rgb="00FDE9D9"/>
        <bgColor rgb="00FDE9D9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0" fillId="3" borderId="0" applyAlignment="1" pivotButton="0" quotePrefix="0" xfId="0">
      <alignment horizontal="center"/>
    </xf>
    <xf numFmtId="0" fontId="0" fillId="3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1" fillId="12" borderId="1" applyAlignment="1" pivotButton="0" quotePrefix="0" xfId="0">
      <alignment horizontal="center"/>
    </xf>
    <xf numFmtId="0" fontId="0" fillId="0" borderId="5" pivotButton="0" quotePrefix="0" xfId="0"/>
    <xf numFmtId="3" fontId="12" fillId="12" borderId="1" applyAlignment="1" pivotButton="0" quotePrefix="0" xfId="0">
      <alignment horizontal="center"/>
    </xf>
    <xf numFmtId="3" fontId="13" fillId="12" borderId="1" applyAlignment="1" pivotButton="0" quotePrefix="0" xfId="0">
      <alignment horizontal="center"/>
    </xf>
    <xf numFmtId="10" fontId="13" fillId="12" borderId="1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5" fillId="7" borderId="1" pivotButton="0" quotePrefix="0" xfId="0"/>
    <xf numFmtId="0" fontId="4" fillId="0" borderId="1" pivotButton="0" quotePrefix="0" xfId="0"/>
    <xf numFmtId="3" fontId="5" fillId="5" borderId="1" pivotButton="0" quotePrefix="0" xfId="0"/>
    <xf numFmtId="3" fontId="4" fillId="5" borderId="1" pivotButton="0" quotePrefix="0" xfId="0"/>
    <xf numFmtId="0" fontId="2" fillId="0" borderId="0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9" borderId="1" pivotButton="0" quotePrefix="0" xfId="0"/>
    <xf numFmtId="0" fontId="0" fillId="9" borderId="1" pivotButton="0" quotePrefix="0" xfId="0"/>
    <xf numFmtId="3" fontId="5" fillId="9" borderId="1" pivotButton="0" quotePrefix="0" xfId="0"/>
    <xf numFmtId="0" fontId="3" fillId="2" borderId="1" pivotButton="0" quotePrefix="0" xfId="0"/>
    <xf numFmtId="3" fontId="8" fillId="2" borderId="1" pivotButton="0" quotePrefix="0" xfId="0"/>
    <xf numFmtId="164" fontId="4" fillId="5" borderId="1" pivotButton="0" quotePrefix="0" xfId="0"/>
    <xf numFmtId="0" fontId="5" fillId="0" borderId="1" pivotButton="0" quotePrefix="0" xfId="0"/>
    <xf numFmtId="164" fontId="5" fillId="9" borderId="1" pivotButton="0" quotePrefix="0" xfId="0"/>
    <xf numFmtId="3" fontId="4" fillId="7" borderId="1" pivotButton="0" quotePrefix="0" xfId="0"/>
    <xf numFmtId="3" fontId="4" fillId="10" borderId="1" pivotButton="0" quotePrefix="0" xfId="0"/>
    <xf numFmtId="0" fontId="1" fillId="2" borderId="0" pivotButton="0" quotePrefix="0" xfId="0"/>
    <xf numFmtId="3" fontId="5" fillId="4" borderId="1" applyProtection="1" pivotButton="0" quotePrefix="0" xfId="0">
      <protection locked="0" hidden="0"/>
    </xf>
    <xf numFmtId="164" fontId="5" fillId="4" borderId="1" applyProtection="1" pivotButton="0" quotePrefix="0" xfId="0">
      <protection locked="0" hidden="0"/>
    </xf>
    <xf numFmtId="164" fontId="5" fillId="5" borderId="1" pivotButton="0" quotePrefix="0" xfId="0"/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0" borderId="1" pivotButton="0" quotePrefix="0" xfId="0"/>
    <xf numFmtId="165" fontId="5" fillId="4" borderId="1" applyProtection="1" pivotButton="0" quotePrefix="0" xfId="0">
      <protection locked="0" hidden="0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6" borderId="1" applyAlignment="1" pivotButton="0" quotePrefix="0" xfId="0">
      <alignment vertical="center" wrapText="1"/>
    </xf>
    <xf numFmtId="3" fontId="4" fillId="4" borderId="1" applyProtection="1" pivotButton="0" quotePrefix="0" xfId="0">
      <protection locked="0" hidden="0"/>
    </xf>
    <xf numFmtId="0" fontId="5" fillId="5" borderId="1" pivotButton="0" quotePrefix="0" xfId="0"/>
    <xf numFmtId="0" fontId="0" fillId="5" borderId="1" pivotButton="0" quotePrefix="0" xfId="0"/>
    <xf numFmtId="0" fontId="4" fillId="5" borderId="1" pivotButton="0" quotePrefix="0" xfId="0"/>
    <xf numFmtId="0" fontId="6" fillId="7" borderId="1" applyAlignment="1" pivotButton="0" quotePrefix="0" xfId="0">
      <alignment horizontal="left" vertical="center"/>
    </xf>
    <xf numFmtId="0" fontId="0" fillId="7" borderId="1" pivotButton="0" quotePrefix="0" xfId="0"/>
    <xf numFmtId="3" fontId="4" fillId="8" borderId="1" pivotButton="0" quotePrefix="0" xfId="0"/>
    <xf numFmtId="0" fontId="7" fillId="2" borderId="1" pivotButton="0" quotePrefix="0" xfId="0"/>
    <xf numFmtId="3" fontId="5" fillId="8" borderId="1" pivotButton="0" quotePrefix="0" xfId="0"/>
    <xf numFmtId="10" fontId="5" fillId="5" borderId="1" pivotButton="0" quotePrefix="0" xfId="0"/>
    <xf numFmtId="10" fontId="4" fillId="5" borderId="1" pivotButton="0" quotePrefix="0" xfId="0"/>
    <xf numFmtId="0" fontId="6" fillId="10" borderId="1" applyAlignment="1" pivotButton="0" quotePrefix="0" xfId="0">
      <alignment horizontal="left" vertical="center"/>
    </xf>
    <xf numFmtId="0" fontId="0" fillId="10" borderId="1" pivotButton="0" quotePrefix="0" xfId="0"/>
    <xf numFmtId="3" fontId="4" fillId="11" borderId="1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>
          <fgColor rgb="00C6EFCE"/>
        </patternFill>
      </fill>
    </dxf>
    <dxf>
      <font>
        <b val="1"/>
        <color rgb="009C0006"/>
      </font>
      <fill>
        <patternFill>
          <fgColor rgb="00FFC7CE"/>
        </patternFill>
      </fill>
    </dxf>
    <dxf>
      <font>
        <color rgb="009C0006"/>
      </font>
      <fill>
        <patternFill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Spend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Summary'!$B$29:$B$32</f>
            </numRef>
          </cat>
          <val>
            <numRef>
              <f>'Executive Summary'!$C$29:$C$32</f>
            </numRef>
          </val>
        </ser>
        <ser>
          <idx val="1"/>
          <order val="1"/>
          <tx>
            <strRef>
              <f>'Executive Summary'!D28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Summary'!$B$29:$B$32</f>
            </numRef>
          </cat>
          <val>
            <numRef>
              <f>'Executive Summary'!$D$29:$D$32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30" customWidth="1" min="10" max="10"/>
  </cols>
  <sheetData>
    <row r="1">
      <c r="A1" s="1" t="inlineStr">
        <is>
          <t>JSW STEEL TMT - MARKETING BUDGET FY 2026-27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Executive Summary - Management Review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KEY PERFORMANCE INDICATORS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B5" s="7" t="inlineStr">
        <is>
          <t>Total Budget</t>
        </is>
      </c>
      <c r="C5" s="8" t="n"/>
      <c r="D5" s="7" t="inlineStr">
        <is>
          <t>Helix Budget</t>
        </is>
      </c>
      <c r="E5" s="8" t="n"/>
      <c r="F5" s="7" t="inlineStr">
        <is>
          <t>JSW ONE Budget</t>
        </is>
      </c>
      <c r="G5" s="8" t="n"/>
      <c r="H5" s="7" t="inlineStr">
        <is>
          <t>Total Volume</t>
        </is>
      </c>
      <c r="I5" s="8" t="n"/>
    </row>
    <row r="6">
      <c r="B6" s="9">
        <f>'Budget Control'!C6</f>
        <v/>
      </c>
      <c r="C6" s="8" t="n"/>
      <c r="D6" s="9">
        <f>'Budget Control'!C16</f>
        <v/>
      </c>
      <c r="E6" s="8" t="n"/>
      <c r="F6" s="9">
        <f>'Budget Control'!C17</f>
        <v/>
      </c>
      <c r="G6" s="8" t="n"/>
      <c r="H6" s="9">
        <f>'Budget Control'!C37+'Budget Control'!C43</f>
        <v/>
      </c>
      <c r="I6" s="8" t="n"/>
    </row>
    <row r="8">
      <c r="B8" s="7" t="inlineStr">
        <is>
          <t>Blended Cost/MT</t>
        </is>
      </c>
      <c r="C8" s="8" t="n"/>
      <c r="D8" s="7" t="inlineStr">
        <is>
          <t>Contingency</t>
        </is>
      </c>
      <c r="E8" s="8" t="n"/>
      <c r="F8" s="7" t="inlineStr">
        <is>
          <t>Helix A/S Ratio</t>
        </is>
      </c>
      <c r="G8" s="8" t="n"/>
      <c r="H8" s="7" t="inlineStr">
        <is>
          <t>JSW ONE A/S Ratio</t>
        </is>
      </c>
      <c r="I8" s="8" t="n"/>
    </row>
    <row r="9">
      <c r="B9" s="10">
        <f>IF(('Budget Control'!C37+'Budget Control'!C43)&gt;0,('Budget Control'!C16+'Budget Control'!C17)/('Budget Control'!C37+'Budget Control'!C43),0)</f>
        <v/>
      </c>
      <c r="C9" s="8" t="n"/>
      <c r="D9" s="10">
        <f>'Budget Control'!C20</f>
        <v/>
      </c>
      <c r="E9" s="8" t="n"/>
      <c r="F9" s="11">
        <f>'Obj1 - Helix Launch'!E56</f>
        <v/>
      </c>
      <c r="G9" s="8" t="n"/>
      <c r="H9" s="11">
        <f>'Obj2 - JSW ONE Growth'!F60</f>
        <v/>
      </c>
      <c r="I9" s="8" t="n"/>
    </row>
    <row r="11">
      <c r="A11" s="5" t="inlineStr">
        <is>
          <t>STRATEGIC OBJECTIVES OVERVIEW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12" t="inlineStr"/>
      <c r="B12" s="12" t="inlineStr">
        <is>
          <t>Objective</t>
        </is>
      </c>
      <c r="C12" s="12" t="inlineStr">
        <is>
          <t>Brand</t>
        </is>
      </c>
      <c r="D12" s="12" t="inlineStr">
        <is>
          <t>Geography</t>
        </is>
      </c>
      <c r="E12" s="12" t="inlineStr">
        <is>
          <t>Budget (Rs.)</t>
        </is>
      </c>
      <c r="F12" s="12" t="inlineStr">
        <is>
          <t>Volume (MT)</t>
        </is>
      </c>
      <c r="G12" s="12" t="inlineStr">
        <is>
          <t>Cost/MT</t>
        </is>
      </c>
      <c r="H12" s="12" t="inlineStr">
        <is>
          <t>ATL/BTL</t>
        </is>
      </c>
      <c r="I12" s="12" t="inlineStr"/>
      <c r="J12" s="12" t="inlineStr">
        <is>
          <t>Key Focus</t>
        </is>
      </c>
    </row>
    <row r="13">
      <c r="B13" s="13" t="inlineStr">
        <is>
          <t>Obj1: National Launch</t>
        </is>
      </c>
      <c r="C13" s="14" t="inlineStr">
        <is>
          <t>One Helix TMT</t>
        </is>
      </c>
      <c r="D13" s="14" t="inlineStr">
        <is>
          <t>Pan-India (250 dist)</t>
        </is>
      </c>
      <c r="E13" s="15">
        <f>'Budget Control'!C16</f>
        <v/>
      </c>
      <c r="F13" s="16">
        <f>'Budget Control'!C37</f>
        <v/>
      </c>
      <c r="G13" s="16">
        <f>'Obj1 - Helix Launch'!E54</f>
        <v/>
      </c>
      <c r="H13" s="14" t="inlineStr">
        <is>
          <t>40:60</t>
        </is>
      </c>
      <c r="J13" s="17" t="inlineStr">
        <is>
          <t>Brand awareness + dealer activation</t>
        </is>
      </c>
    </row>
    <row r="14">
      <c r="B14" s="18" t="inlineStr">
        <is>
          <t>Obj2A: East Growth</t>
        </is>
      </c>
      <c r="C14" s="14" t="inlineStr">
        <is>
          <t>JSW ONE TMT</t>
        </is>
      </c>
      <c r="D14" s="14" t="inlineStr">
        <is>
          <t>Bihar, WB, JH, OD</t>
        </is>
      </c>
      <c r="E14" s="15">
        <f>'Budget Control'!C18</f>
        <v/>
      </c>
      <c r="F14" s="16">
        <f>'Budget Control'!C43*'Budget Control'!C48</f>
        <v/>
      </c>
      <c r="G14" s="16">
        <f>IF(F14&gt;0,E14/F14,0)</f>
        <v/>
      </c>
      <c r="H14" s="14" t="inlineStr">
        <is>
          <t>BTL heavy</t>
        </is>
      </c>
      <c r="J14" s="17" t="inlineStr">
        <is>
          <t>Market penetration + retailer network</t>
        </is>
      </c>
    </row>
    <row r="15">
      <c r="B15" s="19" t="inlineStr">
        <is>
          <t>Obj2B: UP+HR 2x Growth</t>
        </is>
      </c>
      <c r="C15" s="14" t="inlineStr">
        <is>
          <t>JSW ONE TMT</t>
        </is>
      </c>
      <c r="D15" s="14" t="inlineStr">
        <is>
          <t>UP &amp; Haryana</t>
        </is>
      </c>
      <c r="E15" s="15">
        <f>'Budget Control'!C19</f>
        <v/>
      </c>
      <c r="F15" s="16">
        <f>'Budget Control'!C43*'Budget Control'!C49</f>
        <v/>
      </c>
      <c r="G15" s="16">
        <f>IF(F15&gt;0,E15/F15,0)</f>
        <v/>
      </c>
      <c r="H15" s="14" t="inlineStr">
        <is>
          <t>BTL heavy</t>
        </is>
      </c>
      <c r="J15" s="17" t="inlineStr">
        <is>
          <t>Aggressive volume push + conversion</t>
        </is>
      </c>
    </row>
    <row r="16">
      <c r="B16" s="20" t="inlineStr">
        <is>
          <t>Contingency Reserve</t>
        </is>
      </c>
      <c r="C16" s="21" t="n"/>
      <c r="D16" s="21" t="n"/>
      <c r="E16" s="22">
        <f>'Budget Control'!C20</f>
        <v/>
      </c>
      <c r="F16" s="21" t="n"/>
      <c r="G16" s="21" t="n"/>
      <c r="H16" s="21" t="n"/>
    </row>
    <row r="17">
      <c r="B17" s="23" t="inlineStr">
        <is>
          <t>TOTAL</t>
        </is>
      </c>
      <c r="C17" s="6" t="n"/>
      <c r="D17" s="6" t="n"/>
      <c r="E17" s="24">
        <f>'Budget Control'!C6</f>
        <v/>
      </c>
      <c r="F17" s="24">
        <f>'Budget Control'!C37+'Budget Control'!C43</f>
        <v/>
      </c>
      <c r="G17" s="6" t="n"/>
      <c r="H17" s="6" t="n"/>
      <c r="J17" s="6" t="n"/>
    </row>
    <row r="19">
      <c r="A19" s="5" t="inlineStr">
        <is>
          <t>BUDGET ALLOCATION BREAKDOWN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12" t="inlineStr"/>
      <c r="B20" s="12" t="inlineStr">
        <is>
          <t>Category</t>
        </is>
      </c>
      <c r="C20" s="12" t="inlineStr">
        <is>
          <t>Obj1: Helix</t>
        </is>
      </c>
      <c r="D20" s="12" t="inlineStr">
        <is>
          <t>Obj2A: East</t>
        </is>
      </c>
      <c r="E20" s="12" t="inlineStr">
        <is>
          <t>Obj2B: UP+HR</t>
        </is>
      </c>
      <c r="F20" s="12" t="inlineStr">
        <is>
          <t>Total Obj2</t>
        </is>
      </c>
      <c r="G20" s="12" t="inlineStr">
        <is>
          <t>Grand Total</t>
        </is>
      </c>
      <c r="H20" s="12" t="inlineStr">
        <is>
          <t>% of Budget</t>
        </is>
      </c>
    </row>
    <row r="21">
      <c r="B21" s="14" t="inlineStr">
        <is>
          <t>Allocated Budget</t>
        </is>
      </c>
      <c r="C21" s="16">
        <f>'Budget Control'!C16</f>
        <v/>
      </c>
      <c r="D21" s="16">
        <f>'Budget Control'!C18</f>
        <v/>
      </c>
      <c r="E21" s="16">
        <f>'Budget Control'!C19</f>
        <v/>
      </c>
      <c r="F21" s="16">
        <f>D21+E21</f>
        <v/>
      </c>
      <c r="G21" s="16">
        <f>C21+F21</f>
        <v/>
      </c>
      <c r="H21" s="25">
        <f>IF('Budget Control'!C6&lt;&gt;0,G21/'Budget Control'!C6,0)</f>
        <v/>
      </c>
    </row>
    <row r="22">
      <c r="B22" s="14" t="inlineStr">
        <is>
          <t>ATL Spend</t>
        </is>
      </c>
      <c r="C22" s="16">
        <f>'Obj1 - Helix Launch'!E25</f>
        <v/>
      </c>
      <c r="D22" s="16">
        <f>'Obj2 - JSW ONE Growth'!D27</f>
        <v/>
      </c>
      <c r="E22" s="16">
        <f>'Obj2 - JSW ONE Growth'!F27</f>
        <v/>
      </c>
      <c r="F22" s="16">
        <f>D22+E22</f>
        <v/>
      </c>
      <c r="G22" s="16">
        <f>C22+F22</f>
        <v/>
      </c>
      <c r="H22" s="25">
        <f>IF('Budget Control'!C6&lt;&gt;0,G22/'Budget Control'!C6,0)</f>
        <v/>
      </c>
    </row>
    <row r="23">
      <c r="B23" s="14" t="inlineStr">
        <is>
          <t>BTL Spend</t>
        </is>
      </c>
      <c r="C23" s="16">
        <f>'Obj1 - Helix Launch'!E42</f>
        <v/>
      </c>
      <c r="D23" s="16">
        <f>'Obj2 - JSW ONE Growth'!D44</f>
        <v/>
      </c>
      <c r="E23" s="16">
        <f>'Obj2 - JSW ONE Growth'!F44</f>
        <v/>
      </c>
      <c r="F23" s="16">
        <f>D23+E23</f>
        <v/>
      </c>
      <c r="G23" s="16">
        <f>C23+F23</f>
        <v/>
      </c>
      <c r="H23" s="25">
        <f>IF('Budget Control'!C6&lt;&gt;0,G23/'Budget Control'!C6,0)</f>
        <v/>
      </c>
    </row>
    <row r="24">
      <c r="B24" s="26" t="inlineStr">
        <is>
          <t>Total Spend</t>
        </is>
      </c>
      <c r="C24" s="22">
        <f>'Obj1 - Helix Launch'!E43</f>
        <v/>
      </c>
      <c r="D24" s="22">
        <f>'Obj2 - JSW ONE Growth'!D45</f>
        <v/>
      </c>
      <c r="E24" s="22">
        <f>'Obj2 - JSW ONE Growth'!F45</f>
        <v/>
      </c>
      <c r="F24" s="22">
        <f>D24+E24</f>
        <v/>
      </c>
      <c r="G24" s="22">
        <f>C24+F24</f>
        <v/>
      </c>
      <c r="H24" s="27">
        <f>IF('Budget Control'!C6&lt;&gt;0,G24/'Budget Control'!C6,0)</f>
        <v/>
      </c>
    </row>
    <row r="27">
      <c r="A27" s="5" t="inlineStr">
        <is>
          <t>QUARTERLY SPEND PLAN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12" t="inlineStr"/>
      <c r="B28" s="12" t="inlineStr">
        <is>
          <t>Quarter</t>
        </is>
      </c>
      <c r="C28" s="12" t="inlineStr">
        <is>
          <t>Obj1: Helix</t>
        </is>
      </c>
      <c r="D28" s="12" t="inlineStr">
        <is>
          <t>Obj2: JSW ONE</t>
        </is>
      </c>
      <c r="E28" s="12" t="inlineStr">
        <is>
          <t>Total</t>
        </is>
      </c>
      <c r="F28" s="12" t="inlineStr">
        <is>
          <t>% of Annual</t>
        </is>
      </c>
    </row>
    <row r="29">
      <c r="B29" s="14" t="inlineStr">
        <is>
          <t>Q1 (Apr-Jun)</t>
        </is>
      </c>
      <c r="C29" s="28">
        <f>'Obj1 - Helix Launch'!F43</f>
        <v/>
      </c>
      <c r="D29" s="29">
        <f>'Obj2 - JSW ONE Growth'!H45</f>
        <v/>
      </c>
      <c r="E29" s="15">
        <f>C29+D29</f>
        <v/>
      </c>
      <c r="F29" s="25">
        <f>IF(E33&lt;&gt;0,E29/E33,0)</f>
        <v/>
      </c>
    </row>
    <row r="30">
      <c r="B30" s="14" t="inlineStr">
        <is>
          <t>Q2 (Jul-Sep)</t>
        </is>
      </c>
      <c r="C30" s="28">
        <f>'Obj1 - Helix Launch'!G43</f>
        <v/>
      </c>
      <c r="D30" s="29">
        <f>'Obj2 - JSW ONE Growth'!I45</f>
        <v/>
      </c>
      <c r="E30" s="15">
        <f>C30+D30</f>
        <v/>
      </c>
      <c r="F30" s="25">
        <f>IF(E33&lt;&gt;0,E30/E33,0)</f>
        <v/>
      </c>
    </row>
    <row r="31">
      <c r="B31" s="14" t="inlineStr">
        <is>
          <t>Q3 (Oct-Dec)</t>
        </is>
      </c>
      <c r="C31" s="28">
        <f>'Obj1 - Helix Launch'!H43</f>
        <v/>
      </c>
      <c r="D31" s="29">
        <f>'Obj2 - JSW ONE Growth'!J45</f>
        <v/>
      </c>
      <c r="E31" s="15">
        <f>C31+D31</f>
        <v/>
      </c>
      <c r="F31" s="25">
        <f>IF(E33&lt;&gt;0,E31/E33,0)</f>
        <v/>
      </c>
    </row>
    <row r="32">
      <c r="B32" s="14" t="inlineStr">
        <is>
          <t>Q4 (Jan-Mar)</t>
        </is>
      </c>
      <c r="C32" s="28">
        <f>'Obj1 - Helix Launch'!I43</f>
        <v/>
      </c>
      <c r="D32" s="29">
        <f>'Obj2 - JSW ONE Growth'!K45</f>
        <v/>
      </c>
      <c r="E32" s="15">
        <f>C32+D32</f>
        <v/>
      </c>
      <c r="F32" s="25">
        <f>IF(E33&lt;&gt;0,E32/E33,0)</f>
        <v/>
      </c>
    </row>
    <row r="33">
      <c r="B33" s="20" t="inlineStr">
        <is>
          <t>ANNUAL TOTAL</t>
        </is>
      </c>
      <c r="C33" s="22">
        <f>SUM(C29:C32)</f>
        <v/>
      </c>
      <c r="D33" s="22">
        <f>SUM(D29:D32)</f>
        <v/>
      </c>
      <c r="E33" s="22">
        <f>SUM(E29:E32)</f>
        <v/>
      </c>
      <c r="F33" s="27" t="n">
        <v>1</v>
      </c>
    </row>
  </sheetData>
  <mergeCells count="22">
    <mergeCell ref="A4:J4"/>
    <mergeCell ref="F6:G6"/>
    <mergeCell ref="H9:I9"/>
    <mergeCell ref="A19:J19"/>
    <mergeCell ref="D6:E6"/>
    <mergeCell ref="H6:I6"/>
    <mergeCell ref="F5:G5"/>
    <mergeCell ref="B8:C8"/>
    <mergeCell ref="F8:G8"/>
    <mergeCell ref="A11:J11"/>
    <mergeCell ref="A1:J1"/>
    <mergeCell ref="B9:C9"/>
    <mergeCell ref="D9:E9"/>
    <mergeCell ref="F9:G9"/>
    <mergeCell ref="D8:E8"/>
    <mergeCell ref="B6:C6"/>
    <mergeCell ref="B5:C5"/>
    <mergeCell ref="A2:J2"/>
    <mergeCell ref="A27:J27"/>
    <mergeCell ref="D5:E5"/>
    <mergeCell ref="H5:I5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5" customWidth="1" min="10" max="10"/>
  </cols>
  <sheetData>
    <row r="1">
      <c r="A1" s="30" t="inlineStr">
        <is>
          <t>BUDGET CONTROL &amp; REVIEW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7" t="inlineStr">
        <is>
          <t>Yellow cells are editable. All changes cascade to objective tabs and executive summary.</t>
        </is>
      </c>
    </row>
    <row r="4">
      <c r="A4" s="5" t="inlineStr">
        <is>
          <t>SECTION 1: BUDGET PARAMETERS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12" t="inlineStr">
        <is>
          <t>#</t>
        </is>
      </c>
      <c r="B5" s="12" t="inlineStr">
        <is>
          <t>Parameter</t>
        </is>
      </c>
      <c r="C5" s="12" t="inlineStr">
        <is>
          <t>Value</t>
        </is>
      </c>
      <c r="D5" s="12" t="inlineStr">
        <is>
          <t>Unit</t>
        </is>
      </c>
      <c r="E5" s="12" t="inlineStr"/>
      <c r="F5" s="12" t="inlineStr"/>
      <c r="G5" s="12" t="inlineStr"/>
      <c r="H5" s="12" t="inlineStr"/>
      <c r="I5" s="12" t="inlineStr"/>
      <c r="J5" s="12" t="inlineStr">
        <is>
          <t>Notes</t>
        </is>
      </c>
    </row>
    <row r="6">
      <c r="A6" s="14" t="n">
        <v>1</v>
      </c>
      <c r="B6" s="26" t="inlineStr">
        <is>
          <t>Total Marketing Budget</t>
        </is>
      </c>
      <c r="C6" s="31" t="n">
        <v>50000000</v>
      </c>
      <c r="D6" s="14" t="inlineStr">
        <is>
          <t>Rs.</t>
        </is>
      </c>
      <c r="J6" s="17" t="inlineStr">
        <is>
          <t>Rs. 5 Crores for FY27</t>
        </is>
      </c>
    </row>
    <row r="7">
      <c r="A7" s="14" t="n">
        <v>2</v>
      </c>
      <c r="B7" s="14" t="inlineStr">
        <is>
          <t>Objective 1 - Helix Share %</t>
        </is>
      </c>
      <c r="C7" s="32" t="n">
        <v>0.6</v>
      </c>
      <c r="D7" s="14" t="inlineStr">
        <is>
          <t>%</t>
        </is>
      </c>
      <c r="J7" s="17" t="inlineStr">
        <is>
          <t>60% for national launch</t>
        </is>
      </c>
    </row>
    <row r="8">
      <c r="A8" s="14" t="n">
        <v>3</v>
      </c>
      <c r="B8" s="14" t="inlineStr">
        <is>
          <t>Objective 2 - JSW ONE Share %</t>
        </is>
      </c>
      <c r="C8" s="33">
        <f>1-C7</f>
        <v/>
      </c>
      <c r="D8" s="14" t="inlineStr">
        <is>
          <t>%</t>
        </is>
      </c>
      <c r="J8" s="17" t="inlineStr">
        <is>
          <t>Auto = 1 - Helix%</t>
        </is>
      </c>
    </row>
    <row r="9">
      <c r="A9" s="14" t="n">
        <v>4</v>
      </c>
      <c r="B9" s="14" t="inlineStr">
        <is>
          <t xml:space="preserve">  Sub-2A East Share (of Obj2)</t>
        </is>
      </c>
      <c r="C9" s="32" t="n">
        <v>0.6</v>
      </c>
      <c r="D9" s="14" t="inlineStr">
        <is>
          <t>%</t>
        </is>
      </c>
      <c r="J9" s="17" t="inlineStr">
        <is>
          <t>60% of JSW ONE budget</t>
        </is>
      </c>
    </row>
    <row r="10">
      <c r="A10" s="14" t="n">
        <v>5</v>
      </c>
      <c r="B10" s="14" t="inlineStr">
        <is>
          <t xml:space="preserve">  Sub-2B UP+HR Share (of Obj2)</t>
        </is>
      </c>
      <c r="C10" s="33">
        <f>1-C9</f>
        <v/>
      </c>
      <c r="D10" s="14" t="inlineStr">
        <is>
          <t>%</t>
        </is>
      </c>
      <c r="J10" s="17" t="inlineStr">
        <is>
          <t>Auto = 1 - East%</t>
        </is>
      </c>
    </row>
    <row r="11">
      <c r="A11" s="14" t="n">
        <v>6</v>
      </c>
      <c r="B11" s="14" t="inlineStr">
        <is>
          <t>Contingency Reserve %</t>
        </is>
      </c>
      <c r="C11" s="32" t="n">
        <v>0.05</v>
      </c>
      <c r="D11" s="14" t="inlineStr">
        <is>
          <t>%</t>
        </is>
      </c>
      <c r="J11" s="17" t="inlineStr">
        <is>
          <t>5% held back</t>
        </is>
      </c>
    </row>
    <row r="12">
      <c r="A12" s="14" t="n">
        <v>7</v>
      </c>
      <c r="B12" s="14" t="inlineStr">
        <is>
          <t>ATL Share % (Helix)</t>
        </is>
      </c>
      <c r="C12" s="32" t="n">
        <v>0.4</v>
      </c>
      <c r="D12" s="14" t="inlineStr">
        <is>
          <t>%</t>
        </is>
      </c>
      <c r="J12" s="17" t="inlineStr">
        <is>
          <t>40% ATL, 60% BTL</t>
        </is>
      </c>
    </row>
    <row r="13">
      <c r="A13" s="14" t="n">
        <v>8</v>
      </c>
      <c r="B13" s="14" t="inlineStr">
        <is>
          <t>BTL Share % (Helix)</t>
        </is>
      </c>
      <c r="C13" s="33">
        <f>1-C12</f>
        <v/>
      </c>
      <c r="D13" s="14" t="inlineStr">
        <is>
          <t>%</t>
        </is>
      </c>
      <c r="J13" s="17" t="inlineStr">
        <is>
          <t>Auto = 1 - ATL%</t>
        </is>
      </c>
    </row>
    <row r="15">
      <c r="A15" s="34" t="inlineStr">
        <is>
          <t>DERIVED BUDGET AMOUNTS</t>
        </is>
      </c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</row>
    <row r="16">
      <c r="A16" s="36" t="inlineStr"/>
      <c r="B16" s="26" t="inlineStr">
        <is>
          <t>Helix Budget (after contingency)</t>
        </is>
      </c>
      <c r="C16" s="15">
        <f>C6*C7*(1-C11)</f>
        <v/>
      </c>
    </row>
    <row r="17">
      <c r="A17" s="36" t="inlineStr"/>
      <c r="B17" s="26" t="inlineStr">
        <is>
          <t>JSW ONE Total Budget (after contingency)</t>
        </is>
      </c>
      <c r="C17" s="15">
        <f>C6*C8*(1-C11)</f>
        <v/>
      </c>
    </row>
    <row r="18">
      <c r="A18" s="36" t="inlineStr"/>
      <c r="B18" s="26" t="inlineStr">
        <is>
          <t xml:space="preserve">  Sub-2A East Budget</t>
        </is>
      </c>
      <c r="C18" s="15">
        <f>C17*C9</f>
        <v/>
      </c>
    </row>
    <row r="19">
      <c r="A19" s="36" t="inlineStr"/>
      <c r="B19" s="26" t="inlineStr">
        <is>
          <t xml:space="preserve">  Sub-2B UP+HR Budget</t>
        </is>
      </c>
      <c r="C19" s="15">
        <f>C17*C10</f>
        <v/>
      </c>
    </row>
    <row r="20">
      <c r="A20" s="36" t="inlineStr"/>
      <c r="B20" s="26" t="inlineStr">
        <is>
          <t>Contingency Reserve</t>
        </is>
      </c>
      <c r="C20" s="15">
        <f>C6*C11</f>
        <v/>
      </c>
    </row>
    <row r="21">
      <c r="A21" s="36" t="inlineStr"/>
      <c r="B21" s="26" t="inlineStr">
        <is>
          <t>Total Allocated (Verification)</t>
        </is>
      </c>
      <c r="C21" s="15">
        <f>C16+C17+C20</f>
        <v/>
      </c>
    </row>
    <row r="23">
      <c r="A23" s="34" t="inlineStr">
        <is>
          <t>VERIFICATION CHECKS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</row>
    <row r="24">
      <c r="B24" s="26" t="inlineStr">
        <is>
          <t>Obj1 + Obj2 = 100%?</t>
        </is>
      </c>
      <c r="C24" s="26">
        <f>IF(ABS(C7+C8-1)&lt;0.001,"YES","NO")</f>
        <v/>
      </c>
    </row>
    <row r="25">
      <c r="B25" s="26" t="inlineStr">
        <is>
          <t>Sub-2A + Sub-2B = Obj2?</t>
        </is>
      </c>
      <c r="C25" s="26">
        <f>IF(ABS(C18+C19-C17)&lt;1,"YES","NO")</f>
        <v/>
      </c>
    </row>
    <row r="26">
      <c r="B26" s="26" t="inlineStr">
        <is>
          <t>Total = Budget?</t>
        </is>
      </c>
      <c r="C26" s="26">
        <f>IF(ABS(C21-C6)&lt;1,"YES","NO")</f>
        <v/>
      </c>
    </row>
    <row r="28">
      <c r="A28" s="34" t="inlineStr">
        <is>
          <t>QUARTERLY ALLOCATION</t>
        </is>
      </c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</row>
    <row r="29">
      <c r="B29" s="14" t="inlineStr">
        <is>
          <t>Q1 (Apr-Jun) %</t>
        </is>
      </c>
      <c r="C29" s="32" t="n">
        <v>0.25</v>
      </c>
      <c r="J29" s="17" t="inlineStr">
        <is>
          <t>Launch push + early summer</t>
        </is>
      </c>
    </row>
    <row r="30">
      <c r="B30" s="14" t="inlineStr">
        <is>
          <t>Q2 (Jul-Sep) %</t>
        </is>
      </c>
      <c r="C30" s="32" t="n">
        <v>0.15</v>
      </c>
      <c r="J30" s="17" t="inlineStr">
        <is>
          <t>Monsoon slowdown</t>
        </is>
      </c>
    </row>
    <row r="31">
      <c r="B31" s="14" t="inlineStr">
        <is>
          <t>Q3 (Oct-Dec) %</t>
        </is>
      </c>
      <c r="C31" s="32" t="n">
        <v>0.35</v>
      </c>
      <c r="J31" s="17" t="inlineStr">
        <is>
          <t>Peak construction season</t>
        </is>
      </c>
    </row>
    <row r="32">
      <c r="B32" s="14" t="inlineStr">
        <is>
          <t>Q4 (Jan-Mar) %</t>
        </is>
      </c>
      <c r="C32" s="32" t="n">
        <v>0.25</v>
      </c>
      <c r="J32" s="17" t="inlineStr">
        <is>
          <t>Year-end push</t>
        </is>
      </c>
    </row>
    <row r="33">
      <c r="B33" s="26" t="inlineStr">
        <is>
          <t>Quarterly Sum = 100%?</t>
        </is>
      </c>
      <c r="C33" s="26">
        <f>IF(ABS(C29+C30+C31+C32-1)&lt;0.001,"YES","NO")</f>
        <v/>
      </c>
    </row>
    <row r="35">
      <c r="A35" s="34" t="inlineStr">
        <is>
          <t>VOLUME &amp; NETWORK ASSUMPTIONS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>
      <c r="B36" s="14" t="inlineStr">
        <is>
          <t>Helix - Distributors</t>
        </is>
      </c>
      <c r="C36" s="31" t="n">
        <v>42</v>
      </c>
      <c r="D36" s="14" t="inlineStr">
        <is>
          <t>nos</t>
        </is>
      </c>
    </row>
    <row r="37">
      <c r="B37" s="14" t="inlineStr">
        <is>
          <t>Helix - Annual Volume Target</t>
        </is>
      </c>
      <c r="C37" s="31" t="n">
        <v>121000</v>
      </c>
      <c r="D37" s="14" t="inlineStr">
        <is>
          <t>MT</t>
        </is>
      </c>
    </row>
    <row r="38">
      <c r="B38" s="14" t="inlineStr">
        <is>
          <t>Helix - Active Retailers</t>
        </is>
      </c>
      <c r="C38" s="31" t="n">
        <v>2015</v>
      </c>
      <c r="D38" s="14" t="inlineStr">
        <is>
          <t>nos</t>
        </is>
      </c>
    </row>
    <row r="39">
      <c r="B39" s="14" t="inlineStr">
        <is>
          <t>Helix - Transacting Retailers</t>
        </is>
      </c>
      <c r="C39" s="31" t="n">
        <v>1310</v>
      </c>
      <c r="D39" s="14" t="inlineStr">
        <is>
          <t>nos</t>
        </is>
      </c>
    </row>
    <row r="40">
      <c r="B40" s="14" t="inlineStr">
        <is>
          <t>Helix - Priority Districts</t>
        </is>
      </c>
      <c r="C40" s="31" t="n">
        <v>250</v>
      </c>
      <c r="D40" s="14" t="inlineStr">
        <is>
          <t>nos</t>
        </is>
      </c>
    </row>
    <row r="41">
      <c r="B41" s="14" t="inlineStr">
        <is>
          <t>Helix - Selling Price/MT</t>
        </is>
      </c>
      <c r="C41" s="31" t="n">
        <v>48868</v>
      </c>
      <c r="D41" s="14" t="inlineStr">
        <is>
          <t>Rs/MT</t>
        </is>
      </c>
    </row>
    <row r="42">
      <c r="B42" s="14" t="inlineStr">
        <is>
          <t>JSW ONE - Distributors</t>
        </is>
      </c>
      <c r="C42" s="31" t="n">
        <v>56</v>
      </c>
      <c r="D42" s="14" t="inlineStr">
        <is>
          <t>nos</t>
        </is>
      </c>
    </row>
    <row r="43">
      <c r="B43" s="14" t="inlineStr">
        <is>
          <t>JSW ONE - Annual Volume Target</t>
        </is>
      </c>
      <c r="C43" s="31" t="n">
        <v>268000</v>
      </c>
      <c r="D43" s="14" t="inlineStr">
        <is>
          <t>MT</t>
        </is>
      </c>
    </row>
    <row r="44">
      <c r="B44" s="14" t="inlineStr">
        <is>
          <t>JSW ONE - Active Retailers</t>
        </is>
      </c>
      <c r="C44" s="31" t="n">
        <v>1590</v>
      </c>
      <c r="D44" s="14" t="inlineStr">
        <is>
          <t>nos</t>
        </is>
      </c>
    </row>
    <row r="45">
      <c r="B45" s="14" t="inlineStr">
        <is>
          <t>JSW ONE - Transacting Retailers</t>
        </is>
      </c>
      <c r="C45" s="31" t="n">
        <v>1033</v>
      </c>
      <c r="D45" s="14" t="inlineStr">
        <is>
          <t>nos</t>
        </is>
      </c>
    </row>
    <row r="46">
      <c r="B46" s="14" t="inlineStr">
        <is>
          <t>JSW ONE - Priority Districts</t>
        </is>
      </c>
      <c r="C46" s="31" t="n">
        <v>194</v>
      </c>
      <c r="D46" s="14" t="inlineStr">
        <is>
          <t>nos</t>
        </is>
      </c>
    </row>
    <row r="47">
      <c r="B47" s="14" t="inlineStr">
        <is>
          <t>JSW ONE - Selling Price/MT</t>
        </is>
      </c>
      <c r="C47" s="31" t="n">
        <v>50000</v>
      </c>
      <c r="D47" s="14" t="inlineStr">
        <is>
          <t>Rs/MT</t>
        </is>
      </c>
    </row>
    <row r="48">
      <c r="B48" s="14" t="inlineStr">
        <is>
          <t>JSW ONE - East Volume Split</t>
        </is>
      </c>
      <c r="C48" s="32" t="n">
        <v>0.6</v>
      </c>
      <c r="D48" s="14" t="inlineStr">
        <is>
          <t>%</t>
        </is>
      </c>
    </row>
    <row r="49">
      <c r="B49" s="14" t="inlineStr">
        <is>
          <t>JSW ONE - UP+HR Volume Split</t>
        </is>
      </c>
      <c r="C49" s="33">
        <f>1-C48</f>
        <v/>
      </c>
      <c r="D49" s="14" t="inlineStr">
        <is>
          <t>%</t>
        </is>
      </c>
    </row>
    <row r="50">
      <c r="B50" s="14" t="inlineStr">
        <is>
          <t>Sub-2B Growth Multiplier</t>
        </is>
      </c>
      <c r="C50" s="37" t="n">
        <v>2</v>
      </c>
      <c r="D50" s="14" t="inlineStr">
        <is>
          <t>x</t>
        </is>
      </c>
    </row>
    <row r="52">
      <c r="A52" s="34" t="inlineStr">
        <is>
          <t>EAST STATE BUDGET ALLOCATION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>
      <c r="A53" s="12" t="inlineStr"/>
      <c r="B53" s="12" t="inlineStr">
        <is>
          <t>State</t>
        </is>
      </c>
      <c r="C53" s="12" t="inlineStr">
        <is>
          <t>Budget Share %</t>
        </is>
      </c>
      <c r="D53" s="12" t="inlineStr">
        <is>
          <t>Dealers</t>
        </is>
      </c>
    </row>
    <row r="54">
      <c r="B54" s="14" t="inlineStr">
        <is>
          <t>Bihar</t>
        </is>
      </c>
      <c r="C54" s="32" t="n">
        <v>0.3</v>
      </c>
      <c r="D54" s="14" t="n">
        <v>70</v>
      </c>
      <c r="J54" s="17" t="inlineStr">
        <is>
          <t>30% of East budget</t>
        </is>
      </c>
    </row>
    <row r="55">
      <c r="B55" s="14" t="inlineStr">
        <is>
          <t>West Bengal</t>
        </is>
      </c>
      <c r="C55" s="32" t="n">
        <v>0.3</v>
      </c>
      <c r="D55" s="14" t="n">
        <v>159</v>
      </c>
      <c r="J55" s="17" t="inlineStr">
        <is>
          <t>30% - largest dealer network</t>
        </is>
      </c>
    </row>
    <row r="56">
      <c r="B56" s="14" t="inlineStr">
        <is>
          <t>Jharkhand</t>
        </is>
      </c>
      <c r="C56" s="32" t="n">
        <v>0.2</v>
      </c>
      <c r="D56" s="14" t="n">
        <v>61</v>
      </c>
      <c r="J56" s="17" t="inlineStr">
        <is>
          <t>20% of East budget</t>
        </is>
      </c>
    </row>
    <row r="57">
      <c r="B57" s="14" t="inlineStr">
        <is>
          <t>Odisha</t>
        </is>
      </c>
      <c r="C57" s="32" t="n">
        <v>0.2</v>
      </c>
      <c r="D57" s="14" t="n">
        <v>48</v>
      </c>
      <c r="J57" s="17" t="inlineStr">
        <is>
          <t>20% of East budget</t>
        </is>
      </c>
    </row>
    <row r="59">
      <c r="A59" s="5" t="inlineStr">
        <is>
          <t>SECTION 2: ACTIVITY UNIT COSTS (Master Price List)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12" t="inlineStr">
        <is>
          <t>#</t>
        </is>
      </c>
      <c r="B60" s="12" t="inlineStr">
        <is>
          <t>Activity</t>
        </is>
      </c>
      <c r="C60" s="12" t="inlineStr">
        <is>
          <t>Unit Cost (Rs.)</t>
        </is>
      </c>
      <c r="D60" s="12" t="inlineStr">
        <is>
          <t>Unit</t>
        </is>
      </c>
      <c r="E60" s="12" t="inlineStr"/>
      <c r="F60" s="12" t="inlineStr"/>
      <c r="G60" s="12" t="inlineStr"/>
      <c r="H60" s="12" t="inlineStr"/>
      <c r="I60" s="12" t="inlineStr"/>
      <c r="J60" s="12" t="inlineStr">
        <is>
          <t>Remarks</t>
        </is>
      </c>
    </row>
    <row r="61">
      <c r="A61" s="34" t="inlineStr">
        <is>
          <t>ATL ACTIVITIES (Above The Line)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>
      <c r="A62" s="14" t="n">
        <v>1</v>
      </c>
      <c r="B62" s="14" t="inlineStr">
        <is>
          <t>Impact Wall Painting</t>
        </is>
      </c>
      <c r="C62" s="31" t="n">
        <v>15</v>
      </c>
      <c r="D62" s="14" t="inlineStr">
        <is>
          <t>Rs/sq ft</t>
        </is>
      </c>
      <c r="J62" s="17" t="inlineStr">
        <is>
          <t>20,000 sq ft per district</t>
        </is>
      </c>
    </row>
    <row r="63">
      <c r="A63" s="14" t="n">
        <v>2</v>
      </c>
      <c r="B63" s="14" t="inlineStr">
        <is>
          <t>FM Radio Campaign</t>
        </is>
      </c>
      <c r="C63" s="31" t="n">
        <v>250000</v>
      </c>
      <c r="D63" s="14" t="inlineStr">
        <is>
          <t>Rs/campaign</t>
        </is>
      </c>
      <c r="J63" s="17" t="inlineStr">
        <is>
          <t>Per district per quarter</t>
        </is>
      </c>
    </row>
    <row r="64">
      <c r="A64" s="14" t="n">
        <v>3</v>
      </c>
      <c r="B64" s="14" t="inlineStr">
        <is>
          <t>Hoardings (Flex/Billboard)</t>
        </is>
      </c>
      <c r="C64" s="31" t="n">
        <v>50000</v>
      </c>
      <c r="D64" s="14" t="inlineStr">
        <is>
          <t>Rs/hoarding</t>
        </is>
      </c>
      <c r="J64" s="17" t="inlineStr">
        <is>
          <t>5 per priority district</t>
        </is>
      </c>
    </row>
    <row r="65">
      <c r="A65" s="14" t="n">
        <v>4</v>
      </c>
      <c r="B65" s="14" t="inlineStr">
        <is>
          <t>Digital Marketing Campaign</t>
        </is>
      </c>
      <c r="C65" s="31" t="n">
        <v>500000</v>
      </c>
      <c r="D65" s="14" t="inlineStr">
        <is>
          <t>Rs/campaign</t>
        </is>
      </c>
      <c r="J65" s="17" t="inlineStr">
        <is>
          <t>Social + YouTube + Display</t>
        </is>
      </c>
    </row>
    <row r="66">
      <c r="A66" s="14" t="n">
        <v>5</v>
      </c>
      <c r="B66" s="14" t="inlineStr">
        <is>
          <t>Local Events / Trade Fairs</t>
        </is>
      </c>
      <c r="C66" s="31" t="n">
        <v>500000</v>
      </c>
      <c r="D66" s="14" t="inlineStr">
        <is>
          <t>Rs/event</t>
        </is>
      </c>
      <c r="J66" s="17" t="inlineStr">
        <is>
          <t>Zone-level events</t>
        </is>
      </c>
    </row>
    <row r="67">
      <c r="A67" s="14" t="n">
        <v>6</v>
      </c>
      <c r="B67" s="14" t="inlineStr">
        <is>
          <t>Van Campaign (Mobile)</t>
        </is>
      </c>
      <c r="C67" s="31" t="n">
        <v>7000</v>
      </c>
      <c r="D67" s="14" t="inlineStr">
        <is>
          <t>Rs/day</t>
        </is>
      </c>
      <c r="J67" s="17" t="inlineStr">
        <is>
          <t>2 months per state</t>
        </is>
      </c>
    </row>
    <row r="68">
      <c r="A68" s="14" t="n">
        <v>7</v>
      </c>
      <c r="B68" s="14" t="inlineStr">
        <is>
          <t>Syndicate Launch Events</t>
        </is>
      </c>
      <c r="C68" s="31" t="n">
        <v>500000</v>
      </c>
      <c r="D68" s="14" t="inlineStr">
        <is>
          <t>Rs/event</t>
        </is>
      </c>
      <c r="J68" s="17" t="inlineStr">
        <is>
          <t>Per state launch</t>
        </is>
      </c>
    </row>
    <row r="69">
      <c r="A69" s="14" t="n">
        <v>8</v>
      </c>
      <c r="B69" s="14" t="inlineStr">
        <is>
          <t>Transit Auto Branding</t>
        </is>
      </c>
      <c r="C69" s="31" t="n">
        <v>700</v>
      </c>
      <c r="D69" s="14" t="inlineStr">
        <is>
          <t>Rs/auto</t>
        </is>
      </c>
      <c r="J69" s="17" t="inlineStr">
        <is>
          <t>Auto rickshaw wraps</t>
        </is>
      </c>
    </row>
    <row r="70">
      <c r="A70" s="14" t="n">
        <v>9</v>
      </c>
      <c r="B70" s="14" t="inlineStr">
        <is>
          <t>Tea Stall Branding</t>
        </is>
      </c>
      <c r="C70" s="31" t="n">
        <v>4000</v>
      </c>
      <c r="D70" s="14" t="inlineStr">
        <is>
          <t>Rs/stall</t>
        </is>
      </c>
      <c r="J70" s="17" t="inlineStr">
        <is>
          <t>25 stalls per district</t>
        </is>
      </c>
    </row>
    <row r="71">
      <c r="A71" s="14" t="n">
        <v>10</v>
      </c>
      <c r="B71" s="14" t="inlineStr">
        <is>
          <t>Paper Advertisement</t>
        </is>
      </c>
      <c r="C71" s="31" t="n">
        <v>100000</v>
      </c>
      <c r="D71" s="14" t="inlineStr">
        <is>
          <t>Rs/insert</t>
        </is>
      </c>
      <c r="J71" s="17" t="inlineStr">
        <is>
          <t>Regional dailies</t>
        </is>
      </c>
    </row>
    <row r="72">
      <c r="A72" s="34" t="inlineStr">
        <is>
          <t>BTL ACTIVITIES (Below The Line)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>
      <c r="A73" s="14" t="n">
        <v>11</v>
      </c>
      <c r="B73" s="14" t="inlineStr">
        <is>
          <t>NLB (Name/Lit Board)</t>
        </is>
      </c>
      <c r="C73" s="31" t="n">
        <v>1200</v>
      </c>
      <c r="D73" s="14" t="inlineStr">
        <is>
          <t>Rs/board</t>
        </is>
      </c>
      <c r="J73" s="17" t="inlineStr">
        <is>
          <t>40/sqft x 30 sqft</t>
        </is>
      </c>
    </row>
    <row r="74">
      <c r="A74" s="14" t="n">
        <v>12</v>
      </c>
      <c r="B74" s="14" t="inlineStr">
        <is>
          <t>GSB (Glow Sign Board)</t>
        </is>
      </c>
      <c r="C74" s="31" t="n">
        <v>6510</v>
      </c>
      <c r="D74" s="14" t="inlineStr">
        <is>
          <t>Rs/board</t>
        </is>
      </c>
      <c r="J74" s="17" t="inlineStr">
        <is>
          <t>180x30 + 65x18</t>
        </is>
      </c>
    </row>
    <row r="75">
      <c r="A75" s="14" t="n">
        <v>13</v>
      </c>
      <c r="B75" s="14" t="inlineStr">
        <is>
          <t>Counter Wall Painting</t>
        </is>
      </c>
      <c r="C75" s="31" t="n">
        <v>10000</v>
      </c>
      <c r="D75" s="14" t="inlineStr">
        <is>
          <t>Rs/counter</t>
        </is>
      </c>
      <c r="J75" s="17" t="inlineStr">
        <is>
          <t>Retailer counter branding</t>
        </is>
      </c>
    </row>
    <row r="76">
      <c r="A76" s="14" t="n">
        <v>14</v>
      </c>
      <c r="B76" s="14" t="inlineStr">
        <is>
          <t>Inshop Branding</t>
        </is>
      </c>
      <c r="C76" s="31" t="n">
        <v>40000</v>
      </c>
      <c r="D76" s="14" t="inlineStr">
        <is>
          <t>Rs/counter</t>
        </is>
      </c>
      <c r="J76" s="17" t="inlineStr">
        <is>
          <t>Premium in-store display</t>
        </is>
      </c>
    </row>
    <row r="77">
      <c r="A77" s="14" t="n">
        <v>15</v>
      </c>
      <c r="B77" s="14" t="inlineStr">
        <is>
          <t>Architect/Engineer Meet</t>
        </is>
      </c>
      <c r="C77" s="31" t="n">
        <v>3500</v>
      </c>
      <c r="D77" s="14" t="inlineStr">
        <is>
          <t>Rs/person</t>
        </is>
      </c>
      <c r="J77" s="17" t="inlineStr">
        <is>
          <t>50 pax per meet</t>
        </is>
      </c>
    </row>
    <row r="78">
      <c r="A78" s="14" t="n">
        <v>16</v>
      </c>
      <c r="B78" s="14" t="inlineStr">
        <is>
          <t>Contractor Meet</t>
        </is>
      </c>
      <c r="C78" s="31" t="n">
        <v>1000</v>
      </c>
      <c r="D78" s="14" t="inlineStr">
        <is>
          <t>Rs/person</t>
        </is>
      </c>
      <c r="J78" s="17" t="inlineStr">
        <is>
          <t>50 pax per meet</t>
        </is>
      </c>
    </row>
    <row r="79">
      <c r="A79" s="14" t="n">
        <v>17</v>
      </c>
      <c r="B79" s="14" t="inlineStr">
        <is>
          <t>Mason Meet</t>
        </is>
      </c>
      <c r="C79" s="31" t="n">
        <v>300</v>
      </c>
      <c r="D79" s="14" t="inlineStr">
        <is>
          <t>Rs/person</t>
        </is>
      </c>
      <c r="J79" s="17" t="inlineStr">
        <is>
          <t>30 pax per meet</t>
        </is>
      </c>
    </row>
    <row r="80">
      <c r="A80" s="14" t="n">
        <v>18</v>
      </c>
      <c r="B80" s="14" t="inlineStr">
        <is>
          <t>Dealer Certificates</t>
        </is>
      </c>
      <c r="C80" s="31" t="n">
        <v>400</v>
      </c>
      <c r="D80" s="14" t="inlineStr">
        <is>
          <t>Rs/certificate</t>
        </is>
      </c>
      <c r="J80" s="17" t="inlineStr">
        <is>
          <t>Recognition boards</t>
        </is>
      </c>
    </row>
    <row r="81">
      <c r="A81" s="14" t="n">
        <v>19</v>
      </c>
      <c r="B81" s="14" t="inlineStr">
        <is>
          <t>Construction Site Gate Board</t>
        </is>
      </c>
      <c r="C81" s="31" t="n">
        <v>1500</v>
      </c>
      <c r="D81" s="14" t="inlineStr">
        <is>
          <t>Rs/board</t>
        </is>
      </c>
      <c r="J81" s="17" t="inlineStr">
        <is>
          <t>Per active site</t>
        </is>
      </c>
    </row>
    <row r="82">
      <c r="A82" s="14" t="n">
        <v>20</v>
      </c>
      <c r="B82" s="14" t="inlineStr">
        <is>
          <t>POP Materials Kit</t>
        </is>
      </c>
      <c r="C82" s="31" t="n">
        <v>3000</v>
      </c>
      <c r="D82" s="14" t="inlineStr">
        <is>
          <t>Rs/dealer</t>
        </is>
      </c>
      <c r="J82" s="17" t="inlineStr">
        <is>
          <t>Standees, banners, flyers</t>
        </is>
      </c>
    </row>
    <row r="83">
      <c r="A83" s="14" t="n">
        <v>21</v>
      </c>
      <c r="B83" s="14" t="inlineStr">
        <is>
          <t>Architect Gift/Engagement</t>
        </is>
      </c>
      <c r="C83" s="31" t="n">
        <v>500</v>
      </c>
      <c r="D83" s="14" t="inlineStr">
        <is>
          <t>Rs/gift</t>
        </is>
      </c>
      <c r="J83" s="17" t="inlineStr">
        <is>
          <t>Relationship building</t>
        </is>
      </c>
    </row>
    <row r="84">
      <c r="A84" s="14" t="n">
        <v>22</v>
      </c>
      <c r="B84" s="14" t="inlineStr">
        <is>
          <t>Distributor Meet (Grand)</t>
        </is>
      </c>
      <c r="C84" s="31" t="n">
        <v>100000</v>
      </c>
      <c r="D84" s="14" t="inlineStr">
        <is>
          <t>Rs/person</t>
        </is>
      </c>
      <c r="J84" s="17" t="inlineStr">
        <is>
          <t>Annual convention</t>
        </is>
      </c>
    </row>
    <row r="85">
      <c r="A85" s="14" t="n">
        <v>23</v>
      </c>
      <c r="B85" s="14" t="inlineStr">
        <is>
          <t>Retailer Loyalty Program</t>
        </is>
      </c>
      <c r="C85" s="31" t="n">
        <v>2000</v>
      </c>
      <c r="D85" s="14" t="inlineStr">
        <is>
          <t>Rs/retailer/qtr</t>
        </is>
      </c>
      <c r="J85" s="17" t="inlineStr">
        <is>
          <t>Volume-linked rewards</t>
        </is>
      </c>
    </row>
    <row r="86">
      <c r="A86" s="14" t="n">
        <v>24</v>
      </c>
      <c r="B86" s="14" t="inlineStr">
        <is>
          <t>Mason Training Camp</t>
        </is>
      </c>
      <c r="C86" s="31" t="n">
        <v>5000</v>
      </c>
      <c r="D86" s="14" t="inlineStr">
        <is>
          <t>Rs/camp</t>
        </is>
      </c>
      <c r="J86" s="17" t="inlineStr">
        <is>
          <t>20 masons per camp</t>
        </is>
      </c>
    </row>
    <row r="87">
      <c r="A87" s="14" t="n">
        <v>25</v>
      </c>
      <c r="B87" s="14" t="inlineStr">
        <is>
          <t>Competitive Conversion Scheme</t>
        </is>
      </c>
      <c r="C87" s="31" t="n">
        <v>10000</v>
      </c>
      <c r="D87" s="14" t="inlineStr">
        <is>
          <t>Rs/retailer</t>
        </is>
      </c>
      <c r="J87" s="17" t="inlineStr">
        <is>
          <t>Switch-over incentive</t>
        </is>
      </c>
    </row>
    <row r="89">
      <c r="A89" s="5" t="inlineStr">
        <is>
          <t>SECTION 3: SCENARIO ANALYSIS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12" t="inlineStr"/>
      <c r="B90" s="12" t="inlineStr">
        <is>
          <t>Scenario</t>
        </is>
      </c>
      <c r="C90" s="12" t="inlineStr">
        <is>
          <t>Budget (Rs.)</t>
        </is>
      </c>
      <c r="D90" s="12" t="inlineStr">
        <is>
          <t>Helix Alloc</t>
        </is>
      </c>
      <c r="E90" s="12" t="inlineStr">
        <is>
          <t>JSW ONE Alloc</t>
        </is>
      </c>
      <c r="F90" s="12" t="inlineStr">
        <is>
          <t>Helix Cost/MT</t>
        </is>
      </c>
      <c r="G90" s="12" t="inlineStr">
        <is>
          <t>JSW ONE Cost/MT</t>
        </is>
      </c>
      <c r="H90" s="12" t="inlineStr">
        <is>
          <t>Blended Cost/MT</t>
        </is>
      </c>
    </row>
    <row r="91">
      <c r="B91" s="14" t="inlineStr">
        <is>
          <t>Conservative (-20%)</t>
        </is>
      </c>
      <c r="C91" s="16">
        <f>C6*0.8</f>
        <v/>
      </c>
      <c r="D91" s="16">
        <f>C91*C7*(1-C11)</f>
        <v/>
      </c>
      <c r="E91" s="16">
        <f>C91*C8*(1-C11)</f>
        <v/>
      </c>
      <c r="F91" s="16">
        <f>IF(C37&gt;0,D91/C37,0)</f>
        <v/>
      </c>
      <c r="G91" s="16">
        <f>IF(C43&gt;0,E91/C43,0)</f>
        <v/>
      </c>
      <c r="H91" s="16">
        <f>IF((C37+C43)&gt;0,(D91+E91)/(C37+C43),0)</f>
        <v/>
      </c>
    </row>
    <row r="92">
      <c r="B92" s="14" t="inlineStr">
        <is>
          <t>Cautious (-10%)</t>
        </is>
      </c>
      <c r="C92" s="16">
        <f>C6*0.9</f>
        <v/>
      </c>
      <c r="D92" s="16">
        <f>C92*C7*(1-C11)</f>
        <v/>
      </c>
      <c r="E92" s="16">
        <f>C92*C8*(1-C11)</f>
        <v/>
      </c>
      <c r="F92" s="16">
        <f>IF(C37&gt;0,D92/C37,0)</f>
        <v/>
      </c>
      <c r="G92" s="16">
        <f>IF(C43&gt;0,E92/C43,0)</f>
        <v/>
      </c>
      <c r="H92" s="16">
        <f>IF((C37+C43)&gt;0,(D92+E92)/(C37+C43),0)</f>
        <v/>
      </c>
    </row>
    <row r="93">
      <c r="B93" s="26" t="inlineStr">
        <is>
          <t>Base Case (100%)</t>
        </is>
      </c>
      <c r="C93" s="15">
        <f>C6*1.0</f>
        <v/>
      </c>
      <c r="D93" s="15">
        <f>C93*C7*(1-C11)</f>
        <v/>
      </c>
      <c r="E93" s="15">
        <f>C93*C8*(1-C11)</f>
        <v/>
      </c>
      <c r="F93" s="15">
        <f>IF(C37&gt;0,D93/C37,0)</f>
        <v/>
      </c>
      <c r="G93" s="15">
        <f>IF(C43&gt;0,E93/C43,0)</f>
        <v/>
      </c>
      <c r="H93" s="15">
        <f>IF((C37+C43)&gt;0,(D93+E93)/(C37+C43),0)</f>
        <v/>
      </c>
    </row>
    <row r="94">
      <c r="B94" s="14" t="inlineStr">
        <is>
          <t>Aggressive (+10%)</t>
        </is>
      </c>
      <c r="C94" s="16">
        <f>C6*1.1</f>
        <v/>
      </c>
      <c r="D94" s="16">
        <f>C94*C7*(1-C11)</f>
        <v/>
      </c>
      <c r="E94" s="16">
        <f>C94*C8*(1-C11)</f>
        <v/>
      </c>
      <c r="F94" s="16">
        <f>IF(C37&gt;0,D94/C37,0)</f>
        <v/>
      </c>
      <c r="G94" s="16">
        <f>IF(C43&gt;0,E94/C43,0)</f>
        <v/>
      </c>
      <c r="H94" s="16">
        <f>IF((C37+C43)&gt;0,(D94+E94)/(C37+C43),0)</f>
        <v/>
      </c>
    </row>
    <row r="95">
      <c r="B95" s="14" t="inlineStr">
        <is>
          <t>Stretch (+20%)</t>
        </is>
      </c>
      <c r="C95" s="16">
        <f>C6*1.2</f>
        <v/>
      </c>
      <c r="D95" s="16">
        <f>C95*C7*(1-C11)</f>
        <v/>
      </c>
      <c r="E95" s="16">
        <f>C95*C8*(1-C11)</f>
        <v/>
      </c>
      <c r="F95" s="16">
        <f>IF(C37&gt;0,D95/C37,0)</f>
        <v/>
      </c>
      <c r="G95" s="16">
        <f>IF(C43&gt;0,E95/C43,0)</f>
        <v/>
      </c>
      <c r="H95" s="16">
        <f>IF((C37+C43)&gt;0,(D95+E95)/(C37+C43),0)</f>
        <v/>
      </c>
    </row>
    <row r="97">
      <c r="A97" s="5" t="inlineStr">
        <is>
          <t>SECTION 4: QUARTERLY ACTUALS vs PLAN TRACKER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8" t="inlineStr">
        <is>
          <t>Q1 (Apr-Jun) REVIEW</t>
        </is>
      </c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</row>
    <row r="99">
      <c r="A99" s="40" t="inlineStr"/>
      <c r="B99" s="40" t="inlineStr">
        <is>
          <t>Metric</t>
        </is>
      </c>
      <c r="C99" s="40" t="inlineStr">
        <is>
          <t>Obj1: Helix</t>
        </is>
      </c>
      <c r="D99" s="40" t="inlineStr">
        <is>
          <t>Obj2A: East</t>
        </is>
      </c>
      <c r="E99" s="40" t="inlineStr">
        <is>
          <t>Obj2B: UP+HR</t>
        </is>
      </c>
      <c r="F99" s="40" t="inlineStr">
        <is>
          <t>Total</t>
        </is>
      </c>
      <c r="G99" s="40" t="inlineStr">
        <is>
          <t>Remarks</t>
        </is>
      </c>
    </row>
    <row r="100">
      <c r="B100" s="26" t="inlineStr">
        <is>
          <t>Planned Spend</t>
        </is>
      </c>
      <c r="C100" s="16">
        <f>C16*C29</f>
        <v/>
      </c>
      <c r="D100" s="16">
        <f>C18*C29</f>
        <v/>
      </c>
      <c r="E100" s="16">
        <f>C19*C29</f>
        <v/>
      </c>
      <c r="F100" s="15">
        <f>C100+D100+E100</f>
        <v/>
      </c>
    </row>
    <row r="101">
      <c r="B101" s="26" t="inlineStr">
        <is>
          <t>Actual Spend</t>
        </is>
      </c>
      <c r="C101" s="41" t="n">
        <v>0</v>
      </c>
      <c r="D101" s="41" t="n">
        <v>0</v>
      </c>
      <c r="E101" s="41" t="n">
        <v>0</v>
      </c>
      <c r="F101" s="15">
        <f>C101+D101+E101</f>
        <v/>
      </c>
    </row>
    <row r="102">
      <c r="B102" s="26" t="inlineStr">
        <is>
          <t>Variance (Plan - Actual)</t>
        </is>
      </c>
      <c r="C102" s="15">
        <f>C100-C101</f>
        <v/>
      </c>
      <c r="D102" s="15">
        <f>D100-D101</f>
        <v/>
      </c>
      <c r="E102" s="15">
        <f>E100-E101</f>
        <v/>
      </c>
      <c r="F102" s="15">
        <f>F100-F101</f>
        <v/>
      </c>
    </row>
    <row r="103">
      <c r="B103" s="14" t="inlineStr">
        <is>
          <t>Deviation %</t>
        </is>
      </c>
      <c r="C103" s="25">
        <f>IF(C100&lt;&gt;0,C102/C100,0)</f>
        <v/>
      </c>
      <c r="D103" s="25">
        <f>IF(D100&lt;&gt;0,D102/D100,0)</f>
        <v/>
      </c>
      <c r="E103" s="25">
        <f>IF(E100&lt;&gt;0,E102/E100,0)</f>
        <v/>
      </c>
      <c r="F103" s="25">
        <f>IF(F100&lt;&gt;0,F102/F100,0)</f>
        <v/>
      </c>
    </row>
    <row r="105">
      <c r="A105" s="38" t="inlineStr">
        <is>
          <t>Q2 (Jul-Sep) REVIEW</t>
        </is>
      </c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</row>
    <row r="106">
      <c r="A106" s="40" t="inlineStr"/>
      <c r="B106" s="40" t="inlineStr">
        <is>
          <t>Metric</t>
        </is>
      </c>
      <c r="C106" s="40" t="inlineStr">
        <is>
          <t>Obj1: Helix</t>
        </is>
      </c>
      <c r="D106" s="40" t="inlineStr">
        <is>
          <t>Obj2A: East</t>
        </is>
      </c>
      <c r="E106" s="40" t="inlineStr">
        <is>
          <t>Obj2B: UP+HR</t>
        </is>
      </c>
      <c r="F106" s="40" t="inlineStr">
        <is>
          <t>Total</t>
        </is>
      </c>
      <c r="G106" s="40" t="inlineStr">
        <is>
          <t>Remarks</t>
        </is>
      </c>
    </row>
    <row r="107">
      <c r="B107" s="26" t="inlineStr">
        <is>
          <t>Planned Spend</t>
        </is>
      </c>
      <c r="C107" s="16">
        <f>C16*C30</f>
        <v/>
      </c>
      <c r="D107" s="16">
        <f>C18*C30</f>
        <v/>
      </c>
      <c r="E107" s="16">
        <f>C19*C30</f>
        <v/>
      </c>
      <c r="F107" s="15">
        <f>C107+D107+E107</f>
        <v/>
      </c>
    </row>
    <row r="108">
      <c r="B108" s="26" t="inlineStr">
        <is>
          <t>Actual Spend</t>
        </is>
      </c>
      <c r="C108" s="41" t="n">
        <v>0</v>
      </c>
      <c r="D108" s="41" t="n">
        <v>0</v>
      </c>
      <c r="E108" s="41" t="n">
        <v>0</v>
      </c>
      <c r="F108" s="15">
        <f>C108+D108+E108</f>
        <v/>
      </c>
    </row>
    <row r="109">
      <c r="B109" s="26" t="inlineStr">
        <is>
          <t>Variance (Plan - Actual)</t>
        </is>
      </c>
      <c r="C109" s="15">
        <f>C107-C108</f>
        <v/>
      </c>
      <c r="D109" s="15">
        <f>D107-D108</f>
        <v/>
      </c>
      <c r="E109" s="15">
        <f>E107-E108</f>
        <v/>
      </c>
      <c r="F109" s="15">
        <f>F107-F108</f>
        <v/>
      </c>
    </row>
    <row r="110">
      <c r="B110" s="14" t="inlineStr">
        <is>
          <t>Deviation %</t>
        </is>
      </c>
      <c r="C110" s="25">
        <f>IF(C107&lt;&gt;0,C109/C107,0)</f>
        <v/>
      </c>
      <c r="D110" s="25">
        <f>IF(D107&lt;&gt;0,D109/D107,0)</f>
        <v/>
      </c>
      <c r="E110" s="25">
        <f>IF(E107&lt;&gt;0,E109/E107,0)</f>
        <v/>
      </c>
      <c r="F110" s="25">
        <f>IF(F107&lt;&gt;0,F109/F107,0)</f>
        <v/>
      </c>
    </row>
    <row r="112">
      <c r="A112" s="38" t="inlineStr">
        <is>
          <t>Q3 (Oct-Dec) REVIEW</t>
        </is>
      </c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</row>
    <row r="113">
      <c r="A113" s="40" t="inlineStr"/>
      <c r="B113" s="40" t="inlineStr">
        <is>
          <t>Metric</t>
        </is>
      </c>
      <c r="C113" s="40" t="inlineStr">
        <is>
          <t>Obj1: Helix</t>
        </is>
      </c>
      <c r="D113" s="40" t="inlineStr">
        <is>
          <t>Obj2A: East</t>
        </is>
      </c>
      <c r="E113" s="40" t="inlineStr">
        <is>
          <t>Obj2B: UP+HR</t>
        </is>
      </c>
      <c r="F113" s="40" t="inlineStr">
        <is>
          <t>Total</t>
        </is>
      </c>
      <c r="G113" s="40" t="inlineStr">
        <is>
          <t>Remarks</t>
        </is>
      </c>
    </row>
    <row r="114">
      <c r="B114" s="26" t="inlineStr">
        <is>
          <t>Planned Spend</t>
        </is>
      </c>
      <c r="C114" s="16">
        <f>C16*C31</f>
        <v/>
      </c>
      <c r="D114" s="16">
        <f>C18*C31</f>
        <v/>
      </c>
      <c r="E114" s="16">
        <f>C19*C31</f>
        <v/>
      </c>
      <c r="F114" s="15">
        <f>C114+D114+E114</f>
        <v/>
      </c>
    </row>
    <row r="115">
      <c r="B115" s="26" t="inlineStr">
        <is>
          <t>Actual Spend</t>
        </is>
      </c>
      <c r="C115" s="41" t="n">
        <v>0</v>
      </c>
      <c r="D115" s="41" t="n">
        <v>0</v>
      </c>
      <c r="E115" s="41" t="n">
        <v>0</v>
      </c>
      <c r="F115" s="15">
        <f>C115+D115+E115</f>
        <v/>
      </c>
    </row>
    <row r="116">
      <c r="B116" s="26" t="inlineStr">
        <is>
          <t>Variance (Plan - Actual)</t>
        </is>
      </c>
      <c r="C116" s="15">
        <f>C114-C115</f>
        <v/>
      </c>
      <c r="D116" s="15">
        <f>D114-D115</f>
        <v/>
      </c>
      <c r="E116" s="15">
        <f>E114-E115</f>
        <v/>
      </c>
      <c r="F116" s="15">
        <f>F114-F115</f>
        <v/>
      </c>
    </row>
    <row r="117">
      <c r="B117" s="14" t="inlineStr">
        <is>
          <t>Deviation %</t>
        </is>
      </c>
      <c r="C117" s="25">
        <f>IF(C114&lt;&gt;0,C116/C114,0)</f>
        <v/>
      </c>
      <c r="D117" s="25">
        <f>IF(D114&lt;&gt;0,D116/D114,0)</f>
        <v/>
      </c>
      <c r="E117" s="25">
        <f>IF(E114&lt;&gt;0,E116/E114,0)</f>
        <v/>
      </c>
      <c r="F117" s="25">
        <f>IF(F114&lt;&gt;0,F116/F114,0)</f>
        <v/>
      </c>
    </row>
    <row r="119">
      <c r="A119" s="38" t="inlineStr">
        <is>
          <t>Q4 (Jan-Mar) REVIEW</t>
        </is>
      </c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</row>
    <row r="120">
      <c r="A120" s="40" t="inlineStr"/>
      <c r="B120" s="40" t="inlineStr">
        <is>
          <t>Metric</t>
        </is>
      </c>
      <c r="C120" s="40" t="inlineStr">
        <is>
          <t>Obj1: Helix</t>
        </is>
      </c>
      <c r="D120" s="40" t="inlineStr">
        <is>
          <t>Obj2A: East</t>
        </is>
      </c>
      <c r="E120" s="40" t="inlineStr">
        <is>
          <t>Obj2B: UP+HR</t>
        </is>
      </c>
      <c r="F120" s="40" t="inlineStr">
        <is>
          <t>Total</t>
        </is>
      </c>
      <c r="G120" s="40" t="inlineStr">
        <is>
          <t>Remarks</t>
        </is>
      </c>
    </row>
    <row r="121">
      <c r="B121" s="26" t="inlineStr">
        <is>
          <t>Planned Spend</t>
        </is>
      </c>
      <c r="C121" s="16">
        <f>C16*C32</f>
        <v/>
      </c>
      <c r="D121" s="16">
        <f>C18*C32</f>
        <v/>
      </c>
      <c r="E121" s="16">
        <f>C19*C32</f>
        <v/>
      </c>
      <c r="F121" s="15">
        <f>C121+D121+E121</f>
        <v/>
      </c>
    </row>
    <row r="122">
      <c r="B122" s="26" t="inlineStr">
        <is>
          <t>Actual Spend</t>
        </is>
      </c>
      <c r="C122" s="41" t="n">
        <v>0</v>
      </c>
      <c r="D122" s="41" t="n">
        <v>0</v>
      </c>
      <c r="E122" s="41" t="n">
        <v>0</v>
      </c>
      <c r="F122" s="15">
        <f>C122+D122+E122</f>
        <v/>
      </c>
    </row>
    <row r="123">
      <c r="B123" s="26" t="inlineStr">
        <is>
          <t>Variance (Plan - Actual)</t>
        </is>
      </c>
      <c r="C123" s="15">
        <f>C121-C122</f>
        <v/>
      </c>
      <c r="D123" s="15">
        <f>D121-D122</f>
        <v/>
      </c>
      <c r="E123" s="15">
        <f>E121-E122</f>
        <v/>
      </c>
      <c r="F123" s="15">
        <f>F121-F122</f>
        <v/>
      </c>
    </row>
    <row r="124">
      <c r="B124" s="14" t="inlineStr">
        <is>
          <t>Deviation %</t>
        </is>
      </c>
      <c r="C124" s="25">
        <f>IF(C121&lt;&gt;0,C123/C121,0)</f>
        <v/>
      </c>
      <c r="D124" s="25">
        <f>IF(D121&lt;&gt;0,D123/D121,0)</f>
        <v/>
      </c>
      <c r="E124" s="25">
        <f>IF(E121&lt;&gt;0,E123/E121,0)</f>
        <v/>
      </c>
      <c r="F124" s="25">
        <f>IF(F121&lt;&gt;0,F123/F121,0)</f>
        <v/>
      </c>
    </row>
  </sheetData>
  <mergeCells count="17">
    <mergeCell ref="A1:J1"/>
    <mergeCell ref="A23:J23"/>
    <mergeCell ref="A112:J112"/>
    <mergeCell ref="A89:J89"/>
    <mergeCell ref="A61:J61"/>
    <mergeCell ref="A119:J119"/>
    <mergeCell ref="A97:J97"/>
    <mergeCell ref="A105:J105"/>
    <mergeCell ref="A15:J15"/>
    <mergeCell ref="A4:J4"/>
    <mergeCell ref="A35:J35"/>
    <mergeCell ref="A59:J59"/>
    <mergeCell ref="A2:J2"/>
    <mergeCell ref="A72:J72"/>
    <mergeCell ref="A52:J52"/>
    <mergeCell ref="A28:J28"/>
    <mergeCell ref="A98:J98"/>
  </mergeCells>
  <conditionalFormatting sqref="C24">
    <cfRule type="cellIs" priority="1" operator="equal" dxfId="0">
      <formula>"YES"</formula>
    </cfRule>
    <cfRule type="cellIs" priority="2" operator="equal" dxfId="1">
      <formula>"NO"</formula>
    </cfRule>
  </conditionalFormatting>
  <conditionalFormatting sqref="C25">
    <cfRule type="cellIs" priority="3" operator="equal" dxfId="0">
      <formula>"YES"</formula>
    </cfRule>
    <cfRule type="cellIs" priority="4" operator="equal" dxfId="1">
      <formula>"NO"</formula>
    </cfRule>
  </conditionalFormatting>
  <conditionalFormatting sqref="C26">
    <cfRule type="cellIs" priority="5" operator="equal" dxfId="0">
      <formula>"YES"</formula>
    </cfRule>
    <cfRule type="cellIs" priority="6" operator="equal" dxfId="1">
      <formula>"NO"</formula>
    </cfRule>
  </conditionalFormatting>
  <conditionalFormatting sqref="C33">
    <cfRule type="cellIs" priority="7" operator="equal" dxfId="0">
      <formula>"YES"</formula>
    </cfRule>
    <cfRule type="cellIs" priority="8" operator="equal" dxfId="1">
      <formula>"NO"</formula>
    </cfRule>
  </conditionalFormatting>
  <conditionalFormatting sqref="C102">
    <cfRule type="cellIs" priority="9" operator="lessThan" dxfId="1">
      <formula>0</formula>
    </cfRule>
  </conditionalFormatting>
  <conditionalFormatting sqref="D102">
    <cfRule type="cellIs" priority="10" operator="lessThan" dxfId="1">
      <formula>0</formula>
    </cfRule>
  </conditionalFormatting>
  <conditionalFormatting sqref="E102">
    <cfRule type="cellIs" priority="11" operator="lessThan" dxfId="1">
      <formula>0</formula>
    </cfRule>
  </conditionalFormatting>
  <conditionalFormatting sqref="F102">
    <cfRule type="cellIs" priority="12" operator="lessThan" dxfId="1">
      <formula>0</formula>
    </cfRule>
  </conditionalFormatting>
  <conditionalFormatting sqref="C103">
    <cfRule type="expression" priority="13" dxfId="2">
      <formula>ABS(C103)&gt;0.15</formula>
    </cfRule>
  </conditionalFormatting>
  <conditionalFormatting sqref="D103">
    <cfRule type="expression" priority="14" dxfId="2">
      <formula>ABS(D103)&gt;0.15</formula>
    </cfRule>
  </conditionalFormatting>
  <conditionalFormatting sqref="E103">
    <cfRule type="expression" priority="15" dxfId="2">
      <formula>ABS(E103)&gt;0.15</formula>
    </cfRule>
  </conditionalFormatting>
  <conditionalFormatting sqref="F103">
    <cfRule type="expression" priority="16" dxfId="2">
      <formula>ABS(F103)&gt;0.15</formula>
    </cfRule>
  </conditionalFormatting>
  <conditionalFormatting sqref="C109">
    <cfRule type="cellIs" priority="17" operator="lessThan" dxfId="1">
      <formula>0</formula>
    </cfRule>
  </conditionalFormatting>
  <conditionalFormatting sqref="D109">
    <cfRule type="cellIs" priority="18" operator="lessThan" dxfId="1">
      <formula>0</formula>
    </cfRule>
  </conditionalFormatting>
  <conditionalFormatting sqref="E109">
    <cfRule type="cellIs" priority="19" operator="lessThan" dxfId="1">
      <formula>0</formula>
    </cfRule>
  </conditionalFormatting>
  <conditionalFormatting sqref="F109">
    <cfRule type="cellIs" priority="20" operator="lessThan" dxfId="1">
      <formula>0</formula>
    </cfRule>
  </conditionalFormatting>
  <conditionalFormatting sqref="C110">
    <cfRule type="expression" priority="21" dxfId="2">
      <formula>ABS(C110)&gt;0.15</formula>
    </cfRule>
  </conditionalFormatting>
  <conditionalFormatting sqref="D110">
    <cfRule type="expression" priority="22" dxfId="2">
      <formula>ABS(D110)&gt;0.15</formula>
    </cfRule>
  </conditionalFormatting>
  <conditionalFormatting sqref="E110">
    <cfRule type="expression" priority="23" dxfId="2">
      <formula>ABS(E110)&gt;0.15</formula>
    </cfRule>
  </conditionalFormatting>
  <conditionalFormatting sqref="F110">
    <cfRule type="expression" priority="24" dxfId="2">
      <formula>ABS(F110)&gt;0.15</formula>
    </cfRule>
  </conditionalFormatting>
  <conditionalFormatting sqref="C116">
    <cfRule type="cellIs" priority="25" operator="lessThan" dxfId="1">
      <formula>0</formula>
    </cfRule>
  </conditionalFormatting>
  <conditionalFormatting sqref="D116">
    <cfRule type="cellIs" priority="26" operator="lessThan" dxfId="1">
      <formula>0</formula>
    </cfRule>
  </conditionalFormatting>
  <conditionalFormatting sqref="E116">
    <cfRule type="cellIs" priority="27" operator="lessThan" dxfId="1">
      <formula>0</formula>
    </cfRule>
  </conditionalFormatting>
  <conditionalFormatting sqref="F116">
    <cfRule type="cellIs" priority="28" operator="lessThan" dxfId="1">
      <formula>0</formula>
    </cfRule>
  </conditionalFormatting>
  <conditionalFormatting sqref="C117">
    <cfRule type="expression" priority="29" dxfId="2">
      <formula>ABS(C117)&gt;0.15</formula>
    </cfRule>
  </conditionalFormatting>
  <conditionalFormatting sqref="D117">
    <cfRule type="expression" priority="30" dxfId="2">
      <formula>ABS(D117)&gt;0.15</formula>
    </cfRule>
  </conditionalFormatting>
  <conditionalFormatting sqref="E117">
    <cfRule type="expression" priority="31" dxfId="2">
      <formula>ABS(E117)&gt;0.15</formula>
    </cfRule>
  </conditionalFormatting>
  <conditionalFormatting sqref="F117">
    <cfRule type="expression" priority="32" dxfId="2">
      <formula>ABS(F117)&gt;0.15</formula>
    </cfRule>
  </conditionalFormatting>
  <conditionalFormatting sqref="C123">
    <cfRule type="cellIs" priority="33" operator="lessThan" dxfId="1">
      <formula>0</formula>
    </cfRule>
  </conditionalFormatting>
  <conditionalFormatting sqref="D123">
    <cfRule type="cellIs" priority="34" operator="lessThan" dxfId="1">
      <formula>0</formula>
    </cfRule>
  </conditionalFormatting>
  <conditionalFormatting sqref="E123">
    <cfRule type="cellIs" priority="35" operator="lessThan" dxfId="1">
      <formula>0</formula>
    </cfRule>
  </conditionalFormatting>
  <conditionalFormatting sqref="F123">
    <cfRule type="cellIs" priority="36" operator="lessThan" dxfId="1">
      <formula>0</formula>
    </cfRule>
  </conditionalFormatting>
  <conditionalFormatting sqref="C124">
    <cfRule type="expression" priority="37" dxfId="2">
      <formula>ABS(C124)&gt;0.15</formula>
    </cfRule>
  </conditionalFormatting>
  <conditionalFormatting sqref="D124">
    <cfRule type="expression" priority="38" dxfId="2">
      <formula>ABS(D124)&gt;0.15</formula>
    </cfRule>
  </conditionalFormatting>
  <conditionalFormatting sqref="E124">
    <cfRule type="expression" priority="39" dxfId="2">
      <formula>ABS(E124)&gt;0.15</formula>
    </cfRule>
  </conditionalFormatting>
  <conditionalFormatting sqref="F124">
    <cfRule type="expression" priority="40" dxfId="2">
      <formula>ABS(F124)&gt;0.15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30" t="inlineStr">
        <is>
          <t>OBJECTIVE 1: ONE HELIX TMT - NATIONAL LAUNCH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38" t="inlineStr">
        <is>
          <t>BRAND OVERVIEW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</row>
    <row r="4">
      <c r="B4" s="13" t="inlineStr">
        <is>
          <t>Brand</t>
        </is>
      </c>
      <c r="C4" s="42" t="inlineStr">
        <is>
          <t>One Helix TMT (FE550 Grade Premium Steel)</t>
        </is>
      </c>
      <c r="D4" s="43" t="n"/>
      <c r="E4" s="43" t="n"/>
      <c r="F4" s="43" t="n"/>
    </row>
    <row r="5">
      <c r="B5" s="13" t="inlineStr">
        <is>
          <t>Geography</t>
        </is>
      </c>
      <c r="C5" s="44" t="inlineStr">
        <is>
          <t>Pan-India, 250 Priority Districts</t>
        </is>
      </c>
      <c r="D5" s="43" t="n"/>
      <c r="E5" s="43" t="n"/>
      <c r="F5" s="43" t="n"/>
    </row>
    <row r="6">
      <c r="B6" s="13" t="inlineStr">
        <is>
          <t>Network</t>
        </is>
      </c>
      <c r="C6" s="44">
        <f>'Budget Control'!C36 &amp; " Distributors, " &amp; 'Budget Control'!C38 &amp; " Active Retailers"</f>
        <v/>
      </c>
      <c r="D6" s="43" t="n"/>
      <c r="E6" s="43" t="n"/>
      <c r="F6" s="43" t="n"/>
    </row>
    <row r="7">
      <c r="B7" s="13" t="inlineStr">
        <is>
          <t>Budget Allocation</t>
        </is>
      </c>
      <c r="C7" s="42">
        <f>"Rs. " &amp; TEXT('Budget Control'!C16,"##,##,##0") &amp; " (" &amp; TEXT('Budget Control'!C7,"0%") &amp; " of total)"</f>
        <v/>
      </c>
      <c r="D7" s="43" t="n"/>
      <c r="E7" s="43" t="n"/>
      <c r="F7" s="43" t="n"/>
    </row>
    <row r="8">
      <c r="B8" s="13" t="inlineStr">
        <is>
          <t>ATL : BTL Split</t>
        </is>
      </c>
      <c r="C8" s="44">
        <f>"ATL " &amp; TEXT('Budget Control'!C12,"0%") &amp; " : BTL " &amp; TEXT('Budget Control'!C13,"0%")</f>
        <v/>
      </c>
      <c r="D8" s="43" t="n"/>
      <c r="E8" s="43" t="n"/>
      <c r="F8" s="43" t="n"/>
    </row>
    <row r="9">
      <c r="B9" s="13" t="inlineStr">
        <is>
          <t>Volume Target</t>
        </is>
      </c>
      <c r="C9" s="42">
        <f>TEXT('Budget Control'!C37,"##,##0") &amp; " MT (Annual)"</f>
        <v/>
      </c>
      <c r="D9" s="43" t="n"/>
      <c r="E9" s="43" t="n"/>
      <c r="F9" s="43" t="n"/>
    </row>
    <row r="10">
      <c r="B10" s="13" t="inlineStr">
        <is>
          <t>Selling Price</t>
        </is>
      </c>
      <c r="C10" s="44">
        <f>"Rs. " &amp; TEXT('Budget Control'!C41,"##,##0") &amp; " per MT"</f>
        <v/>
      </c>
      <c r="D10" s="43" t="n"/>
      <c r="E10" s="43" t="n"/>
      <c r="F10" s="43" t="n"/>
    </row>
    <row r="12">
      <c r="A12" s="38" t="inlineStr">
        <is>
          <t>ACTIVITY PLAN WITH BUDGET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</row>
    <row r="13">
      <c r="A13" s="40" t="inlineStr">
        <is>
          <t>#</t>
        </is>
      </c>
      <c r="B13" s="40" t="inlineStr">
        <is>
          <t>Activity</t>
        </is>
      </c>
      <c r="C13" s="40" t="inlineStr">
        <is>
          <t>Quantity</t>
        </is>
      </c>
      <c r="D13" s="40" t="inlineStr">
        <is>
          <t>Unit Cost (Rs.)</t>
        </is>
      </c>
      <c r="E13" s="40" t="inlineStr">
        <is>
          <t>Annual Cost (Rs.)</t>
        </is>
      </c>
      <c r="F13" s="40" t="inlineStr">
        <is>
          <t>Q1</t>
        </is>
      </c>
      <c r="G13" s="40" t="inlineStr">
        <is>
          <t>Q2</t>
        </is>
      </c>
      <c r="H13" s="40" t="inlineStr">
        <is>
          <t>Q3</t>
        </is>
      </c>
      <c r="I13" s="40" t="inlineStr">
        <is>
          <t>Q4</t>
        </is>
      </c>
      <c r="J13" s="40" t="inlineStr">
        <is>
          <t>Basis</t>
        </is>
      </c>
    </row>
    <row r="14">
      <c r="A14" s="45" t="inlineStr">
        <is>
          <t>ATL ACTIVITIES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</row>
    <row r="15">
      <c r="A15" s="14" t="n">
        <v>1</v>
      </c>
      <c r="B15" s="14" t="inlineStr">
        <is>
          <t>Impact Wall Painting</t>
        </is>
      </c>
      <c r="C15" s="16">
        <f>250*20000</f>
        <v/>
      </c>
      <c r="D15" s="47">
        <f>'Budget Control'!C62</f>
        <v/>
      </c>
      <c r="E15" s="15">
        <f>C15*D15</f>
        <v/>
      </c>
      <c r="F15" s="16">
        <f>E15*'Budget Control'!C29</f>
        <v/>
      </c>
      <c r="G15" s="16">
        <f>E15*'Budget Control'!C30</f>
        <v/>
      </c>
      <c r="H15" s="16">
        <f>E15*'Budget Control'!C31</f>
        <v/>
      </c>
      <c r="I15" s="16">
        <f>E15*'Budget Control'!C32</f>
        <v/>
      </c>
      <c r="J15" s="17" t="inlineStr">
        <is>
          <t>sqft across 250 districts</t>
        </is>
      </c>
    </row>
    <row r="16">
      <c r="A16" s="14" t="n">
        <v>2</v>
      </c>
      <c r="B16" s="14" t="inlineStr">
        <is>
          <t>FM Radio Campaign</t>
        </is>
      </c>
      <c r="C16" s="16">
        <f>ROUND(250*0.05,0)*4</f>
        <v/>
      </c>
      <c r="D16" s="47">
        <f>'Budget Control'!C63</f>
        <v/>
      </c>
      <c r="E16" s="15">
        <f>C16*D16</f>
        <v/>
      </c>
      <c r="F16" s="16">
        <f>E16*'Budget Control'!C29</f>
        <v/>
      </c>
      <c r="G16" s="16">
        <f>E16*'Budget Control'!C30</f>
        <v/>
      </c>
      <c r="H16" s="16">
        <f>E16*'Budget Control'!C31</f>
        <v/>
      </c>
      <c r="I16" s="16">
        <f>E16*'Budget Control'!C32</f>
        <v/>
      </c>
      <c r="J16" s="17" t="inlineStr">
        <is>
          <t>5% districts x 4 qtrs</t>
        </is>
      </c>
    </row>
    <row r="17">
      <c r="A17" s="14" t="n">
        <v>3</v>
      </c>
      <c r="B17" s="14" t="inlineStr">
        <is>
          <t>Hoardings (Flex/Billboard)</t>
        </is>
      </c>
      <c r="C17" s="16">
        <f>250*5</f>
        <v/>
      </c>
      <c r="D17" s="47">
        <f>'Budget Control'!C64</f>
        <v/>
      </c>
      <c r="E17" s="15">
        <f>C17*D17</f>
        <v/>
      </c>
      <c r="F17" s="16">
        <f>E17*'Budget Control'!C29</f>
        <v/>
      </c>
      <c r="G17" s="16">
        <f>E17*'Budget Control'!C30</f>
        <v/>
      </c>
      <c r="H17" s="16">
        <f>E17*'Budget Control'!C31</f>
        <v/>
      </c>
      <c r="I17" s="16">
        <f>E17*'Budget Control'!C32</f>
        <v/>
      </c>
      <c r="J17" s="17" t="inlineStr">
        <is>
          <t>5 per district</t>
        </is>
      </c>
    </row>
    <row r="18">
      <c r="A18" s="14" t="n">
        <v>4</v>
      </c>
      <c r="B18" s="14" t="inlineStr">
        <is>
          <t>Digital Marketing Campaign</t>
        </is>
      </c>
      <c r="C18" s="16" t="n">
        <v>4</v>
      </c>
      <c r="D18" s="47">
        <f>'Budget Control'!C65</f>
        <v/>
      </c>
      <c r="E18" s="15">
        <f>C18*D18</f>
        <v/>
      </c>
      <c r="F18" s="16">
        <f>E18*'Budget Control'!C29</f>
        <v/>
      </c>
      <c r="G18" s="16">
        <f>E18*'Budget Control'!C30</f>
        <v/>
      </c>
      <c r="H18" s="16">
        <f>E18*'Budget Control'!C31</f>
        <v/>
      </c>
      <c r="I18" s="16">
        <f>E18*'Budget Control'!C32</f>
        <v/>
      </c>
      <c r="J18" s="17" t="inlineStr">
        <is>
          <t>4 campaigns/year</t>
        </is>
      </c>
    </row>
    <row r="19">
      <c r="A19" s="14" t="n">
        <v>5</v>
      </c>
      <c r="B19" s="14" t="inlineStr">
        <is>
          <t>Local Events / Trade Fairs</t>
        </is>
      </c>
      <c r="C19" s="16" t="n">
        <v>8</v>
      </c>
      <c r="D19" s="47">
        <f>'Budget Control'!C66</f>
        <v/>
      </c>
      <c r="E19" s="15">
        <f>C19*D19</f>
        <v/>
      </c>
      <c r="F19" s="16">
        <f>E19*'Budget Control'!C29</f>
        <v/>
      </c>
      <c r="G19" s="16">
        <f>E19*'Budget Control'!C30</f>
        <v/>
      </c>
      <c r="H19" s="16">
        <f>E19*'Budget Control'!C31</f>
        <v/>
      </c>
      <c r="I19" s="16">
        <f>E19*'Budget Control'!C32</f>
        <v/>
      </c>
      <c r="J19" s="17" t="inlineStr">
        <is>
          <t>8 zonal events</t>
        </is>
      </c>
    </row>
    <row r="20">
      <c r="A20" s="14" t="n">
        <v>6</v>
      </c>
      <c r="B20" s="14" t="inlineStr">
        <is>
          <t>Van Campaign (Mobile)</t>
        </is>
      </c>
      <c r="C20" s="16">
        <f>10*60</f>
        <v/>
      </c>
      <c r="D20" s="47">
        <f>'Budget Control'!C67</f>
        <v/>
      </c>
      <c r="E20" s="15">
        <f>C20*D20</f>
        <v/>
      </c>
      <c r="F20" s="16">
        <f>E20*'Budget Control'!C29</f>
        <v/>
      </c>
      <c r="G20" s="16">
        <f>E20*'Budget Control'!C30</f>
        <v/>
      </c>
      <c r="H20" s="16">
        <f>E20*'Budget Control'!C31</f>
        <v/>
      </c>
      <c r="I20" s="16">
        <f>E20*'Budget Control'!C32</f>
        <v/>
      </c>
      <c r="J20" s="17" t="inlineStr">
        <is>
          <t>10 vans x 60 days</t>
        </is>
      </c>
    </row>
    <row r="21">
      <c r="A21" s="14" t="n">
        <v>7</v>
      </c>
      <c r="B21" s="14" t="inlineStr">
        <is>
          <t>Syndicate Launch Events</t>
        </is>
      </c>
      <c r="C21" s="16" t="n">
        <v>15</v>
      </c>
      <c r="D21" s="47">
        <f>'Budget Control'!C68</f>
        <v/>
      </c>
      <c r="E21" s="15">
        <f>C21*D21</f>
        <v/>
      </c>
      <c r="F21" s="16">
        <f>E21*'Budget Control'!C29</f>
        <v/>
      </c>
      <c r="G21" s="16">
        <f>E21*'Budget Control'!C30</f>
        <v/>
      </c>
      <c r="H21" s="16">
        <f>E21*'Budget Control'!C31</f>
        <v/>
      </c>
      <c r="I21" s="16">
        <f>E21*'Budget Control'!C32</f>
        <v/>
      </c>
      <c r="J21" s="17" t="inlineStr">
        <is>
          <t>15 state launches</t>
        </is>
      </c>
    </row>
    <row r="22">
      <c r="A22" s="14" t="n">
        <v>8</v>
      </c>
      <c r="B22" s="14" t="inlineStr">
        <is>
          <t>Transit Auto Branding</t>
        </is>
      </c>
      <c r="C22" s="16" t="n">
        <v>500</v>
      </c>
      <c r="D22" s="47">
        <f>'Budget Control'!C69</f>
        <v/>
      </c>
      <c r="E22" s="15">
        <f>C22*D22</f>
        <v/>
      </c>
      <c r="F22" s="16">
        <f>E22*'Budget Control'!C29</f>
        <v/>
      </c>
      <c r="G22" s="16">
        <f>E22*'Budget Control'!C30</f>
        <v/>
      </c>
      <c r="H22" s="16">
        <f>E22*'Budget Control'!C31</f>
        <v/>
      </c>
      <c r="I22" s="16">
        <f>E22*'Budget Control'!C32</f>
        <v/>
      </c>
      <c r="J22" s="17" t="inlineStr">
        <is>
          <t>500 autos branded</t>
        </is>
      </c>
    </row>
    <row r="23">
      <c r="A23" s="14" t="n">
        <v>9</v>
      </c>
      <c r="B23" s="14" t="inlineStr">
        <is>
          <t>Tea Stall Branding</t>
        </is>
      </c>
      <c r="C23" s="16">
        <f>ROUND(250*0.1,0)*25</f>
        <v/>
      </c>
      <c r="D23" s="47">
        <f>'Budget Control'!C70</f>
        <v/>
      </c>
      <c r="E23" s="15">
        <f>C23*D23</f>
        <v/>
      </c>
      <c r="F23" s="16">
        <f>E23*'Budget Control'!C29</f>
        <v/>
      </c>
      <c r="G23" s="16">
        <f>E23*'Budget Control'!C30</f>
        <v/>
      </c>
      <c r="H23" s="16">
        <f>E23*'Budget Control'!C31</f>
        <v/>
      </c>
      <c r="I23" s="16">
        <f>E23*'Budget Control'!C32</f>
        <v/>
      </c>
      <c r="J23" s="17" t="inlineStr">
        <is>
          <t>10% dist x 25 stalls</t>
        </is>
      </c>
    </row>
    <row r="24">
      <c r="A24" s="14" t="n">
        <v>10</v>
      </c>
      <c r="B24" s="14" t="inlineStr">
        <is>
          <t>Paper Advertisement</t>
        </is>
      </c>
      <c r="C24" s="16" t="n">
        <v>12</v>
      </c>
      <c r="D24" s="47">
        <f>'Budget Control'!C71</f>
        <v/>
      </c>
      <c r="E24" s="15">
        <f>C24*D24</f>
        <v/>
      </c>
      <c r="F24" s="16">
        <f>E24*'Budget Control'!C29</f>
        <v/>
      </c>
      <c r="G24" s="16">
        <f>E24*'Budget Control'!C30</f>
        <v/>
      </c>
      <c r="H24" s="16">
        <f>E24*'Budget Control'!C31</f>
        <v/>
      </c>
      <c r="I24" s="16">
        <f>E24*'Budget Control'!C32</f>
        <v/>
      </c>
      <c r="J24" s="17" t="inlineStr">
        <is>
          <t>12 insertions/year</t>
        </is>
      </c>
    </row>
    <row r="25">
      <c r="A25" s="21" t="n"/>
      <c r="B25" s="20" t="inlineStr">
        <is>
          <t>ATL SUBTOTAL</t>
        </is>
      </c>
      <c r="C25" s="21" t="n"/>
      <c r="D25" s="21" t="n"/>
      <c r="E25" s="22">
        <f>SUM(E15:E24)</f>
        <v/>
      </c>
      <c r="F25" s="22">
        <f>SUM(F15:F24)</f>
        <v/>
      </c>
      <c r="G25" s="22">
        <f>SUM(G15:G24)</f>
        <v/>
      </c>
      <c r="H25" s="22">
        <f>SUM(H15:H24)</f>
        <v/>
      </c>
      <c r="I25" s="22">
        <f>SUM(I15:I24)</f>
        <v/>
      </c>
      <c r="J25" s="21" t="n"/>
    </row>
    <row r="26">
      <c r="A26" s="45" t="inlineStr">
        <is>
          <t>BTL ACTIVITIES</t>
        </is>
      </c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</row>
    <row r="27">
      <c r="A27" s="14" t="n">
        <v>11</v>
      </c>
      <c r="B27" s="14" t="inlineStr">
        <is>
          <t>NLB (Name/Lit Board)</t>
        </is>
      </c>
      <c r="C27" s="16">
        <f>ROUND(2015*0.5,0)</f>
        <v/>
      </c>
      <c r="D27" s="47">
        <f>'Budget Control'!C73</f>
        <v/>
      </c>
      <c r="E27" s="15">
        <f>C27*D27</f>
        <v/>
      </c>
      <c r="F27" s="16">
        <f>E27*'Budget Control'!C29</f>
        <v/>
      </c>
      <c r="G27" s="16">
        <f>E27*'Budget Control'!C30</f>
        <v/>
      </c>
      <c r="H27" s="16">
        <f>E27*'Budget Control'!C31</f>
        <v/>
      </c>
      <c r="I27" s="16">
        <f>E27*'Budget Control'!C32</f>
        <v/>
      </c>
      <c r="J27" s="17" t="inlineStr">
        <is>
          <t>50% active retailers</t>
        </is>
      </c>
    </row>
    <row r="28">
      <c r="A28" s="14" t="n">
        <v>12</v>
      </c>
      <c r="B28" s="14" t="inlineStr">
        <is>
          <t>GSB (Glow Sign Board)</t>
        </is>
      </c>
      <c r="C28" s="16">
        <f>ROUND(2015*0.25,0)</f>
        <v/>
      </c>
      <c r="D28" s="47">
        <f>'Budget Control'!C74</f>
        <v/>
      </c>
      <c r="E28" s="15">
        <f>C28*D28</f>
        <v/>
      </c>
      <c r="F28" s="16">
        <f>E28*'Budget Control'!C29</f>
        <v/>
      </c>
      <c r="G28" s="16">
        <f>E28*'Budget Control'!C30</f>
        <v/>
      </c>
      <c r="H28" s="16">
        <f>E28*'Budget Control'!C31</f>
        <v/>
      </c>
      <c r="I28" s="16">
        <f>E28*'Budget Control'!C32</f>
        <v/>
      </c>
      <c r="J28" s="17" t="inlineStr">
        <is>
          <t>25% active retailers</t>
        </is>
      </c>
    </row>
    <row r="29">
      <c r="A29" s="14" t="n">
        <v>13</v>
      </c>
      <c r="B29" s="14" t="inlineStr">
        <is>
          <t>Counter Wall Painting</t>
        </is>
      </c>
      <c r="C29" s="16">
        <f>ROUND(2015*0.2,0)</f>
        <v/>
      </c>
      <c r="D29" s="47">
        <f>'Budget Control'!C75</f>
        <v/>
      </c>
      <c r="E29" s="15">
        <f>C29*D29</f>
        <v/>
      </c>
      <c r="F29" s="16">
        <f>E29*'Budget Control'!C29</f>
        <v/>
      </c>
      <c r="G29" s="16">
        <f>E29*'Budget Control'!C30</f>
        <v/>
      </c>
      <c r="H29" s="16">
        <f>E29*'Budget Control'!C31</f>
        <v/>
      </c>
      <c r="I29" s="16">
        <f>E29*'Budget Control'!C32</f>
        <v/>
      </c>
      <c r="J29" s="17" t="inlineStr">
        <is>
          <t>20% active retailers</t>
        </is>
      </c>
    </row>
    <row r="30">
      <c r="A30" s="14" t="n">
        <v>14</v>
      </c>
      <c r="B30" s="14" t="inlineStr">
        <is>
          <t>Inshop Branding</t>
        </is>
      </c>
      <c r="C30" s="16">
        <f>ROUND(2015*0.1,0)</f>
        <v/>
      </c>
      <c r="D30" s="47">
        <f>'Budget Control'!C76</f>
        <v/>
      </c>
      <c r="E30" s="15">
        <f>C30*D30</f>
        <v/>
      </c>
      <c r="F30" s="16">
        <f>E30*'Budget Control'!C29</f>
        <v/>
      </c>
      <c r="G30" s="16">
        <f>E30*'Budget Control'!C30</f>
        <v/>
      </c>
      <c r="H30" s="16">
        <f>E30*'Budget Control'!C31</f>
        <v/>
      </c>
      <c r="I30" s="16">
        <f>E30*'Budget Control'!C32</f>
        <v/>
      </c>
      <c r="J30" s="17" t="inlineStr">
        <is>
          <t>10% active retailers</t>
        </is>
      </c>
    </row>
    <row r="31">
      <c r="A31" s="14" t="n">
        <v>15</v>
      </c>
      <c r="B31" s="14" t="inlineStr">
        <is>
          <t>Architect/Engineer Meet</t>
        </is>
      </c>
      <c r="C31" s="16">
        <f>ROUND(250*0.5,0)*4</f>
        <v/>
      </c>
      <c r="D31" s="47">
        <f>'Budget Control'!C77</f>
        <v/>
      </c>
      <c r="E31" s="15">
        <f>C31*D31</f>
        <v/>
      </c>
      <c r="F31" s="16">
        <f>E31*'Budget Control'!C29</f>
        <v/>
      </c>
      <c r="G31" s="16">
        <f>E31*'Budget Control'!C30</f>
        <v/>
      </c>
      <c r="H31" s="16">
        <f>E31*'Budget Control'!C31</f>
        <v/>
      </c>
      <c r="I31" s="16">
        <f>E31*'Budget Control'!C32</f>
        <v/>
      </c>
      <c r="J31" s="17" t="inlineStr">
        <is>
          <t>50% dist x 4 qtrs meets</t>
        </is>
      </c>
    </row>
    <row r="32">
      <c r="A32" s="14" t="n">
        <v>16</v>
      </c>
      <c r="B32" s="14" t="inlineStr">
        <is>
          <t>Contractor Meet</t>
        </is>
      </c>
      <c r="C32" s="16">
        <f>250*4</f>
        <v/>
      </c>
      <c r="D32" s="47">
        <f>'Budget Control'!C78</f>
        <v/>
      </c>
      <c r="E32" s="15">
        <f>C32*D32</f>
        <v/>
      </c>
      <c r="F32" s="16">
        <f>E32*'Budget Control'!C29</f>
        <v/>
      </c>
      <c r="G32" s="16">
        <f>E32*'Budget Control'!C30</f>
        <v/>
      </c>
      <c r="H32" s="16">
        <f>E32*'Budget Control'!C31</f>
        <v/>
      </c>
      <c r="I32" s="16">
        <f>E32*'Budget Control'!C32</f>
        <v/>
      </c>
      <c r="J32" s="17" t="inlineStr">
        <is>
          <t>all dist x 4 qtrs meets</t>
        </is>
      </c>
    </row>
    <row r="33">
      <c r="A33" s="14" t="n">
        <v>17</v>
      </c>
      <c r="B33" s="14" t="inlineStr">
        <is>
          <t>Mason Meet</t>
        </is>
      </c>
      <c r="C33" s="16">
        <f>250*4</f>
        <v/>
      </c>
      <c r="D33" s="47">
        <f>'Budget Control'!C79</f>
        <v/>
      </c>
      <c r="E33" s="15">
        <f>C33*D33</f>
        <v/>
      </c>
      <c r="F33" s="16">
        <f>E33*'Budget Control'!C29</f>
        <v/>
      </c>
      <c r="G33" s="16">
        <f>E33*'Budget Control'!C30</f>
        <v/>
      </c>
      <c r="H33" s="16">
        <f>E33*'Budget Control'!C31</f>
        <v/>
      </c>
      <c r="I33" s="16">
        <f>E33*'Budget Control'!C32</f>
        <v/>
      </c>
      <c r="J33" s="17" t="inlineStr">
        <is>
          <t>all dist x 4 qtrs meets</t>
        </is>
      </c>
    </row>
    <row r="34">
      <c r="A34" s="14" t="n">
        <v>18</v>
      </c>
      <c r="B34" s="14" t="inlineStr">
        <is>
          <t>Dealer Certificates</t>
        </is>
      </c>
      <c r="C34" s="16" t="n">
        <v>2015</v>
      </c>
      <c r="D34" s="47">
        <f>'Budget Control'!C80</f>
        <v/>
      </c>
      <c r="E34" s="15">
        <f>C34*D34</f>
        <v/>
      </c>
      <c r="F34" s="16">
        <f>E34*'Budget Control'!C29</f>
        <v/>
      </c>
      <c r="G34" s="16">
        <f>E34*'Budget Control'!C30</f>
        <v/>
      </c>
      <c r="H34" s="16">
        <f>E34*'Budget Control'!C31</f>
        <v/>
      </c>
      <c r="I34" s="16">
        <f>E34*'Budget Control'!C32</f>
        <v/>
      </c>
      <c r="J34" s="17" t="inlineStr">
        <is>
          <t>all active retailers</t>
        </is>
      </c>
    </row>
    <row r="35">
      <c r="A35" s="14" t="n">
        <v>19</v>
      </c>
      <c r="B35" s="14" t="inlineStr">
        <is>
          <t>Construction Site Gate Board</t>
        </is>
      </c>
      <c r="C35" s="16">
        <f>ROUND(250*0.3,0)</f>
        <v/>
      </c>
      <c r="D35" s="47">
        <f>'Budget Control'!C81</f>
        <v/>
      </c>
      <c r="E35" s="15">
        <f>C35*D35</f>
        <v/>
      </c>
      <c r="F35" s="16">
        <f>E35*'Budget Control'!C29</f>
        <v/>
      </c>
      <c r="G35" s="16">
        <f>E35*'Budget Control'!C30</f>
        <v/>
      </c>
      <c r="H35" s="16">
        <f>E35*'Budget Control'!C31</f>
        <v/>
      </c>
      <c r="I35" s="16">
        <f>E35*'Budget Control'!C32</f>
        <v/>
      </c>
      <c r="J35" s="17" t="inlineStr">
        <is>
          <t>30% districts</t>
        </is>
      </c>
    </row>
    <row r="36">
      <c r="A36" s="14" t="n">
        <v>20</v>
      </c>
      <c r="B36" s="14" t="inlineStr">
        <is>
          <t>POP Materials Kit</t>
        </is>
      </c>
      <c r="C36" s="16" t="n">
        <v>42</v>
      </c>
      <c r="D36" s="47">
        <f>'Budget Control'!C82</f>
        <v/>
      </c>
      <c r="E36" s="15">
        <f>C36*D36</f>
        <v/>
      </c>
      <c r="F36" s="16">
        <f>E36*'Budget Control'!C29</f>
        <v/>
      </c>
      <c r="G36" s="16">
        <f>E36*'Budget Control'!C30</f>
        <v/>
      </c>
      <c r="H36" s="16">
        <f>E36*'Budget Control'!C31</f>
        <v/>
      </c>
      <c r="I36" s="16">
        <f>E36*'Budget Control'!C32</f>
        <v/>
      </c>
      <c r="J36" s="17" t="inlineStr">
        <is>
          <t>all distributors</t>
        </is>
      </c>
    </row>
    <row r="37">
      <c r="A37" s="14" t="n">
        <v>21</v>
      </c>
      <c r="B37" s="14" t="inlineStr">
        <is>
          <t>Architect Gift/Engagement</t>
        </is>
      </c>
      <c r="C37" s="16">
        <f>ROUND(250*0.5,0)*50</f>
        <v/>
      </c>
      <c r="D37" s="47">
        <f>'Budget Control'!C83</f>
        <v/>
      </c>
      <c r="E37" s="15">
        <f>C37*D37</f>
        <v/>
      </c>
      <c r="F37" s="16">
        <f>E37*'Budget Control'!C29</f>
        <v/>
      </c>
      <c r="G37" s="16">
        <f>E37*'Budget Control'!C30</f>
        <v/>
      </c>
      <c r="H37" s="16">
        <f>E37*'Budget Control'!C31</f>
        <v/>
      </c>
      <c r="I37" s="16">
        <f>E37*'Budget Control'!C32</f>
        <v/>
      </c>
      <c r="J37" s="17" t="inlineStr">
        <is>
          <t>50% dist x 50 architects</t>
        </is>
      </c>
    </row>
    <row r="38">
      <c r="A38" s="14" t="n">
        <v>22</v>
      </c>
      <c r="B38" s="14" t="inlineStr">
        <is>
          <t>Distributor Meet (Grand)</t>
        </is>
      </c>
      <c r="C38" s="16" t="n">
        <v>42</v>
      </c>
      <c r="D38" s="47">
        <f>'Budget Control'!C84</f>
        <v/>
      </c>
      <c r="E38" s="15">
        <f>C38*D38</f>
        <v/>
      </c>
      <c r="F38" s="16">
        <f>E38*'Budget Control'!C29</f>
        <v/>
      </c>
      <c r="G38" s="16">
        <f>E38*'Budget Control'!C30</f>
        <v/>
      </c>
      <c r="H38" s="16">
        <f>E38*'Budget Control'!C31</f>
        <v/>
      </c>
      <c r="I38" s="16">
        <f>E38*'Budget Control'!C32</f>
        <v/>
      </c>
      <c r="J38" s="17" t="inlineStr">
        <is>
          <t>all distributors</t>
        </is>
      </c>
    </row>
    <row r="39">
      <c r="A39" s="14" t="n">
        <v>23</v>
      </c>
      <c r="B39" s="14" t="inlineStr">
        <is>
          <t>Retailer Loyalty Program</t>
        </is>
      </c>
      <c r="C39" s="16">
        <f>ROUND(1310*0.3,0)*4</f>
        <v/>
      </c>
      <c r="D39" s="47">
        <f>'Budget Control'!C85</f>
        <v/>
      </c>
      <c r="E39" s="15">
        <f>C39*D39</f>
        <v/>
      </c>
      <c r="F39" s="16">
        <f>E39*'Budget Control'!C29</f>
        <v/>
      </c>
      <c r="G39" s="16">
        <f>E39*'Budget Control'!C30</f>
        <v/>
      </c>
      <c r="H39" s="16">
        <f>E39*'Budget Control'!C31</f>
        <v/>
      </c>
      <c r="I39" s="16">
        <f>E39*'Budget Control'!C32</f>
        <v/>
      </c>
      <c r="J39" s="17" t="inlineStr">
        <is>
          <t>30% transacting x 4 qtrs</t>
        </is>
      </c>
    </row>
    <row r="40">
      <c r="A40" s="14" t="n">
        <v>24</v>
      </c>
      <c r="B40" s="14" t="inlineStr">
        <is>
          <t>Mason Training Camp</t>
        </is>
      </c>
      <c r="C40" s="16">
        <f>ROUND(250*0.2,0)</f>
        <v/>
      </c>
      <c r="D40" s="47">
        <f>'Budget Control'!C86</f>
        <v/>
      </c>
      <c r="E40" s="15">
        <f>C40*D40</f>
        <v/>
      </c>
      <c r="F40" s="16">
        <f>E40*'Budget Control'!C29</f>
        <v/>
      </c>
      <c r="G40" s="16">
        <f>E40*'Budget Control'!C30</f>
        <v/>
      </c>
      <c r="H40" s="16">
        <f>E40*'Budget Control'!C31</f>
        <v/>
      </c>
      <c r="I40" s="16">
        <f>E40*'Budget Control'!C32</f>
        <v/>
      </c>
      <c r="J40" s="17" t="inlineStr">
        <is>
          <t>20% districts</t>
        </is>
      </c>
    </row>
    <row r="41">
      <c r="A41" s="14" t="n">
        <v>25</v>
      </c>
      <c r="B41" s="14" t="inlineStr">
        <is>
          <t>Competitive Conversion Scheme</t>
        </is>
      </c>
      <c r="C41" s="16">
        <f>ROUND(2015*0.05,0)</f>
        <v/>
      </c>
      <c r="D41" s="47">
        <f>'Budget Control'!C87</f>
        <v/>
      </c>
      <c r="E41" s="15">
        <f>C41*D41</f>
        <v/>
      </c>
      <c r="F41" s="16">
        <f>E41*'Budget Control'!C29</f>
        <v/>
      </c>
      <c r="G41" s="16">
        <f>E41*'Budget Control'!C30</f>
        <v/>
      </c>
      <c r="H41" s="16">
        <f>E41*'Budget Control'!C31</f>
        <v/>
      </c>
      <c r="I41" s="16">
        <f>E41*'Budget Control'!C32</f>
        <v/>
      </c>
      <c r="J41" s="17" t="inlineStr">
        <is>
          <t>5% retailers</t>
        </is>
      </c>
    </row>
    <row r="42">
      <c r="A42" s="21" t="n"/>
      <c r="B42" s="20" t="inlineStr">
        <is>
          <t>BTL SUBTOTAL</t>
        </is>
      </c>
      <c r="C42" s="21" t="n"/>
      <c r="D42" s="21" t="n"/>
      <c r="E42" s="22">
        <f>SUM(E27:E41)</f>
        <v/>
      </c>
      <c r="F42" s="22">
        <f>SUM(F27:F41)</f>
        <v/>
      </c>
      <c r="G42" s="22">
        <f>SUM(G27:G41)</f>
        <v/>
      </c>
      <c r="H42" s="22">
        <f>SUM(H27:H41)</f>
        <v/>
      </c>
      <c r="I42" s="22">
        <f>SUM(I27:I41)</f>
        <v/>
      </c>
      <c r="J42" s="21" t="n"/>
    </row>
    <row r="43">
      <c r="A43" s="6" t="n"/>
      <c r="B43" s="48" t="inlineStr">
        <is>
          <t>GRAND TOTAL</t>
        </is>
      </c>
      <c r="C43" s="6" t="n"/>
      <c r="D43" s="6" t="n"/>
      <c r="E43" s="24">
        <f>E25+E42</f>
        <v/>
      </c>
      <c r="F43" s="24">
        <f>F25+F42</f>
        <v/>
      </c>
      <c r="G43" s="24">
        <f>G25+G42</f>
        <v/>
      </c>
      <c r="H43" s="24">
        <f>H25+H42</f>
        <v/>
      </c>
      <c r="I43" s="24">
        <f>I25+I42</f>
        <v/>
      </c>
      <c r="J43" s="6" t="n"/>
    </row>
    <row r="45">
      <c r="B45" s="26" t="inlineStr">
        <is>
          <t>Allocated Budget</t>
        </is>
      </c>
      <c r="E45" s="49">
        <f>'Budget Control'!C16</f>
        <v/>
      </c>
    </row>
    <row r="46">
      <c r="B46" s="26" t="inlineStr">
        <is>
          <t>Total Planned Spend</t>
        </is>
      </c>
      <c r="E46" s="15">
        <f>E43</f>
        <v/>
      </c>
    </row>
    <row r="47">
      <c r="B47" s="26" t="inlineStr">
        <is>
          <t>Variance (Budget - Spend)</t>
        </is>
      </c>
      <c r="E47" s="15">
        <f>E45-E46</f>
        <v/>
      </c>
    </row>
    <row r="48">
      <c r="B48" s="14" t="inlineStr">
        <is>
          <t>Utilization %</t>
        </is>
      </c>
      <c r="E48" s="33">
        <f>IF(E45&lt;&gt;0,E46/E45,0)</f>
        <v/>
      </c>
    </row>
    <row r="50">
      <c r="A50" s="38" t="inlineStr">
        <is>
          <t>VOLUME &amp; EFFICIENCY METRICS</t>
        </is>
      </c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</row>
    <row r="51">
      <c r="A51" s="40" t="inlineStr"/>
      <c r="B51" s="40" t="inlineStr">
        <is>
          <t>Metric</t>
        </is>
      </c>
      <c r="C51" s="40" t="inlineStr"/>
      <c r="D51" s="40" t="inlineStr"/>
      <c r="E51" s="40" t="inlineStr">
        <is>
          <t>Annual</t>
        </is>
      </c>
      <c r="F51" s="40" t="inlineStr">
        <is>
          <t>Q1</t>
        </is>
      </c>
      <c r="G51" s="40" t="inlineStr">
        <is>
          <t>Q2</t>
        </is>
      </c>
      <c r="H51" s="40" t="inlineStr">
        <is>
          <t>Q3</t>
        </is>
      </c>
      <c r="I51" s="40" t="inlineStr">
        <is>
          <t>Q4</t>
        </is>
      </c>
    </row>
    <row r="52">
      <c r="B52" s="26" t="inlineStr">
        <is>
          <t>Volume Target (MT)</t>
        </is>
      </c>
      <c r="E52" s="15">
        <f>'Budget Control'!C37</f>
        <v/>
      </c>
      <c r="F52" s="16">
        <f>E52*0.1</f>
        <v/>
      </c>
      <c r="G52" s="16">
        <f>E52*0.15</f>
        <v/>
      </c>
      <c r="H52" s="16">
        <f>E52*0.3</f>
        <v/>
      </c>
      <c r="I52" s="16">
        <f>E52*0.45</f>
        <v/>
      </c>
    </row>
    <row r="53">
      <c r="B53" s="26" t="inlineStr">
        <is>
          <t>Marketing Spend (Rs.)</t>
        </is>
      </c>
      <c r="E53" s="15">
        <f>E43</f>
        <v/>
      </c>
      <c r="F53" s="16">
        <f>F43</f>
        <v/>
      </c>
      <c r="G53" s="16">
        <f>G43</f>
        <v/>
      </c>
      <c r="H53" s="16">
        <f>H43</f>
        <v/>
      </c>
      <c r="I53" s="16">
        <f>I43</f>
        <v/>
      </c>
    </row>
    <row r="54">
      <c r="B54" s="26" t="inlineStr">
        <is>
          <t>Cost per MT (Rs.)</t>
        </is>
      </c>
      <c r="E54" s="15">
        <f>IF(E52&gt;0,E53/E52,0)</f>
        <v/>
      </c>
      <c r="F54" s="16">
        <f>IF(F52&gt;0,F53/F52,0)</f>
        <v/>
      </c>
      <c r="G54" s="16">
        <f>IF(G52&gt;0,G53/G52,0)</f>
        <v/>
      </c>
      <c r="H54" s="16">
        <f>IF(H52&gt;0,H53/H52,0)</f>
        <v/>
      </c>
      <c r="I54" s="16">
        <f>IF(I52&gt;0,I53/I52,0)</f>
        <v/>
      </c>
    </row>
    <row r="55">
      <c r="B55" s="26" t="inlineStr">
        <is>
          <t>Revenue (Rs.)</t>
        </is>
      </c>
      <c r="E55" s="15">
        <f>E52*'Budget Control'!C41</f>
        <v/>
      </c>
      <c r="F55" s="16">
        <f>F52*'Budget Control'!C41</f>
        <v/>
      </c>
      <c r="G55" s="16">
        <f>G52*'Budget Control'!C41</f>
        <v/>
      </c>
      <c r="H55" s="16">
        <f>H52*'Budget Control'!C41</f>
        <v/>
      </c>
      <c r="I55" s="16">
        <f>I52*'Budget Control'!C41</f>
        <v/>
      </c>
    </row>
    <row r="56">
      <c r="B56" s="26" t="inlineStr">
        <is>
          <t>A/S Ratio (Ad Spend / Revenue)</t>
        </is>
      </c>
      <c r="E56" s="50">
        <f>IF(E55&gt;0,E53/E55,0)</f>
        <v/>
      </c>
      <c r="F56" s="51">
        <f>IF(F55&gt;0,F53/F55,0)</f>
        <v/>
      </c>
      <c r="G56" s="51">
        <f>IF(G55&gt;0,G53/G55,0)</f>
        <v/>
      </c>
      <c r="H56" s="51">
        <f>IF(H55&gt;0,H53/H55,0)</f>
        <v/>
      </c>
      <c r="I56" s="51">
        <f>IF(I55&gt;0,I53/I55,0)</f>
        <v/>
      </c>
    </row>
    <row r="57">
      <c r="B57" s="14" t="inlineStr">
        <is>
          <t>Cost per Retailer Activated</t>
        </is>
      </c>
      <c r="E57" s="16">
        <f>IF('Budget Control'!C38&gt;0,E53/'Budget Control'!C38,0)</f>
        <v/>
      </c>
    </row>
    <row r="58">
      <c r="B58" s="14" t="inlineStr">
        <is>
          <t>Cost per Priority District</t>
        </is>
      </c>
      <c r="E58" s="16">
        <f>IF('Budget Control'!C40&gt;0,E53/'Budget Control'!C40,0)</f>
        <v/>
      </c>
    </row>
  </sheetData>
  <mergeCells count="13">
    <mergeCell ref="A1:J1"/>
    <mergeCell ref="C9:F9"/>
    <mergeCell ref="A14:J14"/>
    <mergeCell ref="C8:F8"/>
    <mergeCell ref="C4:F4"/>
    <mergeCell ref="A3:J3"/>
    <mergeCell ref="C6:F6"/>
    <mergeCell ref="C7:F7"/>
    <mergeCell ref="A12:J12"/>
    <mergeCell ref="A50:J50"/>
    <mergeCell ref="A26:J26"/>
    <mergeCell ref="C10:F10"/>
    <mergeCell ref="C5:F5"/>
  </mergeCells>
  <conditionalFormatting sqref="E47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>
      <c r="A1" s="30" t="inlineStr">
        <is>
          <t>OBJECTIVE 2: JSW ONE TMT - GROWTH STRATEGY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8" t="inlineStr">
        <is>
          <t>BRAND OVERVIEW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B4" s="18" t="inlineStr">
        <is>
          <t>Brand</t>
        </is>
      </c>
      <c r="C4" s="42" t="inlineStr">
        <is>
          <t>JSW ONE TMT</t>
        </is>
      </c>
      <c r="D4" s="43" t="n"/>
      <c r="E4" s="43" t="n"/>
      <c r="F4" s="43" t="n"/>
      <c r="G4" s="43" t="n"/>
    </row>
    <row r="5">
      <c r="B5" s="18" t="inlineStr">
        <is>
          <t>Total Obj2 Budget</t>
        </is>
      </c>
      <c r="C5" s="42">
        <f>"Rs. " &amp; TEXT('Budget Control'!C17,"##,##,##0") &amp; " (" &amp; TEXT('Budget Control'!C8,"0%") &amp; " of total)"</f>
        <v/>
      </c>
      <c r="D5" s="43" t="n"/>
      <c r="E5" s="43" t="n"/>
      <c r="F5" s="43" t="n"/>
      <c r="G5" s="43" t="n"/>
    </row>
    <row r="6">
      <c r="B6" s="18" t="inlineStr">
        <is>
          <t>Network</t>
        </is>
      </c>
      <c r="C6" s="44">
        <f>'Budget Control'!C42 &amp; " Distributors, " &amp; 'Budget Control'!C44 &amp; " Active Retailers"</f>
        <v/>
      </c>
      <c r="D6" s="43" t="n"/>
      <c r="E6" s="43" t="n"/>
      <c r="F6" s="43" t="n"/>
      <c r="G6" s="43" t="n"/>
    </row>
    <row r="7">
      <c r="B7" s="18" t="inlineStr">
        <is>
          <t>Total Volume Target</t>
        </is>
      </c>
      <c r="C7" s="42">
        <f>TEXT('Budget Control'!C43,"##,##0") &amp; " MT (Annual)"</f>
        <v/>
      </c>
      <c r="D7" s="43" t="n"/>
      <c r="E7" s="43" t="n"/>
      <c r="F7" s="43" t="n"/>
      <c r="G7" s="43" t="n"/>
    </row>
    <row r="8">
      <c r="B8" s="18" t="inlineStr">
        <is>
          <t>Selling Price</t>
        </is>
      </c>
      <c r="C8" s="44">
        <f>"Rs. " &amp; TEXT('Budget Control'!C47,"##,##0") &amp; " per MT"</f>
        <v/>
      </c>
      <c r="D8" s="43" t="n"/>
      <c r="E8" s="43" t="n"/>
      <c r="F8" s="43" t="n"/>
      <c r="G8" s="43" t="n"/>
    </row>
    <row r="10">
      <c r="A10" s="34" t="inlineStr">
        <is>
          <t>SUB-OBJECTIVES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</row>
    <row r="11">
      <c r="B11" s="18" t="inlineStr">
        <is>
          <t>Sub-2A: EAST INDIA GROWTH</t>
        </is>
      </c>
      <c r="C11" s="44">
        <f>"Bihar, WB, Jharkhand, Odisha | Budget: Rs. " &amp; TEXT('Budget Control'!C18,"##,##,##0") &amp; " | 120 Districts"</f>
        <v/>
      </c>
      <c r="D11" s="43" t="n"/>
      <c r="E11" s="43" t="n"/>
      <c r="F11" s="43" t="n"/>
      <c r="G11" s="43" t="n"/>
    </row>
    <row r="12">
      <c r="B12" s="19" t="inlineStr">
        <is>
          <t>Sub-2B: UP &amp; HARYANA 2x GROWTH</t>
        </is>
      </c>
      <c r="C12" s="44">
        <f>"UP &amp; Haryana | Budget: Rs. " &amp; TEXT('Budget Control'!C19,"##,##,##0") &amp; " | 74 Districts | 2x Target"</f>
        <v/>
      </c>
      <c r="D12" s="43" t="n"/>
      <c r="E12" s="43" t="n"/>
      <c r="F12" s="43" t="n"/>
      <c r="G12" s="43" t="n"/>
    </row>
    <row r="14">
      <c r="A14" s="38" t="inlineStr">
        <is>
          <t>ACTIVITY PLAN - SUB-2A (EAST) vs SUB-2B (UP+HR)</t>
        </is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</row>
    <row r="15">
      <c r="A15" s="40" t="inlineStr">
        <is>
          <t>#</t>
        </is>
      </c>
      <c r="B15" s="40" t="inlineStr">
        <is>
          <t>Activity</t>
        </is>
      </c>
      <c r="C15" s="40" t="inlineStr">
        <is>
          <t>Sub-2A Qty</t>
        </is>
      </c>
      <c r="D15" s="40" t="inlineStr">
        <is>
          <t>Sub-2A Cost</t>
        </is>
      </c>
      <c r="E15" s="40" t="inlineStr">
        <is>
          <t>Sub-2B Qty</t>
        </is>
      </c>
      <c r="F15" s="40" t="inlineStr">
        <is>
          <t>Sub-2B Cost</t>
        </is>
      </c>
      <c r="G15" s="40" t="inlineStr">
        <is>
          <t>Total Cost</t>
        </is>
      </c>
      <c r="H15" s="40" t="inlineStr">
        <is>
          <t>Q1</t>
        </is>
      </c>
      <c r="I15" s="40" t="inlineStr">
        <is>
          <t>Q2</t>
        </is>
      </c>
      <c r="J15" s="40" t="inlineStr">
        <is>
          <t>Q3</t>
        </is>
      </c>
      <c r="K15" s="40" t="inlineStr">
        <is>
          <t>Q4</t>
        </is>
      </c>
      <c r="L15" s="40" t="inlineStr">
        <is>
          <t>Basis</t>
        </is>
      </c>
    </row>
    <row r="16">
      <c r="A16" s="52" t="inlineStr">
        <is>
          <t>ATL ACTIVITIES</t>
        </is>
      </c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</row>
    <row r="17">
      <c r="A17" s="14" t="n">
        <v>1</v>
      </c>
      <c r="B17" s="14" t="inlineStr">
        <is>
          <t>Impact Wall Painting</t>
        </is>
      </c>
      <c r="C17" s="29">
        <f>120*20000</f>
        <v/>
      </c>
      <c r="D17" s="16">
        <f>C17*'Budget Control'!C62</f>
        <v/>
      </c>
      <c r="E17" s="54">
        <f>74*20000</f>
        <v/>
      </c>
      <c r="F17" s="16">
        <f>E17*'Budget Control'!C62</f>
        <v/>
      </c>
      <c r="G17" s="15">
        <f>D17+F17</f>
        <v/>
      </c>
      <c r="H17" s="16">
        <f>G17*'Budget Control'!C29</f>
        <v/>
      </c>
      <c r="I17" s="16">
        <f>G17*'Budget Control'!C30</f>
        <v/>
      </c>
      <c r="J17" s="16">
        <f>G17*'Budget Control'!C31</f>
        <v/>
      </c>
      <c r="K17" s="16">
        <f>G17*'Budget Control'!C32</f>
        <v/>
      </c>
      <c r="L17" s="17" t="inlineStr">
        <is>
          <t>sqft across 120 East districts</t>
        </is>
      </c>
    </row>
    <row r="18">
      <c r="A18" s="14" t="n">
        <v>2</v>
      </c>
      <c r="B18" s="14" t="inlineStr">
        <is>
          <t>FM Radio Campaign</t>
        </is>
      </c>
      <c r="C18" s="29">
        <f>ROUND(120*0.05,0)*4</f>
        <v/>
      </c>
      <c r="D18" s="16">
        <f>C18*'Budget Control'!C63</f>
        <v/>
      </c>
      <c r="E18" s="54">
        <f>ROUND(74*0.05,0)*4</f>
        <v/>
      </c>
      <c r="F18" s="16">
        <f>E18*'Budget Control'!C63</f>
        <v/>
      </c>
      <c r="G18" s="15">
        <f>D18+F18</f>
        <v/>
      </c>
      <c r="H18" s="16">
        <f>G18*'Budget Control'!C29</f>
        <v/>
      </c>
      <c r="I18" s="16">
        <f>G18*'Budget Control'!C30</f>
        <v/>
      </c>
      <c r="J18" s="16">
        <f>G18*'Budget Control'!C31</f>
        <v/>
      </c>
      <c r="K18" s="16">
        <f>G18*'Budget Control'!C32</f>
        <v/>
      </c>
      <c r="L18" s="17" t="inlineStr">
        <is>
          <t>5% dist x 4 qtrs</t>
        </is>
      </c>
    </row>
    <row r="19">
      <c r="A19" s="14" t="n">
        <v>3</v>
      </c>
      <c r="B19" s="14" t="inlineStr">
        <is>
          <t>Hoardings (Flex/Billboard)</t>
        </is>
      </c>
      <c r="C19" s="29">
        <f>120*3</f>
        <v/>
      </c>
      <c r="D19" s="16">
        <f>C19*'Budget Control'!C64</f>
        <v/>
      </c>
      <c r="E19" s="54">
        <f>74*3</f>
        <v/>
      </c>
      <c r="F19" s="16">
        <f>E19*'Budget Control'!C64</f>
        <v/>
      </c>
      <c r="G19" s="15">
        <f>D19+F19</f>
        <v/>
      </c>
      <c r="H19" s="16">
        <f>G19*'Budget Control'!C29</f>
        <v/>
      </c>
      <c r="I19" s="16">
        <f>G19*'Budget Control'!C30</f>
        <v/>
      </c>
      <c r="J19" s="16">
        <f>G19*'Budget Control'!C31</f>
        <v/>
      </c>
      <c r="K19" s="16">
        <f>G19*'Budget Control'!C32</f>
        <v/>
      </c>
      <c r="L19" s="17" t="inlineStr">
        <is>
          <t>3 per district</t>
        </is>
      </c>
    </row>
    <row r="20">
      <c r="A20" s="14" t="n">
        <v>4</v>
      </c>
      <c r="B20" s="14" t="inlineStr">
        <is>
          <t>Digital Marketing Campaign</t>
        </is>
      </c>
      <c r="C20" s="29" t="n">
        <v>4</v>
      </c>
      <c r="D20" s="16">
        <f>C20*'Budget Control'!C65</f>
        <v/>
      </c>
      <c r="E20" s="54" t="n">
        <v>4</v>
      </c>
      <c r="F20" s="16">
        <f>E20*'Budget Control'!C65</f>
        <v/>
      </c>
      <c r="G20" s="15">
        <f>D20+F20</f>
        <v/>
      </c>
      <c r="H20" s="16">
        <f>G20*'Budget Control'!C29</f>
        <v/>
      </c>
      <c r="I20" s="16">
        <f>G20*'Budget Control'!C30</f>
        <v/>
      </c>
      <c r="J20" s="16">
        <f>G20*'Budget Control'!C31</f>
        <v/>
      </c>
      <c r="K20" s="16">
        <f>G20*'Budget Control'!C32</f>
        <v/>
      </c>
      <c r="L20" s="17" t="inlineStr">
        <is>
          <t>4 campaigns/year</t>
        </is>
      </c>
    </row>
    <row r="21">
      <c r="A21" s="14" t="n">
        <v>5</v>
      </c>
      <c r="B21" s="14" t="inlineStr">
        <is>
          <t>Local Events / Trade Fairs</t>
        </is>
      </c>
      <c r="C21" s="29" t="n">
        <v>4</v>
      </c>
      <c r="D21" s="16">
        <f>C21*'Budget Control'!C66</f>
        <v/>
      </c>
      <c r="E21" s="54" t="n">
        <v>4</v>
      </c>
      <c r="F21" s="16">
        <f>E21*'Budget Control'!C66</f>
        <v/>
      </c>
      <c r="G21" s="15">
        <f>D21+F21</f>
        <v/>
      </c>
      <c r="H21" s="16">
        <f>G21*'Budget Control'!C29</f>
        <v/>
      </c>
      <c r="I21" s="16">
        <f>G21*'Budget Control'!C30</f>
        <v/>
      </c>
      <c r="J21" s="16">
        <f>G21*'Budget Control'!C31</f>
        <v/>
      </c>
      <c r="K21" s="16">
        <f>G21*'Budget Control'!C32</f>
        <v/>
      </c>
      <c r="L21" s="17" t="inlineStr">
        <is>
          <t>4 zonal events</t>
        </is>
      </c>
    </row>
    <row r="22">
      <c r="A22" s="14" t="n">
        <v>6</v>
      </c>
      <c r="B22" s="14" t="inlineStr">
        <is>
          <t>Van Campaign (Mobile)</t>
        </is>
      </c>
      <c r="C22" s="29">
        <f>4*60</f>
        <v/>
      </c>
      <c r="D22" s="16">
        <f>C22*'Budget Control'!C67</f>
        <v/>
      </c>
      <c r="E22" s="54">
        <f>2*60</f>
        <v/>
      </c>
      <c r="F22" s="16">
        <f>E22*'Budget Control'!C67</f>
        <v/>
      </c>
      <c r="G22" s="15">
        <f>D22+F22</f>
        <v/>
      </c>
      <c r="H22" s="16">
        <f>G22*'Budget Control'!C29</f>
        <v/>
      </c>
      <c r="I22" s="16">
        <f>G22*'Budget Control'!C30</f>
        <v/>
      </c>
      <c r="J22" s="16">
        <f>G22*'Budget Control'!C31</f>
        <v/>
      </c>
      <c r="K22" s="16">
        <f>G22*'Budget Control'!C32</f>
        <v/>
      </c>
      <c r="L22" s="17" t="inlineStr">
        <is>
          <t>4 vans x 60 days (4 states)</t>
        </is>
      </c>
    </row>
    <row r="23">
      <c r="A23" s="14" t="n">
        <v>7</v>
      </c>
      <c r="B23" s="14" t="inlineStr">
        <is>
          <t>Syndicate Launch Events</t>
        </is>
      </c>
      <c r="C23" s="29" t="n">
        <v>4</v>
      </c>
      <c r="D23" s="16">
        <f>C23*'Budget Control'!C68</f>
        <v/>
      </c>
      <c r="E23" s="54" t="n">
        <v>2</v>
      </c>
      <c r="F23" s="16">
        <f>E23*'Budget Control'!C68</f>
        <v/>
      </c>
      <c r="G23" s="15">
        <f>D23+F23</f>
        <v/>
      </c>
      <c r="H23" s="16">
        <f>G23*'Budget Control'!C29</f>
        <v/>
      </c>
      <c r="I23" s="16">
        <f>G23*'Budget Control'!C30</f>
        <v/>
      </c>
      <c r="J23" s="16">
        <f>G23*'Budget Control'!C31</f>
        <v/>
      </c>
      <c r="K23" s="16">
        <f>G23*'Budget Control'!C32</f>
        <v/>
      </c>
      <c r="L23" s="17" t="inlineStr">
        <is>
          <t>4 state launches</t>
        </is>
      </c>
    </row>
    <row r="24">
      <c r="A24" s="14" t="n">
        <v>8</v>
      </c>
      <c r="B24" s="14" t="inlineStr">
        <is>
          <t>Transit Auto Branding</t>
        </is>
      </c>
      <c r="C24" s="29" t="n">
        <v>300</v>
      </c>
      <c r="D24" s="16">
        <f>C24*'Budget Control'!C69</f>
        <v/>
      </c>
      <c r="E24" s="54" t="n">
        <v>200</v>
      </c>
      <c r="F24" s="16">
        <f>E24*'Budget Control'!C69</f>
        <v/>
      </c>
      <c r="G24" s="15">
        <f>D24+F24</f>
        <v/>
      </c>
      <c r="H24" s="16">
        <f>G24*'Budget Control'!C29</f>
        <v/>
      </c>
      <c r="I24" s="16">
        <f>G24*'Budget Control'!C30</f>
        <v/>
      </c>
      <c r="J24" s="16">
        <f>G24*'Budget Control'!C31</f>
        <v/>
      </c>
      <c r="K24" s="16">
        <f>G24*'Budget Control'!C32</f>
        <v/>
      </c>
      <c r="L24" s="17" t="inlineStr">
        <is>
          <t>300 autos</t>
        </is>
      </c>
    </row>
    <row r="25">
      <c r="A25" s="14" t="n">
        <v>9</v>
      </c>
      <c r="B25" s="14" t="inlineStr">
        <is>
          <t>Tea Stall Branding</t>
        </is>
      </c>
      <c r="C25" s="29">
        <f>ROUND(120*0.1,0)*25</f>
        <v/>
      </c>
      <c r="D25" s="16">
        <f>C25*'Budget Control'!C70</f>
        <v/>
      </c>
      <c r="E25" s="54">
        <f>ROUND(74*0.1,0)*25</f>
        <v/>
      </c>
      <c r="F25" s="16">
        <f>E25*'Budget Control'!C70</f>
        <v/>
      </c>
      <c r="G25" s="15">
        <f>D25+F25</f>
        <v/>
      </c>
      <c r="H25" s="16">
        <f>G25*'Budget Control'!C29</f>
        <v/>
      </c>
      <c r="I25" s="16">
        <f>G25*'Budget Control'!C30</f>
        <v/>
      </c>
      <c r="J25" s="16">
        <f>G25*'Budget Control'!C31</f>
        <v/>
      </c>
      <c r="K25" s="16">
        <f>G25*'Budget Control'!C32</f>
        <v/>
      </c>
      <c r="L25" s="17" t="inlineStr">
        <is>
          <t>10% dist x 25 stalls</t>
        </is>
      </c>
    </row>
    <row r="26">
      <c r="A26" s="14" t="n">
        <v>10</v>
      </c>
      <c r="B26" s="14" t="inlineStr">
        <is>
          <t>Paper Advertisement</t>
        </is>
      </c>
      <c r="C26" s="29" t="n">
        <v>8</v>
      </c>
      <c r="D26" s="16">
        <f>C26*'Budget Control'!C71</f>
        <v/>
      </c>
      <c r="E26" s="54" t="n">
        <v>6</v>
      </c>
      <c r="F26" s="16">
        <f>E26*'Budget Control'!C71</f>
        <v/>
      </c>
      <c r="G26" s="15">
        <f>D26+F26</f>
        <v/>
      </c>
      <c r="H26" s="16">
        <f>G26*'Budget Control'!C29</f>
        <v/>
      </c>
      <c r="I26" s="16">
        <f>G26*'Budget Control'!C30</f>
        <v/>
      </c>
      <c r="J26" s="16">
        <f>G26*'Budget Control'!C31</f>
        <v/>
      </c>
      <c r="K26" s="16">
        <f>G26*'Budget Control'!C32</f>
        <v/>
      </c>
      <c r="L26" s="17" t="inlineStr">
        <is>
          <t>8 insertions/year</t>
        </is>
      </c>
    </row>
    <row r="27">
      <c r="A27" s="21" t="n"/>
      <c r="B27" s="20" t="inlineStr">
        <is>
          <t>ATL SUBTOTAL</t>
        </is>
      </c>
      <c r="C27" s="21" t="n"/>
      <c r="D27" s="22">
        <f>SUM(D17:D26)</f>
        <v/>
      </c>
      <c r="E27" s="21" t="n"/>
      <c r="F27" s="22">
        <f>SUM(F17:F26)</f>
        <v/>
      </c>
      <c r="G27" s="22">
        <f>SUM(G17:G26)</f>
        <v/>
      </c>
      <c r="H27" s="22">
        <f>SUM(H17:H26)</f>
        <v/>
      </c>
      <c r="I27" s="22">
        <f>SUM(I17:I26)</f>
        <v/>
      </c>
      <c r="J27" s="22">
        <f>SUM(J17:J26)</f>
        <v/>
      </c>
      <c r="K27" s="22">
        <f>SUM(K17:K26)</f>
        <v/>
      </c>
      <c r="L27" s="21" t="n"/>
    </row>
    <row r="28">
      <c r="A28" s="52" t="inlineStr">
        <is>
          <t>BTL ACTIVITIES</t>
        </is>
      </c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</row>
    <row r="29">
      <c r="A29" s="14" t="n">
        <v>11</v>
      </c>
      <c r="B29" s="14" t="inlineStr">
        <is>
          <t>NLB (Name/Lit Board)</t>
        </is>
      </c>
      <c r="C29" s="29">
        <f>ROUND(954*0.5,0)</f>
        <v/>
      </c>
      <c r="D29" s="16">
        <f>C29*'Budget Control'!C73</f>
        <v/>
      </c>
      <c r="E29" s="54">
        <f>ROUND(636*0.5,0)</f>
        <v/>
      </c>
      <c r="F29" s="16">
        <f>E29*'Budget Control'!C73</f>
        <v/>
      </c>
      <c r="G29" s="15">
        <f>D29+F29</f>
        <v/>
      </c>
      <c r="H29" s="16">
        <f>G29*'Budget Control'!C29</f>
        <v/>
      </c>
      <c r="I29" s="16">
        <f>G29*'Budget Control'!C30</f>
        <v/>
      </c>
      <c r="J29" s="16">
        <f>G29*'Budget Control'!C31</f>
        <v/>
      </c>
      <c r="K29" s="16">
        <f>G29*'Budget Control'!C32</f>
        <v/>
      </c>
      <c r="L29" s="17" t="inlineStr">
        <is>
          <t>50% of 954 East retailers</t>
        </is>
      </c>
    </row>
    <row r="30">
      <c r="A30" s="14" t="n">
        <v>12</v>
      </c>
      <c r="B30" s="14" t="inlineStr">
        <is>
          <t>GSB (Glow Sign Board)</t>
        </is>
      </c>
      <c r="C30" s="29">
        <f>ROUND(954*0.25,0)</f>
        <v/>
      </c>
      <c r="D30" s="16">
        <f>C30*'Budget Control'!C74</f>
        <v/>
      </c>
      <c r="E30" s="54">
        <f>ROUND(636*0.25,0)</f>
        <v/>
      </c>
      <c r="F30" s="16">
        <f>E30*'Budget Control'!C74</f>
        <v/>
      </c>
      <c r="G30" s="15">
        <f>D30+F30</f>
        <v/>
      </c>
      <c r="H30" s="16">
        <f>G30*'Budget Control'!C29</f>
        <v/>
      </c>
      <c r="I30" s="16">
        <f>G30*'Budget Control'!C30</f>
        <v/>
      </c>
      <c r="J30" s="16">
        <f>G30*'Budget Control'!C31</f>
        <v/>
      </c>
      <c r="K30" s="16">
        <f>G30*'Budget Control'!C32</f>
        <v/>
      </c>
      <c r="L30" s="17" t="inlineStr">
        <is>
          <t>25%</t>
        </is>
      </c>
    </row>
    <row r="31">
      <c r="A31" s="14" t="n">
        <v>13</v>
      </c>
      <c r="B31" s="14" t="inlineStr">
        <is>
          <t>Counter Wall Painting</t>
        </is>
      </c>
      <c r="C31" s="29">
        <f>ROUND(954*0.2,0)</f>
        <v/>
      </c>
      <c r="D31" s="16">
        <f>C31*'Budget Control'!C75</f>
        <v/>
      </c>
      <c r="E31" s="54">
        <f>ROUND(636*0.2,0)</f>
        <v/>
      </c>
      <c r="F31" s="16">
        <f>E31*'Budget Control'!C75</f>
        <v/>
      </c>
      <c r="G31" s="15">
        <f>D31+F31</f>
        <v/>
      </c>
      <c r="H31" s="16">
        <f>G31*'Budget Control'!C29</f>
        <v/>
      </c>
      <c r="I31" s="16">
        <f>G31*'Budget Control'!C30</f>
        <v/>
      </c>
      <c r="J31" s="16">
        <f>G31*'Budget Control'!C31</f>
        <v/>
      </c>
      <c r="K31" s="16">
        <f>G31*'Budget Control'!C32</f>
        <v/>
      </c>
      <c r="L31" s="17" t="inlineStr">
        <is>
          <t>20%</t>
        </is>
      </c>
    </row>
    <row r="32">
      <c r="A32" s="14" t="n">
        <v>14</v>
      </c>
      <c r="B32" s="14" t="inlineStr">
        <is>
          <t>Inshop Branding</t>
        </is>
      </c>
      <c r="C32" s="29">
        <f>ROUND(954*0.1,0)</f>
        <v/>
      </c>
      <c r="D32" s="16">
        <f>C32*'Budget Control'!C76</f>
        <v/>
      </c>
      <c r="E32" s="54">
        <f>ROUND(636*0.1,0)</f>
        <v/>
      </c>
      <c r="F32" s="16">
        <f>E32*'Budget Control'!C76</f>
        <v/>
      </c>
      <c r="G32" s="15">
        <f>D32+F32</f>
        <v/>
      </c>
      <c r="H32" s="16">
        <f>G32*'Budget Control'!C29</f>
        <v/>
      </c>
      <c r="I32" s="16">
        <f>G32*'Budget Control'!C30</f>
        <v/>
      </c>
      <c r="J32" s="16">
        <f>G32*'Budget Control'!C31</f>
        <v/>
      </c>
      <c r="K32" s="16">
        <f>G32*'Budget Control'!C32</f>
        <v/>
      </c>
      <c r="L32" s="17" t="inlineStr">
        <is>
          <t>10%</t>
        </is>
      </c>
    </row>
    <row r="33">
      <c r="A33" s="14" t="n">
        <v>15</v>
      </c>
      <c r="B33" s="14" t="inlineStr">
        <is>
          <t>Architect/Engineer Meet</t>
        </is>
      </c>
      <c r="C33" s="29">
        <f>ROUND(120*0.5,0)*4</f>
        <v/>
      </c>
      <c r="D33" s="16">
        <f>C33*'Budget Control'!C77</f>
        <v/>
      </c>
      <c r="E33" s="54">
        <f>ROUND(74*0.5,0)*4</f>
        <v/>
      </c>
      <c r="F33" s="16">
        <f>E33*'Budget Control'!C77</f>
        <v/>
      </c>
      <c r="G33" s="15">
        <f>D33+F33</f>
        <v/>
      </c>
      <c r="H33" s="16">
        <f>G33*'Budget Control'!C29</f>
        <v/>
      </c>
      <c r="I33" s="16">
        <f>G33*'Budget Control'!C30</f>
        <v/>
      </c>
      <c r="J33" s="16">
        <f>G33*'Budget Control'!C31</f>
        <v/>
      </c>
      <c r="K33" s="16">
        <f>G33*'Budget Control'!C32</f>
        <v/>
      </c>
      <c r="L33" s="17" t="inlineStr">
        <is>
          <t>50% dist x 4 qtrs</t>
        </is>
      </c>
    </row>
    <row r="34">
      <c r="A34" s="14" t="n">
        <v>16</v>
      </c>
      <c r="B34" s="14" t="inlineStr">
        <is>
          <t>Contractor Meet</t>
        </is>
      </c>
      <c r="C34" s="29">
        <f>120*4</f>
        <v/>
      </c>
      <c r="D34" s="16">
        <f>C34*'Budget Control'!C78</f>
        <v/>
      </c>
      <c r="E34" s="54">
        <f>74*4</f>
        <v/>
      </c>
      <c r="F34" s="16">
        <f>E34*'Budget Control'!C78</f>
        <v/>
      </c>
      <c r="G34" s="15">
        <f>D34+F34</f>
        <v/>
      </c>
      <c r="H34" s="16">
        <f>G34*'Budget Control'!C29</f>
        <v/>
      </c>
      <c r="I34" s="16">
        <f>G34*'Budget Control'!C30</f>
        <v/>
      </c>
      <c r="J34" s="16">
        <f>G34*'Budget Control'!C31</f>
        <v/>
      </c>
      <c r="K34" s="16">
        <f>G34*'Budget Control'!C32</f>
        <v/>
      </c>
      <c r="L34" s="17" t="inlineStr">
        <is>
          <t>all dist x 4 qtrs</t>
        </is>
      </c>
    </row>
    <row r="35">
      <c r="A35" s="14" t="n">
        <v>17</v>
      </c>
      <c r="B35" s="14" t="inlineStr">
        <is>
          <t>Mason Meet</t>
        </is>
      </c>
      <c r="C35" s="29">
        <f>120*4</f>
        <v/>
      </c>
      <c r="D35" s="16">
        <f>C35*'Budget Control'!C79</f>
        <v/>
      </c>
      <c r="E35" s="54">
        <f>74*4</f>
        <v/>
      </c>
      <c r="F35" s="16">
        <f>E35*'Budget Control'!C79</f>
        <v/>
      </c>
      <c r="G35" s="15">
        <f>D35+F35</f>
        <v/>
      </c>
      <c r="H35" s="16">
        <f>G35*'Budget Control'!C29</f>
        <v/>
      </c>
      <c r="I35" s="16">
        <f>G35*'Budget Control'!C30</f>
        <v/>
      </c>
      <c r="J35" s="16">
        <f>G35*'Budget Control'!C31</f>
        <v/>
      </c>
      <c r="K35" s="16">
        <f>G35*'Budget Control'!C32</f>
        <v/>
      </c>
      <c r="L35" s="17" t="inlineStr">
        <is>
          <t>all dist x 4 qtrs</t>
        </is>
      </c>
    </row>
    <row r="36">
      <c r="A36" s="14" t="n">
        <v>18</v>
      </c>
      <c r="B36" s="14" t="inlineStr">
        <is>
          <t>Dealer Certificates</t>
        </is>
      </c>
      <c r="C36" s="29" t="n">
        <v>954</v>
      </c>
      <c r="D36" s="16">
        <f>C36*'Budget Control'!C80</f>
        <v/>
      </c>
      <c r="E36" s="54" t="n">
        <v>636</v>
      </c>
      <c r="F36" s="16">
        <f>E36*'Budget Control'!C80</f>
        <v/>
      </c>
      <c r="G36" s="15">
        <f>D36+F36</f>
        <v/>
      </c>
      <c r="H36" s="16">
        <f>G36*'Budget Control'!C29</f>
        <v/>
      </c>
      <c r="I36" s="16">
        <f>G36*'Budget Control'!C30</f>
        <v/>
      </c>
      <c r="J36" s="16">
        <f>G36*'Budget Control'!C31</f>
        <v/>
      </c>
      <c r="K36" s="16">
        <f>G36*'Budget Control'!C32</f>
        <v/>
      </c>
      <c r="L36" s="17" t="inlineStr">
        <is>
          <t>all East retailers</t>
        </is>
      </c>
    </row>
    <row r="37">
      <c r="A37" s="14" t="n">
        <v>19</v>
      </c>
      <c r="B37" s="14" t="inlineStr">
        <is>
          <t>Construction Site Gate Board</t>
        </is>
      </c>
      <c r="C37" s="29">
        <f>ROUND(120*0.3,0)</f>
        <v/>
      </c>
      <c r="D37" s="16">
        <f>C37*'Budget Control'!C81</f>
        <v/>
      </c>
      <c r="E37" s="54">
        <f>ROUND(74*0.3,0)</f>
        <v/>
      </c>
      <c r="F37" s="16">
        <f>E37*'Budget Control'!C81</f>
        <v/>
      </c>
      <c r="G37" s="15">
        <f>D37+F37</f>
        <v/>
      </c>
      <c r="H37" s="16">
        <f>G37*'Budget Control'!C29</f>
        <v/>
      </c>
      <c r="I37" s="16">
        <f>G37*'Budget Control'!C30</f>
        <v/>
      </c>
      <c r="J37" s="16">
        <f>G37*'Budget Control'!C31</f>
        <v/>
      </c>
      <c r="K37" s="16">
        <f>G37*'Budget Control'!C32</f>
        <v/>
      </c>
      <c r="L37" s="17" t="inlineStr">
        <is>
          <t>30% districts</t>
        </is>
      </c>
    </row>
    <row r="38">
      <c r="A38" s="14" t="n">
        <v>20</v>
      </c>
      <c r="B38" s="14" t="inlineStr">
        <is>
          <t>POP Materials Kit</t>
        </is>
      </c>
      <c r="C38" s="29" t="n">
        <v>34</v>
      </c>
      <c r="D38" s="16">
        <f>C38*'Budget Control'!C82</f>
        <v/>
      </c>
      <c r="E38" s="54" t="n">
        <v>22</v>
      </c>
      <c r="F38" s="16">
        <f>E38*'Budget Control'!C82</f>
        <v/>
      </c>
      <c r="G38" s="15">
        <f>D38+F38</f>
        <v/>
      </c>
      <c r="H38" s="16">
        <f>G38*'Budget Control'!C29</f>
        <v/>
      </c>
      <c r="I38" s="16">
        <f>G38*'Budget Control'!C30</f>
        <v/>
      </c>
      <c r="J38" s="16">
        <f>G38*'Budget Control'!C31</f>
        <v/>
      </c>
      <c r="K38" s="16">
        <f>G38*'Budget Control'!C32</f>
        <v/>
      </c>
      <c r="L38" s="17" t="inlineStr">
        <is>
          <t>60% of 56 distributors</t>
        </is>
      </c>
    </row>
    <row r="39">
      <c r="A39" s="14" t="n">
        <v>21</v>
      </c>
      <c r="B39" s="14" t="inlineStr">
        <is>
          <t>Architect Gift/Engagement</t>
        </is>
      </c>
      <c r="C39" s="29">
        <f>ROUND(120*0.5,0)*50</f>
        <v/>
      </c>
      <c r="D39" s="16">
        <f>C39*'Budget Control'!C83</f>
        <v/>
      </c>
      <c r="E39" s="54">
        <f>ROUND(74*0.5,0)*50</f>
        <v/>
      </c>
      <c r="F39" s="16">
        <f>E39*'Budget Control'!C83</f>
        <v/>
      </c>
      <c r="G39" s="15">
        <f>D39+F39</f>
        <v/>
      </c>
      <c r="H39" s="16">
        <f>G39*'Budget Control'!C29</f>
        <v/>
      </c>
      <c r="I39" s="16">
        <f>G39*'Budget Control'!C30</f>
        <v/>
      </c>
      <c r="J39" s="16">
        <f>G39*'Budget Control'!C31</f>
        <v/>
      </c>
      <c r="K39" s="16">
        <f>G39*'Budget Control'!C32</f>
        <v/>
      </c>
      <c r="L39" s="17" t="inlineStr">
        <is>
          <t>50% dist x 50 arch</t>
        </is>
      </c>
    </row>
    <row r="40">
      <c r="A40" s="14" t="n">
        <v>22</v>
      </c>
      <c r="B40" s="14" t="inlineStr">
        <is>
          <t>Distributor Meet (Grand)</t>
        </is>
      </c>
      <c r="C40" s="29" t="n">
        <v>34</v>
      </c>
      <c r="D40" s="16">
        <f>C40*'Budget Control'!C84</f>
        <v/>
      </c>
      <c r="E40" s="54" t="n">
        <v>22</v>
      </c>
      <c r="F40" s="16">
        <f>E40*'Budget Control'!C84</f>
        <v/>
      </c>
      <c r="G40" s="15">
        <f>D40+F40</f>
        <v/>
      </c>
      <c r="H40" s="16">
        <f>G40*'Budget Control'!C29</f>
        <v/>
      </c>
      <c r="I40" s="16">
        <f>G40*'Budget Control'!C30</f>
        <v/>
      </c>
      <c r="J40" s="16">
        <f>G40*'Budget Control'!C31</f>
        <v/>
      </c>
      <c r="K40" s="16">
        <f>G40*'Budget Control'!C32</f>
        <v/>
      </c>
      <c r="L40" s="17" t="inlineStr">
        <is>
          <t>34 East distributors</t>
        </is>
      </c>
    </row>
    <row r="41">
      <c r="A41" s="14" t="n">
        <v>23</v>
      </c>
      <c r="B41" s="14" t="inlineStr">
        <is>
          <t>Retailer Loyalty Program</t>
        </is>
      </c>
      <c r="C41" s="29">
        <f>ROUND(620*0.3,0)*4</f>
        <v/>
      </c>
      <c r="D41" s="16">
        <f>C41*'Budget Control'!C85</f>
        <v/>
      </c>
      <c r="E41" s="54">
        <f>ROUND(413*0.3,0)*4</f>
        <v/>
      </c>
      <c r="F41" s="16">
        <f>E41*'Budget Control'!C85</f>
        <v/>
      </c>
      <c r="G41" s="15">
        <f>D41+F41</f>
        <v/>
      </c>
      <c r="H41" s="16">
        <f>G41*'Budget Control'!C29</f>
        <v/>
      </c>
      <c r="I41" s="16">
        <f>G41*'Budget Control'!C30</f>
        <v/>
      </c>
      <c r="J41" s="16">
        <f>G41*'Budget Control'!C31</f>
        <v/>
      </c>
      <c r="K41" s="16">
        <f>G41*'Budget Control'!C32</f>
        <v/>
      </c>
      <c r="L41" s="17" t="inlineStr">
        <is>
          <t>30% transacting x 4 qtrs</t>
        </is>
      </c>
    </row>
    <row r="42">
      <c r="A42" s="14" t="n">
        <v>24</v>
      </c>
      <c r="B42" s="14" t="inlineStr">
        <is>
          <t>Mason Training Camp</t>
        </is>
      </c>
      <c r="C42" s="29">
        <f>ROUND(120*0.2,0)</f>
        <v/>
      </c>
      <c r="D42" s="16">
        <f>C42*'Budget Control'!C86</f>
        <v/>
      </c>
      <c r="E42" s="54">
        <f>ROUND(74*0.2,0)</f>
        <v/>
      </c>
      <c r="F42" s="16">
        <f>E42*'Budget Control'!C86</f>
        <v/>
      </c>
      <c r="G42" s="15">
        <f>D42+F42</f>
        <v/>
      </c>
      <c r="H42" s="16">
        <f>G42*'Budget Control'!C29</f>
        <v/>
      </c>
      <c r="I42" s="16">
        <f>G42*'Budget Control'!C30</f>
        <v/>
      </c>
      <c r="J42" s="16">
        <f>G42*'Budget Control'!C31</f>
        <v/>
      </c>
      <c r="K42" s="16">
        <f>G42*'Budget Control'!C32</f>
        <v/>
      </c>
      <c r="L42" s="17" t="inlineStr">
        <is>
          <t>20% districts</t>
        </is>
      </c>
    </row>
    <row r="43">
      <c r="A43" s="14" t="n">
        <v>25</v>
      </c>
      <c r="B43" s="14" t="inlineStr">
        <is>
          <t>Competitive Conversion Scheme</t>
        </is>
      </c>
      <c r="C43" s="29">
        <f>ROUND(954*0.05,0)</f>
        <v/>
      </c>
      <c r="D43" s="16">
        <f>C43*'Budget Control'!C87</f>
        <v/>
      </c>
      <c r="E43" s="54">
        <f>ROUND(636*0.05,0)</f>
        <v/>
      </c>
      <c r="F43" s="16">
        <f>E43*'Budget Control'!C87</f>
        <v/>
      </c>
      <c r="G43" s="15">
        <f>D43+F43</f>
        <v/>
      </c>
      <c r="H43" s="16">
        <f>G43*'Budget Control'!C29</f>
        <v/>
      </c>
      <c r="I43" s="16">
        <f>G43*'Budget Control'!C30</f>
        <v/>
      </c>
      <c r="J43" s="16">
        <f>G43*'Budget Control'!C31</f>
        <v/>
      </c>
      <c r="K43" s="16">
        <f>G43*'Budget Control'!C32</f>
        <v/>
      </c>
      <c r="L43" s="17" t="inlineStr">
        <is>
          <t>5% retailers</t>
        </is>
      </c>
    </row>
    <row r="44">
      <c r="A44" s="21" t="n"/>
      <c r="B44" s="20" t="inlineStr">
        <is>
          <t>BTL SUBTOTAL</t>
        </is>
      </c>
      <c r="C44" s="21" t="n"/>
      <c r="D44" s="22">
        <f>SUM(D29:D43)</f>
        <v/>
      </c>
      <c r="E44" s="21" t="n"/>
      <c r="F44" s="22">
        <f>SUM(F29:F43)</f>
        <v/>
      </c>
      <c r="G44" s="22">
        <f>SUM(G29:G43)</f>
        <v/>
      </c>
      <c r="H44" s="22">
        <f>SUM(H29:H43)</f>
        <v/>
      </c>
      <c r="I44" s="22">
        <f>SUM(I29:I43)</f>
        <v/>
      </c>
      <c r="J44" s="22">
        <f>SUM(J29:J43)</f>
        <v/>
      </c>
      <c r="K44" s="22">
        <f>SUM(K29:K43)</f>
        <v/>
      </c>
      <c r="L44" s="21" t="n"/>
    </row>
    <row r="45">
      <c r="A45" s="6" t="n"/>
      <c r="B45" s="48" t="inlineStr">
        <is>
          <t>GRAND TOTAL</t>
        </is>
      </c>
      <c r="C45" s="6" t="n"/>
      <c r="D45" s="24">
        <f>D27+D44</f>
        <v/>
      </c>
      <c r="E45" s="6" t="n"/>
      <c r="F45" s="24">
        <f>F27+F44</f>
        <v/>
      </c>
      <c r="G45" s="24">
        <f>G27+G44</f>
        <v/>
      </c>
      <c r="H45" s="24">
        <f>H27+H44</f>
        <v/>
      </c>
      <c r="I45" s="24">
        <f>I27+I44</f>
        <v/>
      </c>
      <c r="J45" s="24">
        <f>J27+J44</f>
        <v/>
      </c>
      <c r="K45" s="24">
        <f>K27+K44</f>
        <v/>
      </c>
      <c r="L45" s="6" t="n"/>
    </row>
    <row r="47">
      <c r="B47" s="26" t="inlineStr">
        <is>
          <t>Allocated Budget (Obj2 Total)</t>
        </is>
      </c>
      <c r="G47" s="49">
        <f>'Budget Control'!C17</f>
        <v/>
      </c>
    </row>
    <row r="48">
      <c r="B48" s="14" t="inlineStr">
        <is>
          <t xml:space="preserve">  Sub-2A East Allocated</t>
        </is>
      </c>
      <c r="D48" s="47">
        <f>'Budget Control'!C18</f>
        <v/>
      </c>
    </row>
    <row r="49">
      <c r="B49" s="14" t="inlineStr">
        <is>
          <t xml:space="preserve">  Sub-2B UP+HR Allocated</t>
        </is>
      </c>
      <c r="F49" s="47">
        <f>'Budget Control'!C19</f>
        <v/>
      </c>
    </row>
    <row r="50">
      <c r="B50" s="26" t="inlineStr">
        <is>
          <t>Total Planned Spend</t>
        </is>
      </c>
      <c r="G50" s="15">
        <f>G45</f>
        <v/>
      </c>
    </row>
    <row r="51">
      <c r="B51" s="26" t="inlineStr">
        <is>
          <t>Variance (Budget - Spend)</t>
        </is>
      </c>
      <c r="G51" s="15">
        <f>G47-G50</f>
        <v/>
      </c>
    </row>
    <row r="53">
      <c r="A53" s="38" t="inlineStr">
        <is>
          <t>REGIONAL VOLUME &amp; EFFICIENCY</t>
        </is>
      </c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</row>
    <row r="54">
      <c r="A54" s="40" t="inlineStr"/>
      <c r="B54" s="40" t="inlineStr">
        <is>
          <t>Metric</t>
        </is>
      </c>
      <c r="C54" s="40" t="inlineStr"/>
      <c r="D54" s="40" t="inlineStr"/>
      <c r="E54" s="40" t="inlineStr"/>
      <c r="F54" s="40" t="inlineStr">
        <is>
          <t>Annual</t>
        </is>
      </c>
      <c r="G54" s="40" t="inlineStr">
        <is>
          <t>Q1</t>
        </is>
      </c>
      <c r="H54" s="40" t="inlineStr">
        <is>
          <t>Q2</t>
        </is>
      </c>
      <c r="I54" s="40" t="inlineStr">
        <is>
          <t>Q3</t>
        </is>
      </c>
      <c r="J54" s="40" t="inlineStr">
        <is>
          <t>Q4</t>
        </is>
      </c>
    </row>
    <row r="55">
      <c r="B55" s="26" t="inlineStr">
        <is>
          <t>East Volume Target (MT)</t>
        </is>
      </c>
      <c r="F55" s="15">
        <f>'Budget Control'!C43*'Budget Control'!C48</f>
        <v/>
      </c>
      <c r="G55" s="16">
        <f>F55*0.25</f>
        <v/>
      </c>
      <c r="H55" s="16">
        <f>F55*0.19</f>
        <v/>
      </c>
      <c r="I55" s="16">
        <f>F55*0.24</f>
        <v/>
      </c>
      <c r="J55" s="16">
        <f>F55*0.32</f>
        <v/>
      </c>
    </row>
    <row r="56">
      <c r="B56" s="26" t="inlineStr">
        <is>
          <t>UP+HR Volume Target (MT)</t>
        </is>
      </c>
      <c r="F56" s="15">
        <f>'Budget Control'!C43*'Budget Control'!C49</f>
        <v/>
      </c>
      <c r="G56" s="16">
        <f>F56*0.25</f>
        <v/>
      </c>
      <c r="H56" s="16">
        <f>F56*0.19</f>
        <v/>
      </c>
      <c r="I56" s="16">
        <f>F56*0.24</f>
        <v/>
      </c>
      <c r="J56" s="16">
        <f>F56*0.32</f>
        <v/>
      </c>
    </row>
    <row r="57">
      <c r="B57" s="20" t="inlineStr">
        <is>
          <t>Total JSW ONE Volume (MT)</t>
        </is>
      </c>
      <c r="F57" s="22">
        <f>F55+F56</f>
        <v/>
      </c>
      <c r="G57" s="22">
        <f>G55+G56</f>
        <v/>
      </c>
      <c r="H57" s="22">
        <f>H55+H56</f>
        <v/>
      </c>
      <c r="I57" s="22">
        <f>I55+I56</f>
        <v/>
      </c>
      <c r="J57" s="22">
        <f>J55+J56</f>
        <v/>
      </c>
    </row>
    <row r="58">
      <c r="B58" s="26" t="inlineStr">
        <is>
          <t>Cost per MT - JSW ONE (Rs.)</t>
        </is>
      </c>
      <c r="F58" s="15">
        <f>IF(F57&gt;0,G45/F57,0)</f>
        <v/>
      </c>
    </row>
    <row r="59">
      <c r="B59" s="26" t="inlineStr">
        <is>
          <t>Revenue (Rs.)</t>
        </is>
      </c>
      <c r="F59" s="15">
        <f>F57*'Budget Control'!C47</f>
        <v/>
      </c>
    </row>
    <row r="60">
      <c r="B60" s="26" t="inlineStr">
        <is>
          <t>A/S Ratio</t>
        </is>
      </c>
      <c r="F60" s="50">
        <f>IF(F59&gt;0,G45/F59,0)</f>
        <v/>
      </c>
    </row>
    <row r="62">
      <c r="A62" s="34" t="inlineStr">
        <is>
          <t>EAST STATE-WISE BUDGET ALLOCATION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</row>
    <row r="63">
      <c r="A63" s="12" t="inlineStr"/>
      <c r="B63" s="12" t="inlineStr">
        <is>
          <t>State</t>
        </is>
      </c>
      <c r="C63" s="12" t="inlineStr">
        <is>
          <t>Budget Share</t>
        </is>
      </c>
      <c r="D63" s="12" t="inlineStr">
        <is>
          <t>Dealers</t>
        </is>
      </c>
      <c r="E63" s="12" t="inlineStr">
        <is>
          <t>Budget Amount</t>
        </is>
      </c>
    </row>
    <row r="64">
      <c r="B64" s="14" t="inlineStr">
        <is>
          <t>Bihar</t>
        </is>
      </c>
      <c r="C64" s="25">
        <f>'Budget Control'!C54</f>
        <v/>
      </c>
      <c r="D64" s="14" t="n">
        <v>70</v>
      </c>
      <c r="E64" s="16">
        <f>'Budget Control'!C18*'Budget Control'!C54</f>
        <v/>
      </c>
    </row>
    <row r="65">
      <c r="B65" s="14" t="inlineStr">
        <is>
          <t>West Bengal</t>
        </is>
      </c>
      <c r="C65" s="25">
        <f>'Budget Control'!C55</f>
        <v/>
      </c>
      <c r="D65" s="14" t="n">
        <v>159</v>
      </c>
      <c r="E65" s="16">
        <f>'Budget Control'!C18*'Budget Control'!C55</f>
        <v/>
      </c>
    </row>
    <row r="66">
      <c r="B66" s="14" t="inlineStr">
        <is>
          <t>Jharkhand</t>
        </is>
      </c>
      <c r="C66" s="25">
        <f>'Budget Control'!C56</f>
        <v/>
      </c>
      <c r="D66" s="14" t="n">
        <v>61</v>
      </c>
      <c r="E66" s="16">
        <f>'Budget Control'!C18*'Budget Control'!C56</f>
        <v/>
      </c>
    </row>
    <row r="67">
      <c r="B67" s="14" t="inlineStr">
        <is>
          <t>Odisha</t>
        </is>
      </c>
      <c r="C67" s="25">
        <f>'Budget Control'!C57</f>
        <v/>
      </c>
      <c r="D67" s="14" t="n">
        <v>48</v>
      </c>
      <c r="E67" s="16">
        <f>'Budget Control'!C18*'Budget Control'!C57</f>
        <v/>
      </c>
    </row>
  </sheetData>
  <mergeCells count="15">
    <mergeCell ref="A16:L16"/>
    <mergeCell ref="C4:G4"/>
    <mergeCell ref="C7:G7"/>
    <mergeCell ref="A10:L10"/>
    <mergeCell ref="C12:G12"/>
    <mergeCell ref="C6:G6"/>
    <mergeCell ref="A1:L1"/>
    <mergeCell ref="A28:L28"/>
    <mergeCell ref="C11:G11"/>
    <mergeCell ref="A14:L14"/>
    <mergeCell ref="C5:G5"/>
    <mergeCell ref="A3:L3"/>
    <mergeCell ref="C8:G8"/>
    <mergeCell ref="A53:L53"/>
    <mergeCell ref="A62:L62"/>
  </mergeCells>
  <conditionalFormatting sqref="G51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2026-02-13T21:14:50Z</dcterms:created>
  <dcterms:modified xmlns:dcterms="http://purl.org/dc/terms/" xmlns:xsi="http://www.w3.org/2001/XMLSchema-instance" xsi:type="dcterms:W3CDTF">2026-02-13T21:14:50Z</dcterms:modified>
</cp:coreProperties>
</file>