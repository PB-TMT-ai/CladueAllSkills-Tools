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156" documentId="11_E60897F41BE170836B02CE998F75CCDC64E183C8" xr6:coauthVersionLast="47" xr6:coauthVersionMax="47" xr10:uidLastSave="{177627BE-2238-498C-A416-6261CF36C5BA}"/>
  <bookViews>
    <workbookView xWindow="240" yWindow="105" windowWidth="14805" windowHeight="8010" firstSheet="3" activeTab="3" xr2:uid="{00000000-000D-0000-FFFF-FFFF00000000}"/>
  </bookViews>
  <sheets>
    <sheet name="#Dealers" sheetId="1" state="hidden" r:id="rId1"/>
    <sheet name="One Helix Budget" sheetId="9" state="hidden" r:id="rId2"/>
    <sheet name="JSW ONE TMT Budget" sheetId="12" state="hidden" r:id="rId3"/>
    <sheet name="One Helix" sheetId="5" r:id="rId4"/>
    <sheet name="JSW One TMT (2)" sheetId="14" state="hidden" r:id="rId5"/>
    <sheet name="JSW One TMT" sheetId="13" r:id="rId6"/>
    <sheet name="QuarterBreakup" sheetId="8" r:id="rId7"/>
    <sheet name="Sheet3" sheetId="7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8" l="1"/>
  <c r="T15" i="8"/>
  <c r="T14" i="8" s="1"/>
  <c r="S15" i="8"/>
  <c r="S14" i="8" s="1"/>
  <c r="R15" i="8"/>
  <c r="R14" i="8" s="1"/>
  <c r="Q15" i="8"/>
  <c r="Q14" i="8" s="1"/>
  <c r="U9" i="8"/>
  <c r="C20" i="5"/>
  <c r="C14" i="5"/>
  <c r="C12" i="5"/>
  <c r="C21" i="5"/>
  <c r="C25" i="13"/>
  <c r="C29" i="13"/>
  <c r="C24" i="13"/>
  <c r="C12" i="13"/>
  <c r="C17" i="13"/>
  <c r="C16" i="13"/>
  <c r="A60" i="14"/>
  <c r="A59" i="14"/>
  <c r="A58" i="14"/>
  <c r="A57" i="14"/>
  <c r="A56" i="14"/>
  <c r="C51" i="14"/>
  <c r="T50" i="14"/>
  <c r="P50" i="14"/>
  <c r="L50" i="14"/>
  <c r="H50" i="14"/>
  <c r="T48" i="14"/>
  <c r="P48" i="14"/>
  <c r="L48" i="14"/>
  <c r="H48" i="14"/>
  <c r="C48" i="14"/>
  <c r="C47" i="14"/>
  <c r="T46" i="14"/>
  <c r="P46" i="14"/>
  <c r="L46" i="14"/>
  <c r="H46" i="14"/>
  <c r="C46" i="14"/>
  <c r="T45" i="14"/>
  <c r="P45" i="14"/>
  <c r="L45" i="14"/>
  <c r="H45" i="14"/>
  <c r="C45" i="14"/>
  <c r="C44" i="14"/>
  <c r="C43" i="14"/>
  <c r="C42" i="14"/>
  <c r="B58" i="14" s="1"/>
  <c r="L39" i="14"/>
  <c r="H39" i="14"/>
  <c r="T38" i="14"/>
  <c r="L38" i="14"/>
  <c r="H38" i="14"/>
  <c r="C33" i="14"/>
  <c r="C32" i="14"/>
  <c r="C29" i="14"/>
  <c r="C28" i="14"/>
  <c r="C27" i="14"/>
  <c r="C20" i="14"/>
  <c r="C18" i="14"/>
  <c r="C15" i="14"/>
  <c r="C14" i="14"/>
  <c r="C13" i="14"/>
  <c r="C12" i="14"/>
  <c r="C11" i="14"/>
  <c r="B9" i="14"/>
  <c r="C30" i="14" s="1"/>
  <c r="B8" i="14"/>
  <c r="B7" i="14"/>
  <c r="S4" i="8"/>
  <c r="S3" i="8"/>
  <c r="S5" i="8"/>
  <c r="R5" i="8"/>
  <c r="M29" i="8"/>
  <c r="M5" i="8" s="1"/>
  <c r="M23" i="8"/>
  <c r="L5" i="8" s="1"/>
  <c r="M17" i="8"/>
  <c r="K5" i="8" s="1"/>
  <c r="M11" i="8"/>
  <c r="J5" i="8" s="1"/>
  <c r="A55" i="13"/>
  <c r="A54" i="13"/>
  <c r="A53" i="13"/>
  <c r="A52" i="13"/>
  <c r="A51" i="13"/>
  <c r="C46" i="13"/>
  <c r="C43" i="13"/>
  <c r="C42" i="13"/>
  <c r="C41" i="13"/>
  <c r="C40" i="13"/>
  <c r="C39" i="13"/>
  <c r="C38" i="13"/>
  <c r="C37" i="13"/>
  <c r="B53" i="13" s="1"/>
  <c r="C28" i="13"/>
  <c r="C14" i="13"/>
  <c r="C13" i="13"/>
  <c r="C11" i="13"/>
  <c r="B9" i="13"/>
  <c r="C26" i="13" s="1"/>
  <c r="B8" i="13"/>
  <c r="B7" i="13"/>
  <c r="C32" i="5"/>
  <c r="G49" i="5"/>
  <c r="T49" i="5"/>
  <c r="AC16" i="9"/>
  <c r="AB16" i="9"/>
  <c r="AA16" i="9"/>
  <c r="AC15" i="9"/>
  <c r="AB15" i="9"/>
  <c r="AA15" i="9"/>
  <c r="AC14" i="9"/>
  <c r="AB14" i="9"/>
  <c r="AA14" i="9"/>
  <c r="AC13" i="9"/>
  <c r="AB13" i="9"/>
  <c r="AA13" i="9"/>
  <c r="AA9" i="9"/>
  <c r="AB9" i="9"/>
  <c r="AC9" i="9"/>
  <c r="Z9" i="9"/>
  <c r="F29" i="8"/>
  <c r="F23" i="8"/>
  <c r="F17" i="8"/>
  <c r="F11" i="8"/>
  <c r="C53" i="9"/>
  <c r="C52" i="9" s="1"/>
  <c r="C49" i="9"/>
  <c r="C50" i="9"/>
  <c r="C51" i="9"/>
  <c r="A60" i="5"/>
  <c r="C51" i="5"/>
  <c r="C15" i="5"/>
  <c r="C13" i="5"/>
  <c r="C13" i="9"/>
  <c r="C15" i="9"/>
  <c r="C16" i="9"/>
  <c r="C17" i="9"/>
  <c r="C43" i="5"/>
  <c r="B9" i="5"/>
  <c r="B8" i="5" s="1"/>
  <c r="C18" i="12"/>
  <c r="C16" i="12"/>
  <c r="C15" i="12"/>
  <c r="C13" i="12"/>
  <c r="H43" i="12"/>
  <c r="I43" i="12"/>
  <c r="M43" i="12"/>
  <c r="N43" i="12"/>
  <c r="O43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Q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O44" i="12"/>
  <c r="N44" i="12"/>
  <c r="M44" i="12"/>
  <c r="J44" i="12"/>
  <c r="I44" i="12"/>
  <c r="H44" i="12"/>
  <c r="G44" i="12"/>
  <c r="D44" i="12"/>
  <c r="G43" i="12"/>
  <c r="Q41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D37" i="12"/>
  <c r="J37" i="12" s="1"/>
  <c r="O35" i="12"/>
  <c r="N35" i="12"/>
  <c r="M35" i="12"/>
  <c r="L35" i="12"/>
  <c r="K35" i="12"/>
  <c r="J35" i="12"/>
  <c r="I35" i="12"/>
  <c r="H35" i="12"/>
  <c r="G35" i="12"/>
  <c r="F35" i="12"/>
  <c r="E35" i="12"/>
  <c r="D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W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W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Q22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54" i="12" s="1"/>
  <c r="W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W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Q11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53" i="12" s="1"/>
  <c r="Q47" i="9"/>
  <c r="Q41" i="9"/>
  <c r="Q22" i="9"/>
  <c r="W15" i="9"/>
  <c r="W30" i="9"/>
  <c r="W25" i="9"/>
  <c r="W20" i="9"/>
  <c r="D13" i="9"/>
  <c r="E13" i="9"/>
  <c r="F13" i="9"/>
  <c r="G13" i="9"/>
  <c r="H13" i="9"/>
  <c r="I13" i="9"/>
  <c r="J13" i="9"/>
  <c r="K13" i="9"/>
  <c r="L13" i="9"/>
  <c r="M13" i="9"/>
  <c r="N13" i="9"/>
  <c r="O13" i="9"/>
  <c r="D15" i="9"/>
  <c r="E15" i="9"/>
  <c r="F15" i="9"/>
  <c r="G15" i="9"/>
  <c r="H15" i="9"/>
  <c r="I15" i="9"/>
  <c r="J15" i="9"/>
  <c r="K15" i="9"/>
  <c r="L15" i="9"/>
  <c r="M15" i="9"/>
  <c r="N15" i="9"/>
  <c r="O15" i="9"/>
  <c r="D16" i="9"/>
  <c r="E16" i="9"/>
  <c r="F16" i="9"/>
  <c r="G16" i="9"/>
  <c r="H16" i="9"/>
  <c r="I16" i="9"/>
  <c r="J16" i="9"/>
  <c r="K16" i="9"/>
  <c r="L16" i="9"/>
  <c r="M16" i="9"/>
  <c r="N16" i="9"/>
  <c r="O16" i="9"/>
  <c r="D17" i="9"/>
  <c r="E17" i="9"/>
  <c r="F17" i="9"/>
  <c r="G17" i="9"/>
  <c r="H17" i="9"/>
  <c r="I17" i="9"/>
  <c r="J17" i="9"/>
  <c r="K17" i="9"/>
  <c r="L17" i="9"/>
  <c r="M17" i="9"/>
  <c r="N17" i="9"/>
  <c r="O17" i="9"/>
  <c r="Q11" i="9"/>
  <c r="K49" i="9"/>
  <c r="L49" i="9"/>
  <c r="M49" i="9"/>
  <c r="N49" i="9"/>
  <c r="O49" i="9"/>
  <c r="K50" i="9"/>
  <c r="L50" i="9"/>
  <c r="M50" i="9"/>
  <c r="N50" i="9"/>
  <c r="O50" i="9"/>
  <c r="K51" i="9"/>
  <c r="L51" i="9"/>
  <c r="M51" i="9"/>
  <c r="N51" i="9"/>
  <c r="O51" i="9"/>
  <c r="E49" i="9"/>
  <c r="F49" i="9"/>
  <c r="G49" i="9"/>
  <c r="H49" i="9"/>
  <c r="I49" i="9"/>
  <c r="J49" i="9"/>
  <c r="E50" i="9"/>
  <c r="F50" i="9"/>
  <c r="G50" i="9"/>
  <c r="H50" i="9"/>
  <c r="I50" i="9"/>
  <c r="J50" i="9"/>
  <c r="E51" i="9"/>
  <c r="F51" i="9"/>
  <c r="G51" i="9"/>
  <c r="H51" i="9"/>
  <c r="I51" i="9"/>
  <c r="J51" i="9"/>
  <c r="D49" i="9"/>
  <c r="D50" i="9"/>
  <c r="D51" i="9"/>
  <c r="D46" i="9"/>
  <c r="H3" i="7"/>
  <c r="I3" i="7"/>
  <c r="J3" i="7"/>
  <c r="G3" i="7"/>
  <c r="C47" i="5"/>
  <c r="C19" i="5"/>
  <c r="C33" i="5"/>
  <c r="C18" i="5"/>
  <c r="C45" i="5"/>
  <c r="C44" i="5"/>
  <c r="C42" i="5"/>
  <c r="A58" i="5"/>
  <c r="C41" i="5"/>
  <c r="B58" i="5" s="1"/>
  <c r="C40" i="5"/>
  <c r="C38" i="5"/>
  <c r="C39" i="5"/>
  <c r="C30" i="5"/>
  <c r="C37" i="5"/>
  <c r="C35" i="5"/>
  <c r="C34" i="5"/>
  <c r="C31" i="5"/>
  <c r="C29" i="5"/>
  <c r="C28" i="5"/>
  <c r="C27" i="5"/>
  <c r="C26" i="5"/>
  <c r="C25" i="5"/>
  <c r="C24" i="5"/>
  <c r="C23" i="5"/>
  <c r="C11" i="5"/>
  <c r="A59" i="5"/>
  <c r="A57" i="5"/>
  <c r="A56" i="5"/>
  <c r="C41" i="14" l="1"/>
  <c r="C40" i="14"/>
  <c r="C39" i="14"/>
  <c r="C38" i="14"/>
  <c r="C37" i="14"/>
  <c r="C36" i="14"/>
  <c r="C35" i="14"/>
  <c r="C31" i="14"/>
  <c r="C26" i="14"/>
  <c r="C25" i="14"/>
  <c r="C24" i="14"/>
  <c r="C23" i="14"/>
  <c r="B56" i="14"/>
  <c r="D21" i="14"/>
  <c r="D19" i="14"/>
  <c r="D17" i="14"/>
  <c r="D16" i="14"/>
  <c r="D12" i="14"/>
  <c r="D13" i="14"/>
  <c r="D14" i="14"/>
  <c r="D15" i="14"/>
  <c r="D18" i="14"/>
  <c r="D20" i="14"/>
  <c r="D43" i="14"/>
  <c r="D44" i="14"/>
  <c r="D45" i="14"/>
  <c r="D46" i="14"/>
  <c r="B59" i="14"/>
  <c r="D50" i="14"/>
  <c r="D49" i="14"/>
  <c r="D48" i="14"/>
  <c r="B60" i="14"/>
  <c r="D52" i="14"/>
  <c r="N5" i="8"/>
  <c r="D17" i="13"/>
  <c r="C36" i="13"/>
  <c r="C35" i="13"/>
  <c r="C34" i="13"/>
  <c r="C33" i="13"/>
  <c r="O33" i="13" s="1"/>
  <c r="C32" i="13"/>
  <c r="C31" i="13"/>
  <c r="C30" i="13"/>
  <c r="C27" i="13"/>
  <c r="C22" i="13"/>
  <c r="C21" i="13"/>
  <c r="C20" i="13"/>
  <c r="C19" i="13"/>
  <c r="B51" i="13"/>
  <c r="D15" i="13"/>
  <c r="D12" i="13"/>
  <c r="D13" i="13"/>
  <c r="D14" i="13"/>
  <c r="D16" i="13"/>
  <c r="D38" i="13"/>
  <c r="D39" i="13"/>
  <c r="D40" i="13"/>
  <c r="D41" i="13"/>
  <c r="B54" i="13"/>
  <c r="D45" i="13"/>
  <c r="D44" i="13"/>
  <c r="D43" i="13"/>
  <c r="B55" i="13"/>
  <c r="D47" i="13"/>
  <c r="D21" i="5"/>
  <c r="M37" i="5"/>
  <c r="Q37" i="5"/>
  <c r="M38" i="5"/>
  <c r="Q38" i="5"/>
  <c r="C12" i="9"/>
  <c r="C14" i="9"/>
  <c r="C23" i="9"/>
  <c r="C24" i="9"/>
  <c r="C25" i="9"/>
  <c r="C26" i="9"/>
  <c r="C27" i="9"/>
  <c r="C28" i="9"/>
  <c r="C29" i="9"/>
  <c r="C31" i="9"/>
  <c r="C33" i="9"/>
  <c r="C34" i="9"/>
  <c r="C36" i="9"/>
  <c r="C30" i="9"/>
  <c r="C38" i="9"/>
  <c r="C37" i="9"/>
  <c r="D37" i="9" s="1"/>
  <c r="J37" i="9" s="1"/>
  <c r="C39" i="9"/>
  <c r="D42" i="5"/>
  <c r="C44" i="9"/>
  <c r="D44" i="5"/>
  <c r="C45" i="9"/>
  <c r="D45" i="5"/>
  <c r="C20" i="9"/>
  <c r="C18" i="9"/>
  <c r="C32" i="9"/>
  <c r="C19" i="9"/>
  <c r="C43" i="9"/>
  <c r="D43" i="5"/>
  <c r="B60" i="5"/>
  <c r="D52" i="5"/>
  <c r="E23" i="9"/>
  <c r="F23" i="9"/>
  <c r="G23" i="9"/>
  <c r="H23" i="9"/>
  <c r="I23" i="9"/>
  <c r="J23" i="9"/>
  <c r="K23" i="9"/>
  <c r="L23" i="9"/>
  <c r="M23" i="9"/>
  <c r="N23" i="9"/>
  <c r="O23" i="9"/>
  <c r="D23" i="9"/>
  <c r="D24" i="9"/>
  <c r="E24" i="9"/>
  <c r="F24" i="9"/>
  <c r="G24" i="9"/>
  <c r="H24" i="9"/>
  <c r="I24" i="9"/>
  <c r="J24" i="9"/>
  <c r="K24" i="9"/>
  <c r="L24" i="9"/>
  <c r="M24" i="9"/>
  <c r="N24" i="9"/>
  <c r="O24" i="9"/>
  <c r="D25" i="9"/>
  <c r="E25" i="9"/>
  <c r="F25" i="9"/>
  <c r="G25" i="9"/>
  <c r="H25" i="9"/>
  <c r="I25" i="9"/>
  <c r="J25" i="9"/>
  <c r="K25" i="9"/>
  <c r="L25" i="9"/>
  <c r="M25" i="9"/>
  <c r="N25" i="9"/>
  <c r="O25" i="9"/>
  <c r="D26" i="9"/>
  <c r="E26" i="9"/>
  <c r="F26" i="9"/>
  <c r="G26" i="9"/>
  <c r="H26" i="9"/>
  <c r="I26" i="9"/>
  <c r="J26" i="9"/>
  <c r="K26" i="9"/>
  <c r="L26" i="9"/>
  <c r="M26" i="9"/>
  <c r="N26" i="9"/>
  <c r="O26" i="9"/>
  <c r="D27" i="9"/>
  <c r="E27" i="9"/>
  <c r="F27" i="9"/>
  <c r="G27" i="9"/>
  <c r="H27" i="9"/>
  <c r="I27" i="9"/>
  <c r="J27" i="9"/>
  <c r="K27" i="9"/>
  <c r="L27" i="9"/>
  <c r="M27" i="9"/>
  <c r="N27" i="9"/>
  <c r="O27" i="9"/>
  <c r="D28" i="9"/>
  <c r="E28" i="9"/>
  <c r="F28" i="9"/>
  <c r="G28" i="9"/>
  <c r="H28" i="9"/>
  <c r="I28" i="9"/>
  <c r="J28" i="9"/>
  <c r="K28" i="9"/>
  <c r="L28" i="9"/>
  <c r="M28" i="9"/>
  <c r="N28" i="9"/>
  <c r="O28" i="9"/>
  <c r="D29" i="9"/>
  <c r="E29" i="9"/>
  <c r="F29" i="9"/>
  <c r="G29" i="9"/>
  <c r="H29" i="9"/>
  <c r="I29" i="9"/>
  <c r="J29" i="9"/>
  <c r="K29" i="9"/>
  <c r="L29" i="9"/>
  <c r="M29" i="9"/>
  <c r="N29" i="9"/>
  <c r="O29" i="9"/>
  <c r="D31" i="9"/>
  <c r="E31" i="9"/>
  <c r="F31" i="9"/>
  <c r="G31" i="9"/>
  <c r="H31" i="9"/>
  <c r="I31" i="9"/>
  <c r="J31" i="9"/>
  <c r="K31" i="9"/>
  <c r="L31" i="9"/>
  <c r="M31" i="9"/>
  <c r="N31" i="9"/>
  <c r="O31" i="9"/>
  <c r="D33" i="9"/>
  <c r="E33" i="9"/>
  <c r="F33" i="9"/>
  <c r="G33" i="9"/>
  <c r="H33" i="9"/>
  <c r="I33" i="9"/>
  <c r="J33" i="9"/>
  <c r="K33" i="9"/>
  <c r="L33" i="9"/>
  <c r="M33" i="9"/>
  <c r="N33" i="9"/>
  <c r="O33" i="9"/>
  <c r="D34" i="9"/>
  <c r="E34" i="9"/>
  <c r="F34" i="9"/>
  <c r="G34" i="9"/>
  <c r="H34" i="9"/>
  <c r="I34" i="9"/>
  <c r="J34" i="9"/>
  <c r="K34" i="9"/>
  <c r="L34" i="9"/>
  <c r="M34" i="9"/>
  <c r="N34" i="9"/>
  <c r="O34" i="9"/>
  <c r="D30" i="9"/>
  <c r="E30" i="9"/>
  <c r="F30" i="9"/>
  <c r="G30" i="9"/>
  <c r="H30" i="9"/>
  <c r="I30" i="9"/>
  <c r="J30" i="9"/>
  <c r="K30" i="9"/>
  <c r="L30" i="9"/>
  <c r="M30" i="9"/>
  <c r="N30" i="9"/>
  <c r="O30" i="9"/>
  <c r="D38" i="9"/>
  <c r="E38" i="9"/>
  <c r="F38" i="9"/>
  <c r="G38" i="9"/>
  <c r="H38" i="9"/>
  <c r="I38" i="9"/>
  <c r="J38" i="9"/>
  <c r="K38" i="9"/>
  <c r="L38" i="9"/>
  <c r="M38" i="9"/>
  <c r="N38" i="9"/>
  <c r="O38" i="9"/>
  <c r="D39" i="9"/>
  <c r="E39" i="9"/>
  <c r="F39" i="9"/>
  <c r="G39" i="9"/>
  <c r="H39" i="9"/>
  <c r="I39" i="9"/>
  <c r="J39" i="9"/>
  <c r="K39" i="9"/>
  <c r="L39" i="9"/>
  <c r="M39" i="9"/>
  <c r="N39" i="9"/>
  <c r="O39" i="9"/>
  <c r="C42" i="9"/>
  <c r="C42" i="12"/>
  <c r="N44" i="9"/>
  <c r="O44" i="9"/>
  <c r="J45" i="9"/>
  <c r="D45" i="9"/>
  <c r="G45" i="9"/>
  <c r="H45" i="9"/>
  <c r="I45" i="9"/>
  <c r="M45" i="9"/>
  <c r="N45" i="9"/>
  <c r="O45" i="9"/>
  <c r="D32" i="9"/>
  <c r="E32" i="9"/>
  <c r="F32" i="9"/>
  <c r="G32" i="9"/>
  <c r="H32" i="9"/>
  <c r="I32" i="9"/>
  <c r="J32" i="9"/>
  <c r="K32" i="9"/>
  <c r="L32" i="9"/>
  <c r="M32" i="9"/>
  <c r="N32" i="9"/>
  <c r="O32" i="9"/>
  <c r="C46" i="5"/>
  <c r="C48" i="9"/>
  <c r="C46" i="9" s="1"/>
  <c r="B60" i="9"/>
  <c r="E12" i="9"/>
  <c r="F12" i="9"/>
  <c r="G12" i="9"/>
  <c r="H12" i="9"/>
  <c r="I12" i="9"/>
  <c r="J12" i="9"/>
  <c r="K12" i="9"/>
  <c r="L12" i="9"/>
  <c r="M12" i="9"/>
  <c r="N12" i="9"/>
  <c r="O12" i="9"/>
  <c r="D12" i="9"/>
  <c r="C10" i="9"/>
  <c r="D14" i="9"/>
  <c r="E14" i="9"/>
  <c r="F14" i="9"/>
  <c r="G14" i="9"/>
  <c r="H14" i="9"/>
  <c r="I14" i="9"/>
  <c r="J14" i="9"/>
  <c r="K14" i="9"/>
  <c r="L14" i="9"/>
  <c r="M14" i="9"/>
  <c r="N14" i="9"/>
  <c r="O14" i="9"/>
  <c r="D20" i="9"/>
  <c r="E20" i="9"/>
  <c r="F20" i="9"/>
  <c r="G20" i="9"/>
  <c r="H20" i="9"/>
  <c r="I20" i="9"/>
  <c r="J20" i="9"/>
  <c r="K20" i="9"/>
  <c r="L20" i="9"/>
  <c r="M20" i="9"/>
  <c r="N20" i="9"/>
  <c r="O20" i="9"/>
  <c r="D18" i="9"/>
  <c r="E18" i="9"/>
  <c r="F18" i="9"/>
  <c r="G18" i="9"/>
  <c r="H18" i="9"/>
  <c r="I18" i="9"/>
  <c r="J18" i="9"/>
  <c r="K18" i="9"/>
  <c r="L18" i="9"/>
  <c r="M18" i="9"/>
  <c r="N18" i="9"/>
  <c r="O18" i="9"/>
  <c r="D19" i="9"/>
  <c r="E19" i="9"/>
  <c r="F19" i="9"/>
  <c r="G19" i="9"/>
  <c r="H19" i="9"/>
  <c r="I19" i="9"/>
  <c r="J19" i="9"/>
  <c r="K19" i="9"/>
  <c r="L19" i="9"/>
  <c r="M19" i="9"/>
  <c r="N19" i="9"/>
  <c r="O19" i="9"/>
  <c r="B7" i="5"/>
  <c r="C36" i="5"/>
  <c r="B56" i="12"/>
  <c r="J46" i="9"/>
  <c r="I46" i="9"/>
  <c r="H46" i="9"/>
  <c r="G46" i="9"/>
  <c r="F46" i="9"/>
  <c r="E46" i="9"/>
  <c r="O46" i="9"/>
  <c r="N46" i="9"/>
  <c r="M46" i="9"/>
  <c r="L46" i="9"/>
  <c r="K46" i="9"/>
  <c r="D12" i="5"/>
  <c r="B56" i="5"/>
  <c r="C22" i="14" l="1"/>
  <c r="D24" i="14"/>
  <c r="D25" i="14"/>
  <c r="D26" i="14"/>
  <c r="D31" i="14"/>
  <c r="D35" i="14"/>
  <c r="D36" i="14"/>
  <c r="D37" i="14"/>
  <c r="O38" i="14"/>
  <c r="P38" i="14" s="1"/>
  <c r="D38" i="14"/>
  <c r="Q39" i="14"/>
  <c r="T39" i="14" s="1"/>
  <c r="M39" i="14"/>
  <c r="P39" i="14" s="1"/>
  <c r="D39" i="14"/>
  <c r="D40" i="14"/>
  <c r="D41" i="14"/>
  <c r="Q34" i="13"/>
  <c r="M34" i="13"/>
  <c r="C18" i="13"/>
  <c r="D23" i="13" s="1"/>
  <c r="D20" i="13"/>
  <c r="D21" i="13"/>
  <c r="D22" i="13"/>
  <c r="D27" i="13"/>
  <c r="D30" i="13"/>
  <c r="D31" i="13"/>
  <c r="D32" i="13"/>
  <c r="D33" i="13"/>
  <c r="D34" i="13"/>
  <c r="D35" i="13"/>
  <c r="D36" i="13"/>
  <c r="D16" i="5"/>
  <c r="D17" i="5"/>
  <c r="D14" i="5"/>
  <c r="D20" i="5"/>
  <c r="D18" i="5"/>
  <c r="D19" i="5"/>
  <c r="D13" i="5"/>
  <c r="D15" i="5"/>
  <c r="B59" i="5"/>
  <c r="D48" i="5"/>
  <c r="D49" i="5"/>
  <c r="D50" i="5"/>
  <c r="D47" i="5"/>
  <c r="C22" i="5"/>
  <c r="C35" i="9"/>
  <c r="L42" i="12"/>
  <c r="L40" i="12" s="1"/>
  <c r="L50" i="12" s="1"/>
  <c r="V24" i="12" s="1"/>
  <c r="K42" i="12"/>
  <c r="K40" i="12" s="1"/>
  <c r="K50" i="12" s="1"/>
  <c r="U24" i="12" s="1"/>
  <c r="J42" i="12"/>
  <c r="J40" i="12" s="1"/>
  <c r="J50" i="12" s="1"/>
  <c r="O42" i="12"/>
  <c r="O40" i="12" s="1"/>
  <c r="O50" i="12" s="1"/>
  <c r="V29" i="12" s="1"/>
  <c r="N42" i="12"/>
  <c r="N40" i="12" s="1"/>
  <c r="N50" i="12" s="1"/>
  <c r="U29" i="12" s="1"/>
  <c r="M42" i="12"/>
  <c r="M40" i="12" s="1"/>
  <c r="M50" i="12" s="1"/>
  <c r="I42" i="12"/>
  <c r="I40" i="12" s="1"/>
  <c r="I50" i="12" s="1"/>
  <c r="V19" i="12" s="1"/>
  <c r="H42" i="12"/>
  <c r="H40" i="12" s="1"/>
  <c r="H50" i="12" s="1"/>
  <c r="U19" i="12" s="1"/>
  <c r="G42" i="12"/>
  <c r="G40" i="12" s="1"/>
  <c r="G50" i="12" s="1"/>
  <c r="F42" i="12"/>
  <c r="F40" i="12" s="1"/>
  <c r="F50" i="12" s="1"/>
  <c r="V14" i="12" s="1"/>
  <c r="E42" i="12"/>
  <c r="E40" i="12" s="1"/>
  <c r="E50" i="12" s="1"/>
  <c r="U14" i="12" s="1"/>
  <c r="D42" i="12"/>
  <c r="D40" i="12" s="1"/>
  <c r="D50" i="12" s="1"/>
  <c r="C40" i="12"/>
  <c r="E42" i="9"/>
  <c r="E40" i="9" s="1"/>
  <c r="F42" i="9"/>
  <c r="F40" i="9" s="1"/>
  <c r="G42" i="9"/>
  <c r="G40" i="9" s="1"/>
  <c r="H42" i="9"/>
  <c r="H40" i="9" s="1"/>
  <c r="I42" i="9"/>
  <c r="I40" i="9" s="1"/>
  <c r="J42" i="9"/>
  <c r="J40" i="9" s="1"/>
  <c r="K42" i="9"/>
  <c r="K40" i="9" s="1"/>
  <c r="L42" i="9"/>
  <c r="L40" i="9" s="1"/>
  <c r="M42" i="9"/>
  <c r="M40" i="9" s="1"/>
  <c r="N42" i="9"/>
  <c r="N40" i="9" s="1"/>
  <c r="O42" i="9"/>
  <c r="O40" i="9" s="1"/>
  <c r="D42" i="9"/>
  <c r="D40" i="9" s="1"/>
  <c r="C40" i="9"/>
  <c r="B59" i="9" s="1"/>
  <c r="B57" i="9"/>
  <c r="D10" i="9"/>
  <c r="O10" i="9"/>
  <c r="N10" i="9"/>
  <c r="M10" i="9"/>
  <c r="L10" i="9"/>
  <c r="K10" i="9"/>
  <c r="J10" i="9"/>
  <c r="I10" i="9"/>
  <c r="H10" i="9"/>
  <c r="G10" i="9"/>
  <c r="F10" i="9"/>
  <c r="E10" i="9"/>
  <c r="V31" i="12"/>
  <c r="U31" i="12"/>
  <c r="T29" i="12"/>
  <c r="W9" i="12"/>
  <c r="V26" i="12"/>
  <c r="U26" i="12"/>
  <c r="T24" i="12"/>
  <c r="V9" i="12"/>
  <c r="V21" i="12"/>
  <c r="U21" i="12"/>
  <c r="T19" i="12"/>
  <c r="U9" i="12"/>
  <c r="V16" i="12"/>
  <c r="U16" i="12"/>
  <c r="T14" i="12"/>
  <c r="T9" i="12"/>
  <c r="B57" i="14" l="1"/>
  <c r="D34" i="14"/>
  <c r="D30" i="14"/>
  <c r="C53" i="14"/>
  <c r="D27" i="14"/>
  <c r="D28" i="14"/>
  <c r="D29" i="14"/>
  <c r="D32" i="14"/>
  <c r="D33" i="14"/>
  <c r="D23" i="14"/>
  <c r="C48" i="13"/>
  <c r="N4" i="8" s="1"/>
  <c r="B52" i="13"/>
  <c r="D26" i="13"/>
  <c r="D24" i="13"/>
  <c r="D25" i="13"/>
  <c r="D28" i="13"/>
  <c r="D29" i="13"/>
  <c r="D19" i="13"/>
  <c r="C53" i="5"/>
  <c r="D32" i="5"/>
  <c r="D23" i="5"/>
  <c r="D24" i="5"/>
  <c r="D25" i="5"/>
  <c r="D26" i="5"/>
  <c r="D27" i="5"/>
  <c r="D28" i="5"/>
  <c r="D29" i="5"/>
  <c r="D31" i="5"/>
  <c r="D34" i="5"/>
  <c r="D35" i="5"/>
  <c r="D37" i="5"/>
  <c r="D30" i="5"/>
  <c r="D39" i="5"/>
  <c r="D38" i="5"/>
  <c r="D40" i="5"/>
  <c r="D33" i="5"/>
  <c r="D36" i="5"/>
  <c r="B55" i="12"/>
  <c r="C50" i="12"/>
  <c r="D35" i="9"/>
  <c r="D21" i="9" s="1"/>
  <c r="D54" i="9" s="1"/>
  <c r="E35" i="9"/>
  <c r="E21" i="9" s="1"/>
  <c r="E54" i="9" s="1"/>
  <c r="U14" i="9" s="1"/>
  <c r="F35" i="9"/>
  <c r="F21" i="9" s="1"/>
  <c r="F54" i="9" s="1"/>
  <c r="V14" i="9" s="1"/>
  <c r="G35" i="9"/>
  <c r="G21" i="9" s="1"/>
  <c r="G54" i="9" s="1"/>
  <c r="T19" i="9" s="1"/>
  <c r="H35" i="9"/>
  <c r="H21" i="9" s="1"/>
  <c r="H54" i="9" s="1"/>
  <c r="U19" i="9" s="1"/>
  <c r="I35" i="9"/>
  <c r="I21" i="9" s="1"/>
  <c r="I54" i="9" s="1"/>
  <c r="V19" i="9" s="1"/>
  <c r="J35" i="9"/>
  <c r="J21" i="9" s="1"/>
  <c r="J54" i="9" s="1"/>
  <c r="K35" i="9"/>
  <c r="K21" i="9" s="1"/>
  <c r="K54" i="9" s="1"/>
  <c r="U24" i="9" s="1"/>
  <c r="L35" i="9"/>
  <c r="L21" i="9" s="1"/>
  <c r="L54" i="9" s="1"/>
  <c r="V24" i="9" s="1"/>
  <c r="M35" i="9"/>
  <c r="M21" i="9" s="1"/>
  <c r="M54" i="9" s="1"/>
  <c r="T29" i="9" s="1"/>
  <c r="N35" i="9"/>
  <c r="N21" i="9" s="1"/>
  <c r="N54" i="9" s="1"/>
  <c r="U29" i="9" s="1"/>
  <c r="O35" i="9"/>
  <c r="O21" i="9" s="1"/>
  <c r="O54" i="9" s="1"/>
  <c r="V29" i="9" s="1"/>
  <c r="C21" i="9"/>
  <c r="B57" i="5"/>
  <c r="B61" i="5" s="1"/>
  <c r="T4" i="8" s="1"/>
  <c r="V4" i="8" s="1"/>
  <c r="T14" i="9"/>
  <c r="T16" i="9" s="1"/>
  <c r="T9" i="9"/>
  <c r="W14" i="12"/>
  <c r="T10" i="12"/>
  <c r="T16" i="12"/>
  <c r="T13" i="12"/>
  <c r="W19" i="12"/>
  <c r="U10" i="12"/>
  <c r="T21" i="12"/>
  <c r="T18" i="12"/>
  <c r="W24" i="12"/>
  <c r="V10" i="12"/>
  <c r="T26" i="12"/>
  <c r="T23" i="12"/>
  <c r="W29" i="12"/>
  <c r="W10" i="12"/>
  <c r="T31" i="12"/>
  <c r="T28" i="12"/>
  <c r="V9" i="9"/>
  <c r="T24" i="9"/>
  <c r="V21" i="9"/>
  <c r="U21" i="9"/>
  <c r="T21" i="9"/>
  <c r="V16" i="9"/>
  <c r="U16" i="9"/>
  <c r="V31" i="9"/>
  <c r="U31" i="9"/>
  <c r="T31" i="9"/>
  <c r="V26" i="9"/>
  <c r="U26" i="9"/>
  <c r="U9" i="9"/>
  <c r="W14" i="9"/>
  <c r="W9" i="9"/>
  <c r="U4" i="8" l="1"/>
  <c r="B61" i="14"/>
  <c r="J4" i="8"/>
  <c r="K4" i="8"/>
  <c r="L4" i="8"/>
  <c r="M4" i="8"/>
  <c r="N6" i="8"/>
  <c r="B56" i="13"/>
  <c r="T3" i="8" s="1"/>
  <c r="V3" i="8" s="1"/>
  <c r="C57" i="5"/>
  <c r="B58" i="9"/>
  <c r="C54" i="9"/>
  <c r="C53" i="12"/>
  <c r="C54" i="12"/>
  <c r="C56" i="12"/>
  <c r="C55" i="12"/>
  <c r="W29" i="9"/>
  <c r="W10" i="9"/>
  <c r="W24" i="9"/>
  <c r="V10" i="9"/>
  <c r="W19" i="9"/>
  <c r="U10" i="9"/>
  <c r="W31" i="12"/>
  <c r="W11" i="12" s="1"/>
  <c r="V28" i="12"/>
  <c r="U28" i="12"/>
  <c r="W26" i="12"/>
  <c r="V11" i="12" s="1"/>
  <c r="V23" i="12"/>
  <c r="U23" i="12"/>
  <c r="W21" i="12"/>
  <c r="U11" i="12" s="1"/>
  <c r="V18" i="12"/>
  <c r="U18" i="12"/>
  <c r="W16" i="12"/>
  <c r="T11" i="12" s="1"/>
  <c r="V13" i="12"/>
  <c r="U13" i="12"/>
  <c r="W31" i="9"/>
  <c r="W11" i="9" s="1"/>
  <c r="V28" i="9"/>
  <c r="U28" i="9"/>
  <c r="T28" i="9"/>
  <c r="W16" i="9"/>
  <c r="T11" i="9" s="1"/>
  <c r="T13" i="9"/>
  <c r="V13" i="9"/>
  <c r="U13" i="9"/>
  <c r="W21" i="9"/>
  <c r="U11" i="9" s="1"/>
  <c r="V18" i="9"/>
  <c r="U18" i="9"/>
  <c r="T18" i="9"/>
  <c r="T23" i="9"/>
  <c r="T26" i="9"/>
  <c r="C58" i="14" l="1"/>
  <c r="C60" i="14"/>
  <c r="C59" i="14"/>
  <c r="C56" i="14"/>
  <c r="C57" i="14"/>
  <c r="U3" i="8"/>
  <c r="T5" i="8"/>
  <c r="V5" i="8" s="1"/>
  <c r="C53" i="13"/>
  <c r="C55" i="13"/>
  <c r="C54" i="13"/>
  <c r="C51" i="13"/>
  <c r="C52" i="13"/>
  <c r="C59" i="9"/>
  <c r="C60" i="9"/>
  <c r="C57" i="9"/>
  <c r="T10" i="9"/>
  <c r="C58" i="9"/>
  <c r="G4" i="8"/>
  <c r="C60" i="5"/>
  <c r="C58" i="5"/>
  <c r="C56" i="5"/>
  <c r="C59" i="5"/>
  <c r="W26" i="9"/>
  <c r="V11" i="9" s="1"/>
  <c r="V23" i="9"/>
  <c r="U23" i="9"/>
  <c r="G6" i="8" l="1"/>
  <c r="G10" i="8"/>
  <c r="U5" i="8"/>
  <c r="F4" i="8"/>
  <c r="D4" i="8"/>
  <c r="E4" i="8"/>
  <c r="C4" i="8"/>
  <c r="C6" i="8" s="1"/>
  <c r="M10" i="8" l="1"/>
  <c r="J6" i="8"/>
  <c r="M16" i="8"/>
  <c r="K6" i="8"/>
  <c r="M22" i="8"/>
  <c r="L6" i="8"/>
  <c r="M28" i="8"/>
  <c r="M6" i="8"/>
  <c r="F10" i="8"/>
  <c r="F22" i="8"/>
  <c r="E6" i="8"/>
  <c r="D6" i="8"/>
  <c r="F16" i="8"/>
  <c r="F28" i="8"/>
  <c r="F6" i="8"/>
  <c r="M30" i="8" l="1"/>
  <c r="L28" i="8"/>
  <c r="K28" i="8"/>
  <c r="R17" i="13" s="1"/>
  <c r="J28" i="8"/>
  <c r="Q17" i="13" s="1"/>
  <c r="M18" i="8"/>
  <c r="J16" i="8"/>
  <c r="K16" i="8"/>
  <c r="L16" i="8"/>
  <c r="M12" i="8"/>
  <c r="J10" i="8"/>
  <c r="K10" i="8"/>
  <c r="L10" i="8"/>
  <c r="M24" i="8"/>
  <c r="J22" i="8"/>
  <c r="K22" i="8"/>
  <c r="L22" i="8"/>
  <c r="O12" i="13" s="1"/>
  <c r="L30" i="8"/>
  <c r="K30" i="8"/>
  <c r="J30" i="8"/>
  <c r="L18" i="8"/>
  <c r="K18" i="8"/>
  <c r="J18" i="8"/>
  <c r="L24" i="8"/>
  <c r="K24" i="8"/>
  <c r="J24" i="8"/>
  <c r="L12" i="8"/>
  <c r="K12" i="8"/>
  <c r="J12" i="8"/>
  <c r="H23" i="5"/>
  <c r="D28" i="8"/>
  <c r="R20" i="5" s="1"/>
  <c r="E28" i="8"/>
  <c r="S20" i="5" s="1"/>
  <c r="C28" i="8"/>
  <c r="Q20" i="5" s="1"/>
  <c r="F30" i="8"/>
  <c r="D16" i="8"/>
  <c r="E16" i="8"/>
  <c r="C16" i="8"/>
  <c r="F18" i="8"/>
  <c r="E22" i="8"/>
  <c r="O12" i="5" s="1"/>
  <c r="D22" i="8"/>
  <c r="N12" i="5" s="1"/>
  <c r="C22" i="8"/>
  <c r="M12" i="5" s="1"/>
  <c r="F24" i="8"/>
  <c r="D10" i="8"/>
  <c r="F12" i="5" s="1"/>
  <c r="E10" i="8"/>
  <c r="G12" i="5" s="1"/>
  <c r="C10" i="8"/>
  <c r="E20" i="5" s="1"/>
  <c r="F12" i="8"/>
  <c r="N16" i="13" l="1"/>
  <c r="N12" i="13"/>
  <c r="M16" i="13"/>
  <c r="M12" i="13"/>
  <c r="G17" i="13"/>
  <c r="G12" i="13"/>
  <c r="F17" i="13"/>
  <c r="F16" i="13"/>
  <c r="F12" i="13"/>
  <c r="E17" i="13"/>
  <c r="E16" i="13"/>
  <c r="E12" i="13"/>
  <c r="G16" i="13"/>
  <c r="G20" i="5"/>
  <c r="F20" i="5"/>
  <c r="I20" i="5"/>
  <c r="J20" i="5"/>
  <c r="O41" i="14"/>
  <c r="O40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 s="1"/>
  <c r="O20" i="14"/>
  <c r="O18" i="14"/>
  <c r="O15" i="14"/>
  <c r="O14" i="14"/>
  <c r="O13" i="14"/>
  <c r="O12" i="14"/>
  <c r="O16" i="14"/>
  <c r="O17" i="14"/>
  <c r="O19" i="14"/>
  <c r="O21" i="14"/>
  <c r="O49" i="14"/>
  <c r="O47" i="14" s="1"/>
  <c r="O52" i="14"/>
  <c r="O51" i="14" s="1"/>
  <c r="O44" i="14"/>
  <c r="O43" i="14"/>
  <c r="O42" i="14" s="1"/>
  <c r="N23" i="13"/>
  <c r="N41" i="14"/>
  <c r="N40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 s="1"/>
  <c r="N20" i="14"/>
  <c r="N18" i="14"/>
  <c r="N15" i="14"/>
  <c r="N14" i="14"/>
  <c r="N13" i="14"/>
  <c r="N12" i="14"/>
  <c r="N16" i="14"/>
  <c r="N17" i="14"/>
  <c r="N19" i="14"/>
  <c r="N21" i="14"/>
  <c r="N49" i="14"/>
  <c r="N47" i="14" s="1"/>
  <c r="N52" i="14"/>
  <c r="N51" i="14" s="1"/>
  <c r="N44" i="14"/>
  <c r="N43" i="14"/>
  <c r="N42" i="14" s="1"/>
  <c r="M41" i="14"/>
  <c r="P41" i="14" s="1"/>
  <c r="M40" i="14"/>
  <c r="P40" i="14" s="1"/>
  <c r="M37" i="14"/>
  <c r="P37" i="14" s="1"/>
  <c r="M36" i="14"/>
  <c r="P36" i="14" s="1"/>
  <c r="M35" i="14"/>
  <c r="P35" i="14" s="1"/>
  <c r="M34" i="14"/>
  <c r="P34" i="14" s="1"/>
  <c r="M33" i="14"/>
  <c r="P33" i="14" s="1"/>
  <c r="M32" i="14"/>
  <c r="P32" i="14" s="1"/>
  <c r="M31" i="14"/>
  <c r="P31" i="14" s="1"/>
  <c r="M30" i="14"/>
  <c r="P30" i="14" s="1"/>
  <c r="M29" i="14"/>
  <c r="P29" i="14" s="1"/>
  <c r="M28" i="14"/>
  <c r="P28" i="14" s="1"/>
  <c r="M27" i="14"/>
  <c r="P27" i="14" s="1"/>
  <c r="M26" i="14"/>
  <c r="P26" i="14" s="1"/>
  <c r="M25" i="14"/>
  <c r="P25" i="14" s="1"/>
  <c r="M24" i="14"/>
  <c r="P24" i="14" s="1"/>
  <c r="M23" i="14"/>
  <c r="M20" i="14"/>
  <c r="P20" i="14" s="1"/>
  <c r="M18" i="14"/>
  <c r="P18" i="14" s="1"/>
  <c r="M15" i="14"/>
  <c r="P15" i="14" s="1"/>
  <c r="M14" i="14"/>
  <c r="P14" i="14" s="1"/>
  <c r="M13" i="14"/>
  <c r="P13" i="14" s="1"/>
  <c r="M12" i="14"/>
  <c r="M16" i="14"/>
  <c r="P16" i="14" s="1"/>
  <c r="M17" i="14"/>
  <c r="P17" i="14" s="1"/>
  <c r="M19" i="14"/>
  <c r="P19" i="14" s="1"/>
  <c r="M21" i="14"/>
  <c r="P21" i="14" s="1"/>
  <c r="M49" i="14"/>
  <c r="M52" i="14"/>
  <c r="M44" i="14"/>
  <c r="P44" i="14" s="1"/>
  <c r="M43" i="14"/>
  <c r="G23" i="13"/>
  <c r="G41" i="14"/>
  <c r="G40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 s="1"/>
  <c r="G20" i="14"/>
  <c r="G18" i="14"/>
  <c r="G15" i="14"/>
  <c r="G14" i="14"/>
  <c r="G13" i="14"/>
  <c r="G12" i="14"/>
  <c r="G16" i="14"/>
  <c r="G17" i="14"/>
  <c r="G19" i="14"/>
  <c r="G21" i="14"/>
  <c r="G49" i="14"/>
  <c r="G47" i="14" s="1"/>
  <c r="G52" i="14"/>
  <c r="G51" i="14" s="1"/>
  <c r="G44" i="14"/>
  <c r="G43" i="14"/>
  <c r="G42" i="14" s="1"/>
  <c r="F23" i="13"/>
  <c r="F41" i="14"/>
  <c r="F40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 s="1"/>
  <c r="F20" i="14"/>
  <c r="F18" i="14"/>
  <c r="F15" i="14"/>
  <c r="F14" i="14"/>
  <c r="F13" i="14"/>
  <c r="F12" i="14"/>
  <c r="F16" i="14"/>
  <c r="F17" i="14"/>
  <c r="F19" i="14"/>
  <c r="F21" i="14"/>
  <c r="F49" i="14"/>
  <c r="F47" i="14" s="1"/>
  <c r="F52" i="14"/>
  <c r="F51" i="14" s="1"/>
  <c r="F44" i="14"/>
  <c r="F43" i="14"/>
  <c r="F42" i="14" s="1"/>
  <c r="E41" i="14"/>
  <c r="H41" i="14" s="1"/>
  <c r="E40" i="14"/>
  <c r="H40" i="14" s="1"/>
  <c r="E37" i="14"/>
  <c r="H37" i="14" s="1"/>
  <c r="E36" i="14"/>
  <c r="H36" i="14" s="1"/>
  <c r="E35" i="14"/>
  <c r="H35" i="14" s="1"/>
  <c r="E34" i="14"/>
  <c r="H34" i="14" s="1"/>
  <c r="E33" i="14"/>
  <c r="H33" i="14" s="1"/>
  <c r="E32" i="14"/>
  <c r="H32" i="14" s="1"/>
  <c r="E31" i="14"/>
  <c r="H31" i="14" s="1"/>
  <c r="E30" i="14"/>
  <c r="H30" i="14" s="1"/>
  <c r="E29" i="14"/>
  <c r="H29" i="14" s="1"/>
  <c r="E28" i="14"/>
  <c r="H28" i="14" s="1"/>
  <c r="E27" i="14"/>
  <c r="H27" i="14" s="1"/>
  <c r="E26" i="14"/>
  <c r="H26" i="14" s="1"/>
  <c r="E25" i="14"/>
  <c r="H25" i="14" s="1"/>
  <c r="E24" i="14"/>
  <c r="H24" i="14" s="1"/>
  <c r="E23" i="14"/>
  <c r="E20" i="14"/>
  <c r="H20" i="14" s="1"/>
  <c r="E18" i="14"/>
  <c r="H18" i="14" s="1"/>
  <c r="E15" i="14"/>
  <c r="H15" i="14" s="1"/>
  <c r="E14" i="14"/>
  <c r="H14" i="14" s="1"/>
  <c r="E13" i="14"/>
  <c r="H13" i="14" s="1"/>
  <c r="E12" i="14"/>
  <c r="E16" i="14"/>
  <c r="H16" i="14" s="1"/>
  <c r="E17" i="14"/>
  <c r="H17" i="14" s="1"/>
  <c r="E19" i="14"/>
  <c r="H19" i="14" s="1"/>
  <c r="E21" i="14"/>
  <c r="H21" i="14" s="1"/>
  <c r="E49" i="14"/>
  <c r="E52" i="14"/>
  <c r="E44" i="14"/>
  <c r="H44" i="14" s="1"/>
  <c r="E43" i="14"/>
  <c r="K23" i="13"/>
  <c r="K41" i="14"/>
  <c r="K40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 s="1"/>
  <c r="K20" i="14"/>
  <c r="L20" i="14" s="1"/>
  <c r="K18" i="14"/>
  <c r="L18" i="14" s="1"/>
  <c r="K15" i="14"/>
  <c r="K14" i="14"/>
  <c r="K13" i="14"/>
  <c r="K12" i="14"/>
  <c r="K16" i="14"/>
  <c r="K17" i="14"/>
  <c r="K19" i="14"/>
  <c r="K21" i="14"/>
  <c r="K49" i="14"/>
  <c r="K47" i="14" s="1"/>
  <c r="K52" i="14"/>
  <c r="K51" i="14" s="1"/>
  <c r="K44" i="14"/>
  <c r="K43" i="14"/>
  <c r="K42" i="14" s="1"/>
  <c r="J23" i="13"/>
  <c r="J41" i="14"/>
  <c r="J40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 s="1"/>
  <c r="J15" i="14"/>
  <c r="J14" i="14"/>
  <c r="J13" i="14"/>
  <c r="J16" i="14"/>
  <c r="J17" i="14"/>
  <c r="J21" i="14"/>
  <c r="J49" i="14"/>
  <c r="J47" i="14" s="1"/>
  <c r="J52" i="14"/>
  <c r="J51" i="14" s="1"/>
  <c r="J44" i="14"/>
  <c r="J43" i="14"/>
  <c r="J42" i="14" s="1"/>
  <c r="I23" i="13"/>
  <c r="I41" i="14"/>
  <c r="L41" i="14" s="1"/>
  <c r="I40" i="14"/>
  <c r="L40" i="14" s="1"/>
  <c r="I37" i="14"/>
  <c r="L37" i="14" s="1"/>
  <c r="I36" i="14"/>
  <c r="L36" i="14" s="1"/>
  <c r="I35" i="14"/>
  <c r="L35" i="14" s="1"/>
  <c r="I34" i="14"/>
  <c r="L34" i="14" s="1"/>
  <c r="I33" i="14"/>
  <c r="L33" i="14" s="1"/>
  <c r="I32" i="14"/>
  <c r="L32" i="14" s="1"/>
  <c r="I31" i="14"/>
  <c r="L31" i="14" s="1"/>
  <c r="I30" i="14"/>
  <c r="L30" i="14" s="1"/>
  <c r="I29" i="14"/>
  <c r="L29" i="14" s="1"/>
  <c r="I28" i="14"/>
  <c r="L28" i="14" s="1"/>
  <c r="I27" i="14"/>
  <c r="L27" i="14" s="1"/>
  <c r="I26" i="14"/>
  <c r="L26" i="14" s="1"/>
  <c r="I25" i="14"/>
  <c r="L25" i="14" s="1"/>
  <c r="I24" i="14"/>
  <c r="L24" i="14" s="1"/>
  <c r="I23" i="14"/>
  <c r="I15" i="14"/>
  <c r="L15" i="14" s="1"/>
  <c r="I14" i="14"/>
  <c r="L14" i="14" s="1"/>
  <c r="I13" i="14"/>
  <c r="I16" i="14"/>
  <c r="L16" i="14" s="1"/>
  <c r="I17" i="14"/>
  <c r="L17" i="14" s="1"/>
  <c r="I19" i="14"/>
  <c r="L19" i="14" s="1"/>
  <c r="I21" i="14"/>
  <c r="L21" i="14" s="1"/>
  <c r="I49" i="14"/>
  <c r="I52" i="14"/>
  <c r="I44" i="14"/>
  <c r="L44" i="14" s="1"/>
  <c r="I43" i="14"/>
  <c r="Q41" i="14"/>
  <c r="Q40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0" i="14"/>
  <c r="Q18" i="14"/>
  <c r="Q15" i="14"/>
  <c r="Q14" i="14"/>
  <c r="Q13" i="14"/>
  <c r="Q12" i="14"/>
  <c r="Q16" i="14"/>
  <c r="Q17" i="14"/>
  <c r="Q19" i="14"/>
  <c r="Q21" i="14"/>
  <c r="Q49" i="14"/>
  <c r="Q52" i="14"/>
  <c r="Q44" i="14"/>
  <c r="Q43" i="14"/>
  <c r="R41" i="14"/>
  <c r="R40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 s="1"/>
  <c r="R20" i="14"/>
  <c r="R18" i="14"/>
  <c r="R15" i="14"/>
  <c r="R14" i="14"/>
  <c r="R13" i="14"/>
  <c r="R12" i="14"/>
  <c r="R16" i="14"/>
  <c r="R17" i="14"/>
  <c r="R19" i="14"/>
  <c r="R21" i="14"/>
  <c r="R49" i="14"/>
  <c r="R47" i="14" s="1"/>
  <c r="R52" i="14"/>
  <c r="R51" i="14" s="1"/>
  <c r="R44" i="14"/>
  <c r="R43" i="14"/>
  <c r="R42" i="14" s="1"/>
  <c r="S23" i="13"/>
  <c r="S41" i="14"/>
  <c r="S40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 s="1"/>
  <c r="S20" i="14"/>
  <c r="S18" i="14"/>
  <c r="S15" i="14"/>
  <c r="S14" i="14"/>
  <c r="S13" i="14"/>
  <c r="S12" i="14"/>
  <c r="S16" i="14"/>
  <c r="S17" i="14"/>
  <c r="S19" i="14"/>
  <c r="S21" i="14"/>
  <c r="S49" i="14"/>
  <c r="S47" i="14" s="1"/>
  <c r="S52" i="14"/>
  <c r="S51" i="14" s="1"/>
  <c r="S44" i="14"/>
  <c r="S43" i="14"/>
  <c r="S42" i="14" s="1"/>
  <c r="O23" i="13"/>
  <c r="M23" i="13"/>
  <c r="P23" i="13" s="1"/>
  <c r="E23" i="13"/>
  <c r="H23" i="13" s="1"/>
  <c r="L23" i="13"/>
  <c r="Q23" i="13"/>
  <c r="R23" i="13"/>
  <c r="O20" i="13"/>
  <c r="O21" i="13"/>
  <c r="O22" i="13"/>
  <c r="O24" i="13"/>
  <c r="O25" i="13"/>
  <c r="O26" i="13"/>
  <c r="O27" i="13"/>
  <c r="O28" i="13"/>
  <c r="O29" i="13"/>
  <c r="O30" i="13"/>
  <c r="O31" i="13"/>
  <c r="O32" i="13"/>
  <c r="O35" i="13"/>
  <c r="O36" i="13"/>
  <c r="O19" i="13"/>
  <c r="O16" i="13"/>
  <c r="O14" i="13"/>
  <c r="O13" i="13"/>
  <c r="O15" i="13"/>
  <c r="O17" i="13"/>
  <c r="O44" i="13"/>
  <c r="O47" i="13"/>
  <c r="O39" i="13"/>
  <c r="O38" i="13"/>
  <c r="N20" i="13"/>
  <c r="N21" i="13"/>
  <c r="N22" i="13"/>
  <c r="N24" i="13"/>
  <c r="N25" i="13"/>
  <c r="N26" i="13"/>
  <c r="N27" i="13"/>
  <c r="N28" i="13"/>
  <c r="N29" i="13"/>
  <c r="N30" i="13"/>
  <c r="N31" i="13"/>
  <c r="N32" i="13"/>
  <c r="N35" i="13"/>
  <c r="N36" i="13"/>
  <c r="N19" i="13"/>
  <c r="N14" i="13"/>
  <c r="N13" i="13"/>
  <c r="N15" i="13"/>
  <c r="N17" i="13"/>
  <c r="N44" i="13"/>
  <c r="N47" i="13"/>
  <c r="N39" i="13"/>
  <c r="N38" i="13"/>
  <c r="M20" i="13"/>
  <c r="M21" i="13"/>
  <c r="M22" i="13"/>
  <c r="M24" i="13"/>
  <c r="M25" i="13"/>
  <c r="M26" i="13"/>
  <c r="M27" i="13"/>
  <c r="M28" i="13"/>
  <c r="M29" i="13"/>
  <c r="M30" i="13"/>
  <c r="M31" i="13"/>
  <c r="M32" i="13"/>
  <c r="P33" i="13"/>
  <c r="P34" i="13"/>
  <c r="M35" i="13"/>
  <c r="M36" i="13"/>
  <c r="M19" i="13"/>
  <c r="M14" i="13"/>
  <c r="M13" i="13"/>
  <c r="M15" i="13"/>
  <c r="M17" i="13"/>
  <c r="M44" i="13"/>
  <c r="P45" i="13"/>
  <c r="M47" i="13"/>
  <c r="P41" i="13"/>
  <c r="P40" i="13"/>
  <c r="M39" i="13"/>
  <c r="M38" i="13"/>
  <c r="G20" i="13"/>
  <c r="G21" i="13"/>
  <c r="G22" i="13"/>
  <c r="G24" i="13"/>
  <c r="G25" i="13"/>
  <c r="G26" i="13"/>
  <c r="G27" i="13"/>
  <c r="G28" i="13"/>
  <c r="G29" i="13"/>
  <c r="G30" i="13"/>
  <c r="G31" i="13"/>
  <c r="G32" i="13"/>
  <c r="G35" i="13"/>
  <c r="G36" i="13"/>
  <c r="G19" i="13"/>
  <c r="G14" i="13"/>
  <c r="G13" i="13"/>
  <c r="G15" i="13"/>
  <c r="G44" i="13"/>
  <c r="G47" i="13"/>
  <c r="G39" i="13"/>
  <c r="G38" i="13"/>
  <c r="F20" i="13"/>
  <c r="F21" i="13"/>
  <c r="F22" i="13"/>
  <c r="F24" i="13"/>
  <c r="F25" i="13"/>
  <c r="F26" i="13"/>
  <c r="F27" i="13"/>
  <c r="F28" i="13"/>
  <c r="F29" i="13"/>
  <c r="F30" i="13"/>
  <c r="F31" i="13"/>
  <c r="F32" i="13"/>
  <c r="F35" i="13"/>
  <c r="F36" i="13"/>
  <c r="F19" i="13"/>
  <c r="F14" i="13"/>
  <c r="F13" i="13"/>
  <c r="F15" i="13"/>
  <c r="F44" i="13"/>
  <c r="F47" i="13"/>
  <c r="F39" i="13"/>
  <c r="F38" i="13"/>
  <c r="E20" i="13"/>
  <c r="E21" i="13"/>
  <c r="E22" i="13"/>
  <c r="E24" i="13"/>
  <c r="E25" i="13"/>
  <c r="E26" i="13"/>
  <c r="E27" i="13"/>
  <c r="E28" i="13"/>
  <c r="E29" i="13"/>
  <c r="E30" i="13"/>
  <c r="E31" i="13"/>
  <c r="E32" i="13"/>
  <c r="H33" i="13"/>
  <c r="H34" i="13"/>
  <c r="E35" i="13"/>
  <c r="E36" i="13"/>
  <c r="E19" i="13"/>
  <c r="H19" i="13" s="1"/>
  <c r="E14" i="13"/>
  <c r="E13" i="13"/>
  <c r="E15" i="13"/>
  <c r="E44" i="13"/>
  <c r="H45" i="13"/>
  <c r="E47" i="13"/>
  <c r="H41" i="13"/>
  <c r="H40" i="13"/>
  <c r="E39" i="13"/>
  <c r="E38" i="13"/>
  <c r="K20" i="13"/>
  <c r="K21" i="13"/>
  <c r="K22" i="13"/>
  <c r="K24" i="13"/>
  <c r="K25" i="13"/>
  <c r="K26" i="13"/>
  <c r="K27" i="13"/>
  <c r="K28" i="13"/>
  <c r="K29" i="13"/>
  <c r="K30" i="13"/>
  <c r="K31" i="13"/>
  <c r="K32" i="13"/>
  <c r="K35" i="13"/>
  <c r="K36" i="13"/>
  <c r="K19" i="13"/>
  <c r="K16" i="13"/>
  <c r="K14" i="13"/>
  <c r="K13" i="13"/>
  <c r="K12" i="13"/>
  <c r="K15" i="13"/>
  <c r="K17" i="13"/>
  <c r="K44" i="13"/>
  <c r="K47" i="13"/>
  <c r="K39" i="13"/>
  <c r="K38" i="13"/>
  <c r="J20" i="13"/>
  <c r="J21" i="13"/>
  <c r="J22" i="13"/>
  <c r="J24" i="13"/>
  <c r="J25" i="13"/>
  <c r="J26" i="13"/>
  <c r="J27" i="13"/>
  <c r="J28" i="13"/>
  <c r="J29" i="13"/>
  <c r="J30" i="13"/>
  <c r="J31" i="13"/>
  <c r="J32" i="13"/>
  <c r="J35" i="13"/>
  <c r="J36" i="13"/>
  <c r="J19" i="13"/>
  <c r="J14" i="13"/>
  <c r="J13" i="13"/>
  <c r="J15" i="13"/>
  <c r="J44" i="13"/>
  <c r="J47" i="13"/>
  <c r="J39" i="13"/>
  <c r="J38" i="13"/>
  <c r="I20" i="13"/>
  <c r="I21" i="13"/>
  <c r="I22" i="13"/>
  <c r="I24" i="13"/>
  <c r="I25" i="13"/>
  <c r="I26" i="13"/>
  <c r="I27" i="13"/>
  <c r="I28" i="13"/>
  <c r="I29" i="13"/>
  <c r="I30" i="13"/>
  <c r="I31" i="13"/>
  <c r="I32" i="13"/>
  <c r="L33" i="13"/>
  <c r="L34" i="13"/>
  <c r="I35" i="13"/>
  <c r="I36" i="13"/>
  <c r="I19" i="13"/>
  <c r="I14" i="13"/>
  <c r="I13" i="13"/>
  <c r="I15" i="13"/>
  <c r="I44" i="13"/>
  <c r="L45" i="13"/>
  <c r="I47" i="13"/>
  <c r="L41" i="13"/>
  <c r="L40" i="13"/>
  <c r="I39" i="13"/>
  <c r="I38" i="13"/>
  <c r="Q20" i="13"/>
  <c r="Q21" i="13"/>
  <c r="Q22" i="13"/>
  <c r="Q24" i="13"/>
  <c r="Q25" i="13"/>
  <c r="Q26" i="13"/>
  <c r="Q27" i="13"/>
  <c r="Q28" i="13"/>
  <c r="Q29" i="13"/>
  <c r="Q30" i="13"/>
  <c r="Q31" i="13"/>
  <c r="Q32" i="13"/>
  <c r="Q35" i="13"/>
  <c r="Q36" i="13"/>
  <c r="Q19" i="13"/>
  <c r="Q16" i="13"/>
  <c r="Q14" i="13"/>
  <c r="Q13" i="13"/>
  <c r="Q15" i="13"/>
  <c r="Q44" i="13"/>
  <c r="Q47" i="13"/>
  <c r="Q39" i="13"/>
  <c r="Q38" i="13"/>
  <c r="R20" i="13"/>
  <c r="R21" i="13"/>
  <c r="R22" i="13"/>
  <c r="R24" i="13"/>
  <c r="R25" i="13"/>
  <c r="R26" i="13"/>
  <c r="R27" i="13"/>
  <c r="R28" i="13"/>
  <c r="R29" i="13"/>
  <c r="R30" i="13"/>
  <c r="R31" i="13"/>
  <c r="R32" i="13"/>
  <c r="R35" i="13"/>
  <c r="R36" i="13"/>
  <c r="R19" i="13"/>
  <c r="R16" i="13"/>
  <c r="R14" i="13"/>
  <c r="R13" i="13"/>
  <c r="R12" i="13"/>
  <c r="R15" i="13"/>
  <c r="R44" i="13"/>
  <c r="R47" i="13"/>
  <c r="R39" i="13"/>
  <c r="R38" i="13"/>
  <c r="S20" i="13"/>
  <c r="S21" i="13"/>
  <c r="S22" i="13"/>
  <c r="S24" i="13"/>
  <c r="S25" i="13"/>
  <c r="S26" i="13"/>
  <c r="S27" i="13"/>
  <c r="S28" i="13"/>
  <c r="S29" i="13"/>
  <c r="S30" i="13"/>
  <c r="S31" i="13"/>
  <c r="S32" i="13"/>
  <c r="S35" i="13"/>
  <c r="S36" i="13"/>
  <c r="S19" i="13"/>
  <c r="S16" i="13"/>
  <c r="S14" i="13"/>
  <c r="S13" i="13"/>
  <c r="S12" i="13"/>
  <c r="S15" i="13"/>
  <c r="S17" i="13"/>
  <c r="S44" i="13"/>
  <c r="S47" i="13"/>
  <c r="S39" i="13"/>
  <c r="S38" i="13"/>
  <c r="Q12" i="13"/>
  <c r="G18" i="13"/>
  <c r="G46" i="13"/>
  <c r="G37" i="13"/>
  <c r="F18" i="13"/>
  <c r="F46" i="13"/>
  <c r="F37" i="13"/>
  <c r="N18" i="13"/>
  <c r="N46" i="13"/>
  <c r="N37" i="13"/>
  <c r="O18" i="13"/>
  <c r="O46" i="13"/>
  <c r="O37" i="13"/>
  <c r="K18" i="13"/>
  <c r="L17" i="13"/>
  <c r="L16" i="13"/>
  <c r="K46" i="13"/>
  <c r="K37" i="13"/>
  <c r="J18" i="13"/>
  <c r="J46" i="13"/>
  <c r="J37" i="13"/>
  <c r="Q32" i="5"/>
  <c r="S32" i="5"/>
  <c r="S18" i="13"/>
  <c r="S46" i="13"/>
  <c r="S37" i="13"/>
  <c r="R32" i="5"/>
  <c r="R18" i="13"/>
  <c r="R46" i="13"/>
  <c r="R37" i="13"/>
  <c r="E21" i="5"/>
  <c r="E32" i="5"/>
  <c r="G21" i="5"/>
  <c r="G32" i="5"/>
  <c r="F21" i="5"/>
  <c r="F32" i="5"/>
  <c r="M21" i="5"/>
  <c r="M32" i="5"/>
  <c r="N21" i="5"/>
  <c r="N32" i="5"/>
  <c r="O21" i="5"/>
  <c r="O32" i="5"/>
  <c r="I21" i="5"/>
  <c r="I32" i="5"/>
  <c r="K21" i="5"/>
  <c r="K32" i="5"/>
  <c r="J21" i="5"/>
  <c r="J32" i="5"/>
  <c r="Q21" i="5"/>
  <c r="S21" i="5"/>
  <c r="R21" i="5"/>
  <c r="E12" i="5"/>
  <c r="E18" i="5"/>
  <c r="F18" i="5"/>
  <c r="M18" i="5"/>
  <c r="M20" i="5"/>
  <c r="N18" i="5"/>
  <c r="N20" i="5"/>
  <c r="O20" i="5"/>
  <c r="C12" i="8"/>
  <c r="E52" i="5"/>
  <c r="E24" i="5"/>
  <c r="E25" i="5"/>
  <c r="E26" i="5"/>
  <c r="E27" i="5"/>
  <c r="E28" i="5"/>
  <c r="E29" i="5"/>
  <c r="E30" i="5"/>
  <c r="E31" i="5"/>
  <c r="E33" i="5"/>
  <c r="E34" i="5"/>
  <c r="E35" i="5"/>
  <c r="E36" i="5"/>
  <c r="E39" i="5"/>
  <c r="E40" i="5"/>
  <c r="E23" i="5"/>
  <c r="E22" i="5" s="1"/>
  <c r="E48" i="5"/>
  <c r="E50" i="5"/>
  <c r="E47" i="5"/>
  <c r="E43" i="5"/>
  <c r="E42" i="5"/>
  <c r="E13" i="5"/>
  <c r="E14" i="5"/>
  <c r="E15" i="5"/>
  <c r="E16" i="5"/>
  <c r="E17" i="5"/>
  <c r="E19" i="5"/>
  <c r="E12" i="8"/>
  <c r="G52" i="5"/>
  <c r="G51" i="5" s="1"/>
  <c r="G23" i="5"/>
  <c r="G24" i="5"/>
  <c r="G25" i="5"/>
  <c r="G26" i="5"/>
  <c r="G27" i="5"/>
  <c r="G28" i="5"/>
  <c r="G29" i="5"/>
  <c r="G30" i="5"/>
  <c r="G31" i="5"/>
  <c r="G33" i="5"/>
  <c r="G34" i="5"/>
  <c r="G35" i="5"/>
  <c r="G36" i="5"/>
  <c r="G39" i="5"/>
  <c r="G40" i="5"/>
  <c r="G47" i="5"/>
  <c r="G48" i="5"/>
  <c r="G50" i="5"/>
  <c r="G43" i="5"/>
  <c r="G42" i="5"/>
  <c r="G41" i="5" s="1"/>
  <c r="G13" i="5"/>
  <c r="G14" i="5"/>
  <c r="G15" i="5"/>
  <c r="G16" i="5"/>
  <c r="G17" i="5"/>
  <c r="G18" i="5"/>
  <c r="G19" i="5"/>
  <c r="D12" i="8"/>
  <c r="F52" i="5"/>
  <c r="F51" i="5" s="1"/>
  <c r="F23" i="5"/>
  <c r="F24" i="5"/>
  <c r="F25" i="5"/>
  <c r="F26" i="5"/>
  <c r="F27" i="5"/>
  <c r="F28" i="5"/>
  <c r="F29" i="5"/>
  <c r="F30" i="5"/>
  <c r="F31" i="5"/>
  <c r="F33" i="5"/>
  <c r="F34" i="5"/>
  <c r="F35" i="5"/>
  <c r="F36" i="5"/>
  <c r="F39" i="5"/>
  <c r="F40" i="5"/>
  <c r="F47" i="5"/>
  <c r="F48" i="5"/>
  <c r="F50" i="5"/>
  <c r="F43" i="5"/>
  <c r="F42" i="5"/>
  <c r="F41" i="5" s="1"/>
  <c r="F13" i="5"/>
  <c r="F14" i="5"/>
  <c r="F15" i="5"/>
  <c r="F16" i="5"/>
  <c r="F17" i="5"/>
  <c r="F19" i="5"/>
  <c r="C24" i="8"/>
  <c r="M52" i="5"/>
  <c r="M48" i="5"/>
  <c r="M50" i="5"/>
  <c r="M47" i="5"/>
  <c r="M43" i="5"/>
  <c r="M42" i="5"/>
  <c r="M24" i="5"/>
  <c r="M25" i="5"/>
  <c r="M26" i="5"/>
  <c r="M27" i="5"/>
  <c r="M28" i="5"/>
  <c r="M29" i="5"/>
  <c r="M30" i="5"/>
  <c r="M31" i="5"/>
  <c r="M33" i="5"/>
  <c r="M34" i="5"/>
  <c r="M35" i="5"/>
  <c r="M36" i="5"/>
  <c r="M39" i="5"/>
  <c r="M40" i="5"/>
  <c r="M23" i="5"/>
  <c r="M13" i="5"/>
  <c r="M14" i="5"/>
  <c r="M15" i="5"/>
  <c r="M16" i="5"/>
  <c r="M17" i="5"/>
  <c r="M19" i="5"/>
  <c r="M11" i="5"/>
  <c r="D24" i="8"/>
  <c r="N52" i="5"/>
  <c r="N51" i="5" s="1"/>
  <c r="N48" i="5"/>
  <c r="N50" i="5"/>
  <c r="N47" i="5"/>
  <c r="N46" i="5" s="1"/>
  <c r="N43" i="5"/>
  <c r="N42" i="5"/>
  <c r="N41" i="5" s="1"/>
  <c r="N24" i="5"/>
  <c r="N25" i="5"/>
  <c r="N26" i="5"/>
  <c r="N27" i="5"/>
  <c r="N28" i="5"/>
  <c r="N29" i="5"/>
  <c r="N30" i="5"/>
  <c r="N31" i="5"/>
  <c r="N33" i="5"/>
  <c r="N34" i="5"/>
  <c r="N35" i="5"/>
  <c r="N36" i="5"/>
  <c r="N39" i="5"/>
  <c r="N40" i="5"/>
  <c r="N23" i="5"/>
  <c r="N22" i="5" s="1"/>
  <c r="N13" i="5"/>
  <c r="N14" i="5"/>
  <c r="N15" i="5"/>
  <c r="N16" i="5"/>
  <c r="N17" i="5"/>
  <c r="N19" i="5"/>
  <c r="E24" i="8"/>
  <c r="O52" i="5"/>
  <c r="O51" i="5" s="1"/>
  <c r="O48" i="5"/>
  <c r="O50" i="5"/>
  <c r="O47" i="5"/>
  <c r="O46" i="5" s="1"/>
  <c r="O43" i="5"/>
  <c r="O42" i="5"/>
  <c r="O41" i="5" s="1"/>
  <c r="O24" i="5"/>
  <c r="O25" i="5"/>
  <c r="O26" i="5"/>
  <c r="O27" i="5"/>
  <c r="O28" i="5"/>
  <c r="O29" i="5"/>
  <c r="O30" i="5"/>
  <c r="O31" i="5"/>
  <c r="O33" i="5"/>
  <c r="O34" i="5"/>
  <c r="O35" i="5"/>
  <c r="O36" i="5"/>
  <c r="O39" i="5"/>
  <c r="O40" i="5"/>
  <c r="O23" i="5"/>
  <c r="O22" i="5" s="1"/>
  <c r="O13" i="5"/>
  <c r="O14" i="5"/>
  <c r="O15" i="5"/>
  <c r="O16" i="5"/>
  <c r="O17" i="5"/>
  <c r="O18" i="5"/>
  <c r="O19" i="5"/>
  <c r="C18" i="8"/>
  <c r="I52" i="5"/>
  <c r="I48" i="5"/>
  <c r="I50" i="5"/>
  <c r="I47" i="5"/>
  <c r="I43" i="5"/>
  <c r="I42" i="5"/>
  <c r="I24" i="5"/>
  <c r="I25" i="5"/>
  <c r="I26" i="5"/>
  <c r="I27" i="5"/>
  <c r="I28" i="5"/>
  <c r="I29" i="5"/>
  <c r="I30" i="5"/>
  <c r="I31" i="5"/>
  <c r="I33" i="5"/>
  <c r="I34" i="5"/>
  <c r="I35" i="5"/>
  <c r="I36" i="5"/>
  <c r="I39" i="5"/>
  <c r="I40" i="5"/>
  <c r="I23" i="5"/>
  <c r="I13" i="5"/>
  <c r="I14" i="5"/>
  <c r="I15" i="5"/>
  <c r="I16" i="5"/>
  <c r="I17" i="5"/>
  <c r="I19" i="5"/>
  <c r="E18" i="8"/>
  <c r="K52" i="5"/>
  <c r="K51" i="5" s="1"/>
  <c r="K47" i="5"/>
  <c r="K48" i="5"/>
  <c r="K50" i="5"/>
  <c r="K42" i="5"/>
  <c r="K43" i="5"/>
  <c r="K23" i="5"/>
  <c r="K24" i="5"/>
  <c r="K25" i="5"/>
  <c r="K26" i="5"/>
  <c r="K27" i="5"/>
  <c r="K28" i="5"/>
  <c r="K29" i="5"/>
  <c r="K30" i="5"/>
  <c r="K31" i="5"/>
  <c r="K33" i="5"/>
  <c r="K34" i="5"/>
  <c r="K35" i="5"/>
  <c r="K36" i="5"/>
  <c r="K39" i="5"/>
  <c r="K40" i="5"/>
  <c r="K12" i="5"/>
  <c r="K13" i="5"/>
  <c r="K14" i="5"/>
  <c r="K15" i="5"/>
  <c r="K16" i="5"/>
  <c r="K17" i="5"/>
  <c r="K18" i="5"/>
  <c r="K19" i="5"/>
  <c r="K20" i="5"/>
  <c r="D18" i="8"/>
  <c r="J52" i="5"/>
  <c r="J51" i="5" s="1"/>
  <c r="J47" i="5"/>
  <c r="J48" i="5"/>
  <c r="J50" i="5"/>
  <c r="J42" i="5"/>
  <c r="J43" i="5"/>
  <c r="J23" i="5"/>
  <c r="J24" i="5"/>
  <c r="J25" i="5"/>
  <c r="J26" i="5"/>
  <c r="J27" i="5"/>
  <c r="J28" i="5"/>
  <c r="J29" i="5"/>
  <c r="J30" i="5"/>
  <c r="J31" i="5"/>
  <c r="J33" i="5"/>
  <c r="J34" i="5"/>
  <c r="J35" i="5"/>
  <c r="J36" i="5"/>
  <c r="J39" i="5"/>
  <c r="J40" i="5"/>
  <c r="J13" i="5"/>
  <c r="J14" i="5"/>
  <c r="J15" i="5"/>
  <c r="J16" i="5"/>
  <c r="J17" i="5"/>
  <c r="J19" i="5"/>
  <c r="C30" i="8"/>
  <c r="Q43" i="5"/>
  <c r="Q42" i="5"/>
  <c r="Q48" i="5"/>
  <c r="Q50" i="5"/>
  <c r="Q24" i="5"/>
  <c r="Q25" i="5"/>
  <c r="Q26" i="5"/>
  <c r="Q27" i="5"/>
  <c r="Q28" i="5"/>
  <c r="Q29" i="5"/>
  <c r="Q30" i="5"/>
  <c r="Q31" i="5"/>
  <c r="Q33" i="5"/>
  <c r="Q34" i="5"/>
  <c r="Q35" i="5"/>
  <c r="Q36" i="5"/>
  <c r="Q39" i="5"/>
  <c r="Q40" i="5"/>
  <c r="Q47" i="5"/>
  <c r="Q23" i="5"/>
  <c r="Q52" i="5"/>
  <c r="Q13" i="5"/>
  <c r="Q14" i="5"/>
  <c r="Q15" i="5"/>
  <c r="Q16" i="5"/>
  <c r="Q17" i="5"/>
  <c r="Q18" i="5"/>
  <c r="Q19" i="5"/>
  <c r="Q12" i="5"/>
  <c r="Q11" i="5" s="1"/>
  <c r="E30" i="8"/>
  <c r="S43" i="5"/>
  <c r="S42" i="5"/>
  <c r="S41" i="5" s="1"/>
  <c r="S23" i="5"/>
  <c r="S24" i="5"/>
  <c r="S25" i="5"/>
  <c r="S26" i="5"/>
  <c r="S27" i="5"/>
  <c r="S28" i="5"/>
  <c r="S29" i="5"/>
  <c r="S30" i="5"/>
  <c r="S31" i="5"/>
  <c r="S33" i="5"/>
  <c r="S34" i="5"/>
  <c r="S35" i="5"/>
  <c r="S36" i="5"/>
  <c r="S39" i="5"/>
  <c r="S40" i="5"/>
  <c r="S48" i="5"/>
  <c r="S50" i="5"/>
  <c r="S47" i="5"/>
  <c r="S46" i="5" s="1"/>
  <c r="S52" i="5"/>
  <c r="S51" i="5" s="1"/>
  <c r="S12" i="5"/>
  <c r="S13" i="5"/>
  <c r="S14" i="5"/>
  <c r="S15" i="5"/>
  <c r="S16" i="5"/>
  <c r="S17" i="5"/>
  <c r="S18" i="5"/>
  <c r="S19" i="5"/>
  <c r="D30" i="8"/>
  <c r="R43" i="5"/>
  <c r="R42" i="5"/>
  <c r="R41" i="5" s="1"/>
  <c r="R23" i="5"/>
  <c r="R24" i="5"/>
  <c r="R25" i="5"/>
  <c r="R26" i="5"/>
  <c r="R27" i="5"/>
  <c r="R28" i="5"/>
  <c r="R29" i="5"/>
  <c r="R30" i="5"/>
  <c r="R31" i="5"/>
  <c r="R33" i="5"/>
  <c r="R34" i="5"/>
  <c r="R35" i="5"/>
  <c r="R36" i="5"/>
  <c r="R39" i="5"/>
  <c r="R40" i="5"/>
  <c r="R48" i="5"/>
  <c r="R50" i="5"/>
  <c r="R47" i="5"/>
  <c r="R46" i="5" s="1"/>
  <c r="R52" i="5"/>
  <c r="R51" i="5" s="1"/>
  <c r="R12" i="5"/>
  <c r="R13" i="5"/>
  <c r="R14" i="5"/>
  <c r="R15" i="5"/>
  <c r="R16" i="5"/>
  <c r="R17" i="5"/>
  <c r="R18" i="5"/>
  <c r="R19" i="5"/>
  <c r="R11" i="5" l="1"/>
  <c r="S11" i="5"/>
  <c r="K11" i="5"/>
  <c r="O11" i="5"/>
  <c r="N11" i="5"/>
  <c r="E11" i="5"/>
  <c r="J11" i="5"/>
  <c r="I11" i="5"/>
  <c r="F11" i="5"/>
  <c r="G11" i="5"/>
  <c r="S11" i="14"/>
  <c r="S53" i="14" s="1"/>
  <c r="R11" i="14"/>
  <c r="R53" i="14" s="1"/>
  <c r="T43" i="14"/>
  <c r="Q42" i="14"/>
  <c r="T44" i="14"/>
  <c r="T52" i="14"/>
  <c r="T51" i="14" s="1"/>
  <c r="Q51" i="14"/>
  <c r="T49" i="14"/>
  <c r="T47" i="14" s="1"/>
  <c r="Q47" i="14"/>
  <c r="T21" i="14"/>
  <c r="T19" i="14"/>
  <c r="T17" i="14"/>
  <c r="T16" i="14"/>
  <c r="T12" i="14"/>
  <c r="Q11" i="14"/>
  <c r="T13" i="14"/>
  <c r="T14" i="14"/>
  <c r="T15" i="14"/>
  <c r="T18" i="14"/>
  <c r="T20" i="14"/>
  <c r="T23" i="14"/>
  <c r="Q22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40" i="14"/>
  <c r="T41" i="14"/>
  <c r="L43" i="14"/>
  <c r="L42" i="14" s="1"/>
  <c r="I42" i="14"/>
  <c r="L52" i="14"/>
  <c r="L51" i="14" s="1"/>
  <c r="I51" i="14"/>
  <c r="L49" i="14"/>
  <c r="L47" i="14" s="1"/>
  <c r="I47" i="14"/>
  <c r="L13" i="14"/>
  <c r="I11" i="14"/>
  <c r="L23" i="14"/>
  <c r="L22" i="14" s="1"/>
  <c r="I22" i="14"/>
  <c r="J11" i="14"/>
  <c r="J53" i="14" s="1"/>
  <c r="L12" i="14"/>
  <c r="L11" i="14" s="1"/>
  <c r="L53" i="14" s="1"/>
  <c r="B65" i="14" s="1"/>
  <c r="K11" i="14"/>
  <c r="K53" i="14" s="1"/>
  <c r="H43" i="14"/>
  <c r="H42" i="14" s="1"/>
  <c r="E42" i="14"/>
  <c r="H52" i="14"/>
  <c r="H51" i="14" s="1"/>
  <c r="E51" i="14"/>
  <c r="H49" i="14"/>
  <c r="H47" i="14" s="1"/>
  <c r="E47" i="14"/>
  <c r="H12" i="14"/>
  <c r="H11" i="14" s="1"/>
  <c r="E11" i="14"/>
  <c r="H23" i="14"/>
  <c r="H22" i="14" s="1"/>
  <c r="E22" i="14"/>
  <c r="F11" i="14"/>
  <c r="F53" i="14" s="1"/>
  <c r="G11" i="14"/>
  <c r="G53" i="14" s="1"/>
  <c r="P43" i="14"/>
  <c r="P42" i="14" s="1"/>
  <c r="M42" i="14"/>
  <c r="P52" i="14"/>
  <c r="P51" i="14" s="1"/>
  <c r="M51" i="14"/>
  <c r="P49" i="14"/>
  <c r="P47" i="14" s="1"/>
  <c r="M47" i="14"/>
  <c r="P12" i="14"/>
  <c r="P11" i="14" s="1"/>
  <c r="M11" i="14"/>
  <c r="P23" i="14"/>
  <c r="P22" i="14" s="1"/>
  <c r="M22" i="14"/>
  <c r="N11" i="14"/>
  <c r="N53" i="14" s="1"/>
  <c r="O11" i="14"/>
  <c r="O53" i="14" s="1"/>
  <c r="T23" i="13"/>
  <c r="T40" i="13"/>
  <c r="T41" i="13"/>
  <c r="T45" i="13"/>
  <c r="T34" i="13"/>
  <c r="T33" i="13"/>
  <c r="E42" i="13"/>
  <c r="E18" i="13"/>
  <c r="R11" i="13"/>
  <c r="S11" i="13"/>
  <c r="Q11" i="13"/>
  <c r="J11" i="13"/>
  <c r="K11" i="13"/>
  <c r="I11" i="13"/>
  <c r="O11" i="13"/>
  <c r="N11" i="13"/>
  <c r="M11" i="13"/>
  <c r="F11" i="13"/>
  <c r="G11" i="13"/>
  <c r="E11" i="13"/>
  <c r="R42" i="13"/>
  <c r="R48" i="13"/>
  <c r="S42" i="13"/>
  <c r="S48" i="13"/>
  <c r="T38" i="13"/>
  <c r="Q37" i="13"/>
  <c r="T39" i="13"/>
  <c r="T47" i="13"/>
  <c r="T46" i="13" s="1"/>
  <c r="Q46" i="13"/>
  <c r="T44" i="13"/>
  <c r="T43" i="13"/>
  <c r="T42" i="13" s="1"/>
  <c r="Q42" i="13"/>
  <c r="T15" i="13"/>
  <c r="T12" i="13"/>
  <c r="T13" i="13"/>
  <c r="T14" i="13"/>
  <c r="T16" i="13"/>
  <c r="T17" i="13"/>
  <c r="T19" i="13"/>
  <c r="Q18" i="13"/>
  <c r="T20" i="13"/>
  <c r="T21" i="13"/>
  <c r="T22" i="13"/>
  <c r="T24" i="13"/>
  <c r="T25" i="13"/>
  <c r="T26" i="13"/>
  <c r="T27" i="13"/>
  <c r="T28" i="13"/>
  <c r="T29" i="13"/>
  <c r="T30" i="13"/>
  <c r="T31" i="13"/>
  <c r="T32" i="13"/>
  <c r="T35" i="13"/>
  <c r="T36" i="13"/>
  <c r="T32" i="5"/>
  <c r="J42" i="13"/>
  <c r="J48" i="13"/>
  <c r="K42" i="13"/>
  <c r="L12" i="13"/>
  <c r="K48" i="13"/>
  <c r="L38" i="13"/>
  <c r="I37" i="13"/>
  <c r="L39" i="13"/>
  <c r="L47" i="13"/>
  <c r="L46" i="13" s="1"/>
  <c r="I46" i="13"/>
  <c r="L44" i="13"/>
  <c r="L43" i="13"/>
  <c r="L42" i="13" s="1"/>
  <c r="I42" i="13"/>
  <c r="L15" i="13"/>
  <c r="L13" i="13"/>
  <c r="L14" i="13"/>
  <c r="L19" i="13"/>
  <c r="I18" i="13"/>
  <c r="L20" i="13"/>
  <c r="L21" i="13"/>
  <c r="L22" i="13"/>
  <c r="L24" i="13"/>
  <c r="L25" i="13"/>
  <c r="L26" i="13"/>
  <c r="L27" i="13"/>
  <c r="L28" i="13"/>
  <c r="L29" i="13"/>
  <c r="L30" i="13"/>
  <c r="L31" i="13"/>
  <c r="L32" i="13"/>
  <c r="L35" i="13"/>
  <c r="L36" i="13"/>
  <c r="O42" i="13"/>
  <c r="O48" i="13"/>
  <c r="N42" i="13"/>
  <c r="N48" i="13"/>
  <c r="P38" i="13"/>
  <c r="M37" i="13"/>
  <c r="P39" i="13"/>
  <c r="P47" i="13"/>
  <c r="P46" i="13" s="1"/>
  <c r="M46" i="13"/>
  <c r="P44" i="13"/>
  <c r="P43" i="13"/>
  <c r="P42" i="13" s="1"/>
  <c r="M42" i="13"/>
  <c r="P15" i="13"/>
  <c r="P12" i="13"/>
  <c r="P13" i="13"/>
  <c r="P14" i="13"/>
  <c r="P16" i="13"/>
  <c r="P17" i="13"/>
  <c r="P19" i="13"/>
  <c r="M18" i="13"/>
  <c r="P20" i="13"/>
  <c r="P21" i="13"/>
  <c r="P22" i="13"/>
  <c r="P24" i="13"/>
  <c r="P25" i="13"/>
  <c r="P26" i="13"/>
  <c r="P27" i="13"/>
  <c r="P28" i="13"/>
  <c r="P29" i="13"/>
  <c r="P30" i="13"/>
  <c r="P31" i="13"/>
  <c r="P32" i="13"/>
  <c r="P35" i="13"/>
  <c r="P36" i="13"/>
  <c r="F42" i="13"/>
  <c r="F48" i="13"/>
  <c r="G42" i="13"/>
  <c r="G48" i="13"/>
  <c r="H38" i="13"/>
  <c r="E37" i="13"/>
  <c r="H39" i="13"/>
  <c r="H47" i="13"/>
  <c r="E46" i="13"/>
  <c r="H44" i="13"/>
  <c r="H43" i="13"/>
  <c r="H15" i="13"/>
  <c r="H12" i="13"/>
  <c r="E48" i="13"/>
  <c r="H13" i="13"/>
  <c r="H14" i="13"/>
  <c r="H16" i="13"/>
  <c r="H17" i="13"/>
  <c r="H20" i="13"/>
  <c r="H21" i="13"/>
  <c r="H22" i="13"/>
  <c r="H24" i="13"/>
  <c r="H25" i="13"/>
  <c r="H26" i="13"/>
  <c r="H27" i="13"/>
  <c r="H28" i="13"/>
  <c r="H29" i="13"/>
  <c r="H30" i="13"/>
  <c r="H31" i="13"/>
  <c r="H32" i="13"/>
  <c r="H35" i="13"/>
  <c r="H36" i="13"/>
  <c r="L32" i="5"/>
  <c r="L21" i="5"/>
  <c r="P32" i="5"/>
  <c r="P21" i="5"/>
  <c r="H32" i="5"/>
  <c r="H21" i="5"/>
  <c r="O53" i="5"/>
  <c r="N53" i="5"/>
  <c r="T21" i="5"/>
  <c r="R22" i="5"/>
  <c r="S22" i="5"/>
  <c r="T12" i="5"/>
  <c r="T20" i="5"/>
  <c r="T19" i="5"/>
  <c r="T18" i="5"/>
  <c r="T17" i="5"/>
  <c r="T16" i="5"/>
  <c r="T15" i="5"/>
  <c r="T14" i="5"/>
  <c r="T13" i="5"/>
  <c r="T52" i="5"/>
  <c r="T51" i="5" s="1"/>
  <c r="Q51" i="5"/>
  <c r="T23" i="5"/>
  <c r="Q22" i="5"/>
  <c r="T47" i="5"/>
  <c r="Q46" i="5"/>
  <c r="T40" i="5"/>
  <c r="T39" i="5"/>
  <c r="T38" i="5"/>
  <c r="T37" i="5"/>
  <c r="T36" i="5"/>
  <c r="T35" i="5"/>
  <c r="T34" i="5"/>
  <c r="T33" i="5"/>
  <c r="T31" i="5"/>
  <c r="T30" i="5"/>
  <c r="T29" i="5"/>
  <c r="T28" i="5"/>
  <c r="T27" i="5"/>
  <c r="T26" i="5"/>
  <c r="T25" i="5"/>
  <c r="T24" i="5"/>
  <c r="T50" i="5"/>
  <c r="T48" i="5"/>
  <c r="T42" i="5"/>
  <c r="Q41" i="5"/>
  <c r="T45" i="5"/>
  <c r="T44" i="5"/>
  <c r="T43" i="5"/>
  <c r="J22" i="5"/>
  <c r="J41" i="5"/>
  <c r="J46" i="5"/>
  <c r="K22" i="5"/>
  <c r="K41" i="5"/>
  <c r="K46" i="5"/>
  <c r="L12" i="5"/>
  <c r="L20" i="5"/>
  <c r="L19" i="5"/>
  <c r="L18" i="5"/>
  <c r="L17" i="5"/>
  <c r="L16" i="5"/>
  <c r="L15" i="5"/>
  <c r="L14" i="5"/>
  <c r="L13" i="5"/>
  <c r="L23" i="5"/>
  <c r="I22" i="5"/>
  <c r="L40" i="5"/>
  <c r="L39" i="5"/>
  <c r="L38" i="5"/>
  <c r="L37" i="5"/>
  <c r="L36" i="5"/>
  <c r="L35" i="5"/>
  <c r="L34" i="5"/>
  <c r="L33" i="5"/>
  <c r="L31" i="5"/>
  <c r="L30" i="5"/>
  <c r="L29" i="5"/>
  <c r="L28" i="5"/>
  <c r="L27" i="5"/>
  <c r="L26" i="5"/>
  <c r="L25" i="5"/>
  <c r="L24" i="5"/>
  <c r="L42" i="5"/>
  <c r="I41" i="5"/>
  <c r="L45" i="5"/>
  <c r="L44" i="5"/>
  <c r="L43" i="5"/>
  <c r="L47" i="5"/>
  <c r="I46" i="5"/>
  <c r="L50" i="5"/>
  <c r="L49" i="5"/>
  <c r="L48" i="5"/>
  <c r="L52" i="5"/>
  <c r="L51" i="5" s="1"/>
  <c r="I51" i="5"/>
  <c r="P12" i="5"/>
  <c r="P20" i="5"/>
  <c r="P19" i="5"/>
  <c r="P18" i="5"/>
  <c r="P17" i="5"/>
  <c r="P16" i="5"/>
  <c r="P15" i="5"/>
  <c r="P14" i="5"/>
  <c r="P13" i="5"/>
  <c r="P23" i="5"/>
  <c r="M22" i="5"/>
  <c r="P40" i="5"/>
  <c r="P39" i="5"/>
  <c r="P38" i="5"/>
  <c r="P37" i="5"/>
  <c r="P36" i="5"/>
  <c r="P35" i="5"/>
  <c r="P34" i="5"/>
  <c r="P33" i="5"/>
  <c r="P31" i="5"/>
  <c r="P30" i="5"/>
  <c r="P29" i="5"/>
  <c r="P28" i="5"/>
  <c r="P27" i="5"/>
  <c r="P26" i="5"/>
  <c r="P25" i="5"/>
  <c r="P24" i="5"/>
  <c r="P22" i="5" s="1"/>
  <c r="P42" i="5"/>
  <c r="M41" i="5"/>
  <c r="P45" i="5"/>
  <c r="P44" i="5"/>
  <c r="P43" i="5"/>
  <c r="P47" i="5"/>
  <c r="M46" i="5"/>
  <c r="P50" i="5"/>
  <c r="P49" i="5"/>
  <c r="P48" i="5"/>
  <c r="P52" i="5"/>
  <c r="P51" i="5" s="1"/>
  <c r="M51" i="5"/>
  <c r="F46" i="5"/>
  <c r="F22" i="5"/>
  <c r="F53" i="5" s="1"/>
  <c r="G46" i="5"/>
  <c r="G22" i="5"/>
  <c r="G53" i="5" s="1"/>
  <c r="H12" i="5"/>
  <c r="H20" i="5"/>
  <c r="H19" i="5"/>
  <c r="H18" i="5"/>
  <c r="H17" i="5"/>
  <c r="H16" i="5"/>
  <c r="H15" i="5"/>
  <c r="H14" i="5"/>
  <c r="H13" i="5"/>
  <c r="H42" i="5"/>
  <c r="E41" i="5"/>
  <c r="H45" i="5"/>
  <c r="H44" i="5"/>
  <c r="H43" i="5"/>
  <c r="H47" i="5"/>
  <c r="E46" i="5"/>
  <c r="H50" i="5"/>
  <c r="H49" i="5"/>
  <c r="H48" i="5"/>
  <c r="H40" i="5"/>
  <c r="H39" i="5"/>
  <c r="H38" i="5"/>
  <c r="H37" i="5"/>
  <c r="H36" i="5"/>
  <c r="H35" i="5"/>
  <c r="H34" i="5"/>
  <c r="H33" i="5"/>
  <c r="H31" i="5"/>
  <c r="H30" i="5"/>
  <c r="H29" i="5"/>
  <c r="H28" i="5"/>
  <c r="H27" i="5"/>
  <c r="H26" i="5"/>
  <c r="H25" i="5"/>
  <c r="H24" i="5"/>
  <c r="H22" i="5" s="1"/>
  <c r="H52" i="5"/>
  <c r="H51" i="5" s="1"/>
  <c r="E51" i="5"/>
  <c r="H11" i="5" l="1"/>
  <c r="P11" i="5"/>
  <c r="L11" i="5"/>
  <c r="T11" i="5"/>
  <c r="M53" i="14"/>
  <c r="P56" i="14"/>
  <c r="P53" i="14"/>
  <c r="B66" i="14" s="1"/>
  <c r="E53" i="14"/>
  <c r="H53" i="14"/>
  <c r="I53" i="14"/>
  <c r="T22" i="14"/>
  <c r="Q53" i="14"/>
  <c r="T11" i="14"/>
  <c r="T42" i="14"/>
  <c r="H42" i="13"/>
  <c r="H46" i="13"/>
  <c r="H11" i="13"/>
  <c r="P11" i="13"/>
  <c r="L11" i="13"/>
  <c r="T11" i="13"/>
  <c r="H18" i="13"/>
  <c r="H37" i="13"/>
  <c r="P18" i="13"/>
  <c r="M48" i="13"/>
  <c r="P37" i="13"/>
  <c r="L18" i="13"/>
  <c r="I48" i="13"/>
  <c r="L37" i="13"/>
  <c r="L48" i="13"/>
  <c r="B60" i="13" s="1"/>
  <c r="T18" i="13"/>
  <c r="Q48" i="13"/>
  <c r="T37" i="13"/>
  <c r="H46" i="5"/>
  <c r="H41" i="5"/>
  <c r="E53" i="5"/>
  <c r="H53" i="5"/>
  <c r="P46" i="5"/>
  <c r="P41" i="5"/>
  <c r="M53" i="5"/>
  <c r="P53" i="5"/>
  <c r="B66" i="5" s="1"/>
  <c r="L46" i="5"/>
  <c r="L41" i="5"/>
  <c r="L22" i="5"/>
  <c r="I53" i="5"/>
  <c r="L53" i="5"/>
  <c r="B65" i="5" s="1"/>
  <c r="K53" i="5"/>
  <c r="J53" i="5"/>
  <c r="T41" i="5"/>
  <c r="T46" i="5"/>
  <c r="T22" i="5"/>
  <c r="Q53" i="5"/>
  <c r="T53" i="5"/>
  <c r="S53" i="5"/>
  <c r="R53" i="5"/>
  <c r="T56" i="14" l="1"/>
  <c r="T53" i="14"/>
  <c r="B67" i="14" s="1"/>
  <c r="B64" i="14"/>
  <c r="H54" i="14"/>
  <c r="T48" i="13"/>
  <c r="B62" i="13" s="1"/>
  <c r="P48" i="13"/>
  <c r="B61" i="13" s="1"/>
  <c r="H48" i="13"/>
  <c r="B64" i="5"/>
  <c r="B67" i="5"/>
  <c r="H49" i="13" l="1"/>
  <c r="B68" i="14"/>
  <c r="C64" i="14"/>
  <c r="C67" i="14"/>
  <c r="B59" i="13"/>
  <c r="B68" i="5"/>
  <c r="C67" i="5"/>
  <c r="C65" i="14" l="1"/>
  <c r="C66" i="14"/>
  <c r="B63" i="13"/>
  <c r="C59" i="13"/>
  <c r="C65" i="5"/>
  <c r="C66" i="5"/>
  <c r="C64" i="5"/>
  <c r="C60" i="13" l="1"/>
  <c r="C61" i="13"/>
  <c r="C6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tc={683214D8-6B8D-4F31-BD36-988131F6CFB7}</author>
  </authors>
  <commentList>
    <comment ref="C39" authorId="0" shapeId="0" xr:uid="{683214D8-6B8D-4F31-BD36-988131F6CF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@Tanvi . Mention the cut offs for BTLs and the calculations. </t>
      </text>
    </comment>
  </commentList>
</comments>
</file>

<file path=xl/sharedStrings.xml><?xml version="1.0" encoding="utf-8"?>
<sst xmlns="http://schemas.openxmlformats.org/spreadsheetml/2006/main" count="816" uniqueCount="210">
  <si>
    <t>Quarter 1</t>
  </si>
  <si>
    <t>Quarter 2</t>
  </si>
  <si>
    <t>Quarter 3</t>
  </si>
  <si>
    <t>Quarter 4</t>
  </si>
  <si>
    <t> </t>
  </si>
  <si>
    <t>One Helix</t>
  </si>
  <si>
    <t>JSW One</t>
  </si>
  <si>
    <t># of Active Dealers</t>
  </si>
  <si>
    <t>Sr. No.</t>
  </si>
  <si>
    <t>State</t>
  </si>
  <si>
    <t>Zone</t>
  </si>
  <si>
    <t>UTTAR PRADESH</t>
  </si>
  <si>
    <t>North</t>
  </si>
  <si>
    <t>a#</t>
  </si>
  <si>
    <t>RAJASTHAN</t>
  </si>
  <si>
    <t>DELHI</t>
  </si>
  <si>
    <t>HARYANA</t>
  </si>
  <si>
    <t>PUNJAB</t>
  </si>
  <si>
    <t>UTTARAKHAND</t>
  </si>
  <si>
    <t>JAMMU AND KASHMIR</t>
  </si>
  <si>
    <t>HIMACHAL PRADESH</t>
  </si>
  <si>
    <t>CHHATTISGARH</t>
  </si>
  <si>
    <t>Central</t>
  </si>
  <si>
    <t>ODISHA</t>
  </si>
  <si>
    <t>MADHYA PRADESH</t>
  </si>
  <si>
    <t>MAHARASHTRA</t>
  </si>
  <si>
    <t>JHARKHAND</t>
  </si>
  <si>
    <t>East</t>
  </si>
  <si>
    <t>WEST BENGAL</t>
  </si>
  <si>
    <t>BIHAR</t>
  </si>
  <si>
    <t>GUJARAT</t>
  </si>
  <si>
    <t>West</t>
  </si>
  <si>
    <t>TELANGANA</t>
  </si>
  <si>
    <t>South</t>
  </si>
  <si>
    <t>ANDHRA PRADESH</t>
  </si>
  <si>
    <t>ASSAM</t>
  </si>
  <si>
    <t>#Distributors</t>
  </si>
  <si>
    <t>Volume projection (Mar'27 Exit)</t>
  </si>
  <si>
    <t>Avg. volume/retailer/month</t>
  </si>
  <si>
    <t>Total retailers (Mar'27)</t>
  </si>
  <si>
    <t>Total Active retailers (Mar'27)</t>
  </si>
  <si>
    <t>In specific areas for longer</t>
  </si>
  <si>
    <t>Total transacting retailers (Mar'27)</t>
  </si>
  <si>
    <t>15% discreationary cost</t>
  </si>
  <si>
    <t>#Priority districts</t>
  </si>
  <si>
    <t>Month</t>
  </si>
  <si>
    <t>Left to Allocate</t>
  </si>
  <si>
    <t>Quarter</t>
  </si>
  <si>
    <t>Q1</t>
  </si>
  <si>
    <t>Q2</t>
  </si>
  <si>
    <t>Q3</t>
  </si>
  <si>
    <t>Q4</t>
  </si>
  <si>
    <t>Marketing Cost</t>
  </si>
  <si>
    <t>ATL Activities</t>
  </si>
  <si>
    <t>Remarks</t>
  </si>
  <si>
    <t>% Allocation</t>
  </si>
  <si>
    <t>ATL Spends breakup</t>
  </si>
  <si>
    <t>Cost / MT</t>
  </si>
  <si>
    <t>Impact Wall Painting</t>
  </si>
  <si>
    <t>20,000 sq ft in high potential district @ Rs 15</t>
  </si>
  <si>
    <t>Total</t>
  </si>
  <si>
    <t>Integrated FM Radio Campaigns (Ad + Promotional Activity)</t>
  </si>
  <si>
    <t>To be done in Top 3 high potential districts for all operational states @Rs 2.5 Lac/campaign (No. of states: 15) for 3 months</t>
  </si>
  <si>
    <t>% allocation</t>
  </si>
  <si>
    <t>Hoardings (steel markets, cement shops cluster, construction zones)</t>
  </si>
  <si>
    <t>5 hoardings in every high potential district @ Rs 50K</t>
  </si>
  <si>
    <t xml:space="preserve">Marketing costs </t>
  </si>
  <si>
    <t>Digital Marketing Campaigns</t>
  </si>
  <si>
    <t>To be done in Top 3 high potential districts for all operational states @Rs 5 Lac/campaign (No. of states: 15) for 3 months</t>
  </si>
  <si>
    <t>Vol. (in 000s MT)</t>
  </si>
  <si>
    <t xml:space="preserve">Local Events/Fairs/Exhibitions </t>
  </si>
  <si>
    <t>For different Plant Launches, promotional exhibitions and mass events like Mahakumbh, etc - Total 10 events</t>
  </si>
  <si>
    <t>Cost (in Rs./MT)</t>
  </si>
  <si>
    <t>Paper Advertisement</t>
  </si>
  <si>
    <t>1 newspaper insert for onboarding 50% of new distributors @1 Lac</t>
  </si>
  <si>
    <t>Van Campaign</t>
  </si>
  <si>
    <t>To be done in Top 3 high potential districts for all operational states @ Rs 7000 /day (No. of states: 15) for 2 month</t>
  </si>
  <si>
    <t>Syndicate Launch events</t>
  </si>
  <si>
    <t>Syndicate Launch events @15 states -Distributor base locations @Rs 5 Lac/event</t>
  </si>
  <si>
    <t>Transit Branding</t>
  </si>
  <si>
    <t>To be done in Top 3 high potential districts for all operational states @2000 autos @Rs. 700/auto (No. of states: 15)</t>
  </si>
  <si>
    <t>BTL Activities</t>
  </si>
  <si>
    <t>BTL Spends breakup</t>
  </si>
  <si>
    <t>NLBs</t>
  </si>
  <si>
    <t xml:space="preserve">To be given to 50% of active dealers (Cost is taken to be Rs.40/sqft. Avg size is taken to be 10*3=30 sqft) </t>
  </si>
  <si>
    <t>GSBs</t>
  </si>
  <si>
    <t>To be given to 25% of active dealers. Cost: (180 *size of flex + 65*length of iron angle), Avg size of flex taken to be 10*3. Avg iron angle length: 18 ft</t>
  </si>
  <si>
    <t>Counter Wall Painting</t>
  </si>
  <si>
    <t>To be given to exclusive 20% active counters @Rs 10000/counter</t>
  </si>
  <si>
    <t>Inshop Branding</t>
  </si>
  <si>
    <t>To be given to exclusive 10% active counters @Rs 40000/counter</t>
  </si>
  <si>
    <t>Architect/Engineer Meets</t>
  </si>
  <si>
    <t>Considering every distributor does 1 meets with 50 architects @Rs 3500/pax every quarter</t>
  </si>
  <si>
    <t>Contractor Meets</t>
  </si>
  <si>
    <t>Considering every distributor does 2 meets with 50 contractors @Rs 1000/pax per quarter</t>
  </si>
  <si>
    <t>Mason Meets</t>
  </si>
  <si>
    <t>1 Mason meet for every transacting dealer, of 30 pax/meet Cost @ Rs 300/pax/meet</t>
  </si>
  <si>
    <t>Dealer Certificates</t>
  </si>
  <si>
    <t>To be given to all active retailers @Rs 400</t>
  </si>
  <si>
    <t>Architect one-to-one visit Gifts</t>
  </si>
  <si>
    <t>Considering 75 architects for every distributor with gift cost @ Rs 500</t>
  </si>
  <si>
    <t xml:space="preserve">Digital Factory visits to dealers via VR headset </t>
  </si>
  <si>
    <t>Digital headset for factory visit to 25% of active dealers @ Rs 5000</t>
  </si>
  <si>
    <t>POP</t>
  </si>
  <si>
    <t>POP materials @Rs 3K to be given to every active dealer</t>
  </si>
  <si>
    <t>Vehicle Branding</t>
  </si>
  <si>
    <t>To be done at 10% of active dealers @Rs 5k/vehicle</t>
  </si>
  <si>
    <t xml:space="preserve">Leaflets/Brochures </t>
  </si>
  <si>
    <t xml:space="preserve">2000 units to be sent to all active retailers at Rs 4/pc </t>
  </si>
  <si>
    <t>Annual Diaries</t>
  </si>
  <si>
    <t>3 annual diaries per active retailer@Rs250/diary</t>
  </si>
  <si>
    <t>Festival Branding gifts (Diwali, Holi)</t>
  </si>
  <si>
    <t>To all active dealers and active influencers (3/retailer)</t>
  </si>
  <si>
    <t>Branded Tarpaulins</t>
  </si>
  <si>
    <t>1 Branded Tarpaulins @ 1500/pc</t>
  </si>
  <si>
    <t>Cutout Standees from Ads</t>
  </si>
  <si>
    <t>For 50% of active retailer in size 5ft X 3ft; 5mm board with stand @ 2200/pc</t>
  </si>
  <si>
    <t>Project BTL Activities</t>
  </si>
  <si>
    <t>Project BTL Spends breakup</t>
  </si>
  <si>
    <t>First visit to project customers</t>
  </si>
  <si>
    <t>2000 customers @Rs500</t>
  </si>
  <si>
    <t>Government Approvals</t>
  </si>
  <si>
    <t>10 approvals @Rs 2.5 Lacs</t>
  </si>
  <si>
    <t>1 annual diary per active project customer @Rs250/diary - 100 customers</t>
  </si>
  <si>
    <t>1 gift per active project customer @Rs500/festival - 100 customers</t>
  </si>
  <si>
    <t>Digital Marketing Collaterals</t>
  </si>
  <si>
    <t>Collateral Spends breakup</t>
  </si>
  <si>
    <t>Marketing Agencies</t>
  </si>
  <si>
    <t>1.5L/month/agency</t>
  </si>
  <si>
    <t>Product featuring video</t>
  </si>
  <si>
    <t>Brand Film production</t>
  </si>
  <si>
    <t>Youtube Ad production</t>
  </si>
  <si>
    <t>Factory visit AR video creation</t>
  </si>
  <si>
    <t>Discreationary Budget</t>
  </si>
  <si>
    <t>TOTALS</t>
  </si>
  <si>
    <t>Category</t>
  </si>
  <si>
    <t>Proposed Budget</t>
  </si>
  <si>
    <t>% of Budget</t>
  </si>
  <si>
    <t xml:space="preserve"> </t>
  </si>
  <si>
    <t>To be done in Top 3 high potential districts for all operational states @Rs 2.5 Lac/campaign (No. of states: 5) for 3 months</t>
  </si>
  <si>
    <t>To be done in Top 3 high potential districts for all operational states @Rs 5 Lac/campaign (No. of states: 5) for 3 months</t>
  </si>
  <si>
    <t>For different Plant Launches, promotional exhibitions and mass events like Mahakumbh, etc - Total 5 events</t>
  </si>
  <si>
    <t>To be done in Top 3 high potential districts for all operational states @ Rs 7000 /day (No. of states: 5) for 2 month</t>
  </si>
  <si>
    <t>Youtube Ad production highlighting Fe 550D product</t>
  </si>
  <si>
    <t>YEAR TOTALS</t>
  </si>
  <si>
    <t>%age of totals - Bucketwise</t>
  </si>
  <si>
    <t xml:space="preserve"> Q1</t>
  </si>
  <si>
    <t xml:space="preserve"> Q2</t>
  </si>
  <si>
    <t xml:space="preserve"> Q3 </t>
  </si>
  <si>
    <t xml:space="preserve"> Q4 </t>
  </si>
  <si>
    <t>Apr</t>
  </si>
  <si>
    <t>May</t>
  </si>
  <si>
    <t>Jun</t>
  </si>
  <si>
    <t>Q1 Totals</t>
  </si>
  <si>
    <t>Jul</t>
  </si>
  <si>
    <t>Aug</t>
  </si>
  <si>
    <t>Sep</t>
  </si>
  <si>
    <t>Q2 Totals</t>
  </si>
  <si>
    <t>Oct</t>
  </si>
  <si>
    <t>Nov</t>
  </si>
  <si>
    <t>Dec</t>
  </si>
  <si>
    <t>Q3 Totals</t>
  </si>
  <si>
    <t>Jan</t>
  </si>
  <si>
    <t>Feb</t>
  </si>
  <si>
    <t>Mar</t>
  </si>
  <si>
    <t>Q4 Totals</t>
  </si>
  <si>
    <t xml:space="preserve">Particulars </t>
  </si>
  <si>
    <t xml:space="preserve">20,000 sq ft in 60 Very High and High priority district @ Rs 14 </t>
  </si>
  <si>
    <t>To be done in Top 3 high priority districts for all 4 states @Rs 2.5 Lac/campaign/district/quarter (No. of states: 4) for 2 quarters</t>
  </si>
  <si>
    <t>5 hoardings in 60 Very High and High potential districts @ Rs 50K</t>
  </si>
  <si>
    <t>To be done in Top 3 high potential districts for all 4 states @Rs 6 Lac/campaign/district/quarter (No. of states: 4) for 2 quarters</t>
  </si>
  <si>
    <t>To be done in 60 priority districts (V.High &amp; High Potential) @1000 autos @Rs. 700/auto</t>
  </si>
  <si>
    <t>Tea Stall / Chai Point /Dhaba Branding</t>
  </si>
  <si>
    <t>To be done in all high priority districts - 25 tea stalls/district @ Rs 4000/stall</t>
  </si>
  <si>
    <t>Construction Site Gate Boards</t>
  </si>
  <si>
    <t>Assuming 5 active sites/month/priority district @Rs 1500/board</t>
  </si>
  <si>
    <t>Vehicle Branding (Truck/Tempo back panels)</t>
  </si>
  <si>
    <t xml:space="preserve">1000 units to be sent to all active retailers at Rs 4/pc </t>
  </si>
  <si>
    <t>Discretionary Budget</t>
  </si>
  <si>
    <t>Miscellaneous Budget for immediate action</t>
  </si>
  <si>
    <t>Projected Budget</t>
  </si>
  <si>
    <t>% of Total Budget</t>
  </si>
  <si>
    <t>Quarter-wise Budget Breakup</t>
  </si>
  <si>
    <t>20,000 sq ft in every priority district @ Rs 14</t>
  </si>
  <si>
    <t>To be done in Top 3 high potential districts for Top 4 states @Rs 2.5 Lac/campaign/district/quarter (No. of states: 4) for 2 quarters (UP, RJ, Haryana, WB)</t>
  </si>
  <si>
    <t>Transit Branding (Auto)</t>
  </si>
  <si>
    <t>To be done in Top 2 high potential districts for top 8 high volume states @2000 autos @Rs. 700/auto (No. of states: 15) (UP, HR, RJ, Odisha, MP, JH, WB, Bihar)</t>
  </si>
  <si>
    <t>To be done in all high priority districts - 25 tea stalls/district @ Rs 5000/stall</t>
  </si>
  <si>
    <t>International Distributor Meet for Mou Signing and Agenda setting for FY27</t>
  </si>
  <si>
    <t>Every distributor to be taken + 6 people from HO @Rs 1 Lac</t>
  </si>
  <si>
    <t>End Consumer Meets</t>
  </si>
  <si>
    <t>1 consumer meet for every transacting dealer, of 30 pax/meet Cost @ Rs 1000/pax/meet</t>
  </si>
  <si>
    <t>15,000 sq ft in 82 V.High and High priority district @ Rs 14</t>
  </si>
  <si>
    <t>To be done in Top 2 high potential districts for top 8 states @ Rs 7000 /day (No. of states: 8) for 2 month</t>
  </si>
  <si>
    <t>To be done in Top 2 high potential districts for top 8 high volume states @1000 autos @Rs. 700/auto (No. of states: 15) (UP, HR, RJ, Odisha, MP, JH, WB, Bihar)</t>
  </si>
  <si>
    <t>Distributor Meet for Mou Signing and Agenda setting for FY27</t>
  </si>
  <si>
    <t>Considering every distributor does 1 meet with 70 architects @Rs 3500/pax every 6 months</t>
  </si>
  <si>
    <t>Considering every distributor does 2 meets with 50 contractors @Rs 1000/pax every 6 months</t>
  </si>
  <si>
    <t>Assuming 5 active sites/month/priority district @Rs 1500/board (Taking 82 V.high and High priority districts)</t>
  </si>
  <si>
    <t>For 550D and LRF introduction</t>
  </si>
  <si>
    <t>JSW One TMT</t>
  </si>
  <si>
    <t>Selling Price (per MT)</t>
  </si>
  <si>
    <t>Volumes ('000s)</t>
  </si>
  <si>
    <t xml:space="preserve">Revenue </t>
  </si>
  <si>
    <t>Budget Proposed</t>
  </si>
  <si>
    <t>A/S</t>
  </si>
  <si>
    <t>/MT cost</t>
  </si>
  <si>
    <t>Marketing costs</t>
  </si>
  <si>
    <t>Marketing costs (in Cr)</t>
  </si>
  <si>
    <t>Marketing costs (in Rs. 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</si>
</sst>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0.0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Calibri"/>
      <scheme val="minor"/>
    </font>
    <font>
      <sz val="9"/>
      <color rgb="FF000000"/>
      <name val="Calibri"/>
      <scheme val="minor"/>
    </font>
    <font>
      <b/>
      <sz val="10"/>
      <color rgb="FFFFFFFF"/>
      <name val="Calibri"/>
      <scheme val="minor"/>
    </font>
    <font>
      <b/>
      <sz val="9"/>
      <color rgb="FFFFFFFF"/>
      <name val="Calibri"/>
      <scheme val="minor"/>
    </font>
    <font>
      <b/>
      <sz val="9"/>
      <color rgb="FF000000"/>
      <name val="Calibri"/>
      <scheme val="minor"/>
    </font>
    <font>
      <b/>
      <sz val="9"/>
      <color rgb="FF261D17"/>
      <name val="Calibri"/>
      <scheme val="minor"/>
    </font>
    <font>
      <b/>
      <sz val="11"/>
      <color rgb="FFFFFFFF"/>
      <name val="Calibri"/>
      <scheme val="minor"/>
    </font>
    <font>
      <sz val="8"/>
      <color rgb="FF000000"/>
      <name val="Calibri"/>
      <scheme val="minor"/>
    </font>
    <font>
      <sz val="8"/>
      <color rgb="FFFFFFFF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</font>
    <font>
      <b/>
      <sz val="9"/>
      <color theme="1"/>
      <name val="Calibri"/>
      <family val="2"/>
      <scheme val="minor"/>
    </font>
    <font>
      <b/>
      <sz val="9"/>
      <color theme="1"/>
      <name val="Calibri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b/>
      <sz val="9"/>
      <color theme="1"/>
      <name val="Calibri"/>
      <scheme val="minor"/>
    </font>
    <font>
      <sz val="9"/>
      <color theme="1"/>
      <name val="Calibri"/>
      <scheme val="minor"/>
    </font>
    <font>
      <sz val="9"/>
      <color rgb="FFFF0000"/>
      <name val="Calibri"/>
      <scheme val="minor"/>
    </font>
    <font>
      <b/>
      <sz val="8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7B7153"/>
        <bgColor rgb="FF000000"/>
      </patternFill>
    </fill>
    <fill>
      <patternFill patternType="solid">
        <fgColor rgb="FF85540A"/>
        <bgColor rgb="FF000000"/>
      </patternFill>
    </fill>
    <fill>
      <patternFill patternType="solid">
        <fgColor rgb="FF523227"/>
        <bgColor rgb="FF000000"/>
      </patternFill>
    </fill>
    <fill>
      <patternFill patternType="solid">
        <fgColor rgb="FFC97E0E"/>
        <bgColor rgb="FF000000"/>
      </patternFill>
    </fill>
    <fill>
      <patternFill patternType="solid">
        <fgColor rgb="FF7A4A3A"/>
        <bgColor rgb="FF000000"/>
      </patternFill>
    </fill>
    <fill>
      <patternFill patternType="solid">
        <fgColor rgb="FFA27242"/>
        <bgColor rgb="FF000000"/>
      </patternFill>
    </fill>
    <fill>
      <patternFill patternType="solid">
        <fgColor rgb="FFD9D5C8"/>
        <bgColor rgb="FF000000"/>
      </patternFill>
    </fill>
    <fill>
      <patternFill patternType="solid">
        <fgColor rgb="FFC4AD9F"/>
        <bgColor rgb="FF000000"/>
      </patternFill>
    </fill>
    <fill>
      <patternFill patternType="solid">
        <fgColor rgb="FFDCBFB6"/>
        <bgColor rgb="FF000000"/>
      </patternFill>
    </fill>
    <fill>
      <patternFill patternType="solid">
        <fgColor rgb="FFC3986D"/>
        <bgColor rgb="FF000000"/>
      </patternFill>
    </fill>
    <fill>
      <patternFill patternType="solid">
        <fgColor rgb="FFE1D6CE"/>
        <bgColor rgb="FF000000"/>
      </patternFill>
    </fill>
    <fill>
      <patternFill patternType="solid">
        <fgColor rgb="FFF2EAE1"/>
        <bgColor rgb="FF000000"/>
      </patternFill>
    </fill>
    <fill>
      <patternFill patternType="solid">
        <fgColor rgb="FFEDDFDA"/>
        <bgColor rgb="FF000000"/>
      </patternFill>
    </fill>
    <fill>
      <patternFill patternType="solid">
        <fgColor rgb="FFF0E8E6"/>
        <bgColor rgb="FF000000"/>
      </patternFill>
    </fill>
    <fill>
      <patternFill patternType="solid">
        <fgColor rgb="FF524A38"/>
        <bgColor rgb="FF000000"/>
      </patternFill>
    </fill>
    <fill>
      <patternFill patternType="solid">
        <fgColor rgb="FFECEAE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ADA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19574"/>
      </right>
      <top/>
      <bottom style="medium">
        <color rgb="FFA19574"/>
      </bottom>
      <diagonal/>
    </border>
    <border>
      <left style="medium">
        <color rgb="FFA19574"/>
      </left>
      <right/>
      <top/>
      <bottom style="thin">
        <color rgb="FF7B7153"/>
      </bottom>
      <diagonal/>
    </border>
    <border>
      <left style="medium">
        <color rgb="FFA19574"/>
      </left>
      <right/>
      <top/>
      <bottom style="medium">
        <color rgb="FFA19574"/>
      </bottom>
      <diagonal/>
    </border>
    <border>
      <left style="thin">
        <color rgb="FFA19574"/>
      </left>
      <right/>
      <top style="thin">
        <color rgb="FFA19574"/>
      </top>
      <bottom style="thin">
        <color rgb="FFA19574"/>
      </bottom>
      <diagonal/>
    </border>
    <border>
      <left/>
      <right/>
      <top style="thin">
        <color rgb="FFA19574"/>
      </top>
      <bottom style="thin">
        <color rgb="FFA19574"/>
      </bottom>
      <diagonal/>
    </border>
    <border>
      <left style="thin">
        <color rgb="FFA19574"/>
      </left>
      <right style="thin">
        <color rgb="FFA19574"/>
      </right>
      <top/>
      <bottom style="thin">
        <color rgb="FFA1957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/>
      <right/>
      <top/>
      <bottom style="thin">
        <color rgb="FFA19574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A19574"/>
      </left>
      <right/>
      <top/>
      <bottom/>
      <diagonal/>
    </border>
    <border>
      <left/>
      <right style="thin">
        <color rgb="FFA19574"/>
      </right>
      <top/>
      <bottom/>
      <diagonal/>
    </border>
  </borders>
  <cellStyleXfs count="1">
    <xf numFmtId="0" fontId="0" fillId="0" borderId="0"/>
  </cellStyleXfs>
  <cellXfs count="285">
    <xf numFmtId="0" fontId="0" fillId="0" borderId="0" xfId="0"/>
    <xf numFmtId="0" fontId="3" fillId="0" borderId="0" xfId="0" applyFont="1"/>
    <xf numFmtId="0" fontId="0" fillId="0" borderId="9" xfId="0" applyBorder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7" fillId="13" borderId="1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13" borderId="16" xfId="0" applyFont="1" applyFill="1" applyBorder="1" applyAlignment="1">
      <alignment horizontal="left" vertical="center" wrapText="1"/>
    </xf>
    <xf numFmtId="0" fontId="11" fillId="22" borderId="14" xfId="0" applyFont="1" applyFill="1" applyBorder="1" applyAlignment="1">
      <alignment horizontal="left" vertical="center" wrapText="1"/>
    </xf>
    <xf numFmtId="0" fontId="8" fillId="11" borderId="17" xfId="0" applyFont="1" applyFill="1" applyBorder="1" applyAlignment="1">
      <alignment horizontal="center" vertical="center" wrapText="1"/>
    </xf>
    <xf numFmtId="0" fontId="8" fillId="12" borderId="17" xfId="0" applyFont="1" applyFill="1" applyBorder="1" applyAlignment="1">
      <alignment horizontal="center" vertical="center" wrapText="1"/>
    </xf>
    <xf numFmtId="0" fontId="9" fillId="14" borderId="17" xfId="0" applyFont="1" applyFill="1" applyBorder="1" applyAlignment="1">
      <alignment horizontal="left" vertical="center" wrapText="1"/>
    </xf>
    <xf numFmtId="0" fontId="14" fillId="0" borderId="17" xfId="0" applyFont="1" applyBorder="1"/>
    <xf numFmtId="0" fontId="6" fillId="0" borderId="17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/>
    </xf>
    <xf numFmtId="164" fontId="6" fillId="18" borderId="17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4" fontId="6" fillId="0" borderId="17" xfId="0" applyNumberFormat="1" applyFont="1" applyBorder="1" applyAlignment="1">
      <alignment vertical="center" wrapText="1"/>
    </xf>
    <xf numFmtId="164" fontId="9" fillId="14" borderId="17" xfId="0" applyNumberFormat="1" applyFont="1" applyFill="1" applyBorder="1" applyAlignment="1">
      <alignment horizontal="left" vertical="center" wrapText="1"/>
    </xf>
    <xf numFmtId="164" fontId="10" fillId="15" borderId="17" xfId="0" applyNumberFormat="1" applyFont="1" applyFill="1" applyBorder="1" applyAlignment="1">
      <alignment horizontal="left" vertical="center" wrapText="1"/>
    </xf>
    <xf numFmtId="164" fontId="10" fillId="16" borderId="17" xfId="0" applyNumberFormat="1" applyFont="1" applyFill="1" applyBorder="1" applyAlignment="1">
      <alignment horizontal="left" vertical="center" wrapText="1"/>
    </xf>
    <xf numFmtId="164" fontId="14" fillId="0" borderId="17" xfId="0" applyNumberFormat="1" applyFont="1" applyBorder="1"/>
    <xf numFmtId="164" fontId="6" fillId="19" borderId="17" xfId="0" applyNumberFormat="1" applyFont="1" applyFill="1" applyBorder="1" applyAlignment="1">
      <alignment horizontal="left" vertical="center" wrapText="1"/>
    </xf>
    <xf numFmtId="164" fontId="6" fillId="20" borderId="17" xfId="0" applyNumberFormat="1" applyFont="1" applyFill="1" applyBorder="1" applyAlignment="1">
      <alignment horizontal="left" vertical="center" wrapText="1"/>
    </xf>
    <xf numFmtId="164" fontId="6" fillId="21" borderId="17" xfId="0" applyNumberFormat="1" applyFont="1" applyFill="1" applyBorder="1" applyAlignment="1">
      <alignment horizontal="left" vertical="center" wrapText="1"/>
    </xf>
    <xf numFmtId="164" fontId="9" fillId="17" borderId="17" xfId="0" applyNumberFormat="1" applyFont="1" applyFill="1" applyBorder="1" applyAlignment="1">
      <alignment horizontal="left" vertical="center"/>
    </xf>
    <xf numFmtId="164" fontId="6" fillId="0" borderId="17" xfId="0" applyNumberFormat="1" applyFont="1" applyBorder="1" applyAlignment="1">
      <alignment horizontal="left" vertical="center" wrapText="1"/>
    </xf>
    <xf numFmtId="164" fontId="15" fillId="18" borderId="17" xfId="0" applyNumberFormat="1" applyFont="1" applyFill="1" applyBorder="1" applyAlignment="1">
      <alignment horizontal="left" vertical="center" wrapText="1"/>
    </xf>
    <xf numFmtId="164" fontId="15" fillId="19" borderId="17" xfId="0" applyNumberFormat="1" applyFont="1" applyFill="1" applyBorder="1" applyAlignment="1">
      <alignment horizontal="left" vertical="center" wrapText="1"/>
    </xf>
    <xf numFmtId="164" fontId="15" fillId="0" borderId="17" xfId="0" applyNumberFormat="1" applyFont="1" applyBorder="1" applyAlignment="1">
      <alignment horizontal="left" vertical="center" wrapText="1"/>
    </xf>
    <xf numFmtId="164" fontId="14" fillId="0" borderId="17" xfId="0" applyNumberFormat="1" applyFont="1" applyBorder="1" applyAlignment="1">
      <alignment horizontal="left" vertical="center"/>
    </xf>
    <xf numFmtId="164" fontId="7" fillId="13" borderId="13" xfId="0" applyNumberFormat="1" applyFont="1" applyFill="1" applyBorder="1" applyAlignment="1">
      <alignment horizontal="left" vertical="center" wrapText="1"/>
    </xf>
    <xf numFmtId="164" fontId="7" fillId="13" borderId="11" xfId="0" applyNumberFormat="1" applyFont="1" applyFill="1" applyBorder="1" applyAlignment="1">
      <alignment horizontal="left" vertical="center"/>
    </xf>
    <xf numFmtId="164" fontId="12" fillId="23" borderId="20" xfId="0" applyNumberFormat="1" applyFont="1" applyFill="1" applyBorder="1" applyAlignment="1">
      <alignment horizontal="left" vertical="center"/>
    </xf>
    <xf numFmtId="164" fontId="12" fillId="0" borderId="20" xfId="0" applyNumberFormat="1" applyFont="1" applyBorder="1" applyAlignment="1">
      <alignment horizontal="left" vertical="center"/>
    </xf>
    <xf numFmtId="164" fontId="13" fillId="11" borderId="20" xfId="0" applyNumberFormat="1" applyFont="1" applyFill="1" applyBorder="1" applyAlignment="1">
      <alignment horizontal="left" vertical="center"/>
    </xf>
    <xf numFmtId="0" fontId="16" fillId="14" borderId="17" xfId="0" applyFont="1" applyFill="1" applyBorder="1" applyAlignment="1">
      <alignment horizontal="left" vertical="center" wrapText="1"/>
    </xf>
    <xf numFmtId="164" fontId="16" fillId="14" borderId="17" xfId="0" applyNumberFormat="1" applyFont="1" applyFill="1" applyBorder="1" applyAlignment="1">
      <alignment horizontal="left" vertical="center" wrapText="1"/>
    </xf>
    <xf numFmtId="164" fontId="16" fillId="17" borderId="17" xfId="0" applyNumberFormat="1" applyFont="1" applyFill="1" applyBorder="1" applyAlignment="1">
      <alignment horizontal="left" vertical="center"/>
    </xf>
    <xf numFmtId="0" fontId="14" fillId="0" borderId="17" xfId="0" applyFont="1" applyBorder="1" applyAlignment="1">
      <alignment horizontal="left" vertical="center" wrapText="1"/>
    </xf>
    <xf numFmtId="0" fontId="12" fillId="23" borderId="16" xfId="0" applyFont="1" applyFill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8" fillId="7" borderId="0" xfId="0" applyFont="1" applyFill="1" applyAlignment="1">
      <alignment vertical="center"/>
    </xf>
    <xf numFmtId="0" fontId="18" fillId="0" borderId="0" xfId="0" applyFont="1" applyAlignment="1">
      <alignment horizontal="right" vertical="center"/>
    </xf>
    <xf numFmtId="9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 wrapText="1"/>
    </xf>
    <xf numFmtId="16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5" borderId="0" xfId="0" applyFont="1" applyFill="1" applyAlignment="1">
      <alignment vertical="center"/>
    </xf>
    <xf numFmtId="17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9" fontId="0" fillId="0" borderId="0" xfId="0" applyNumberFormat="1" applyAlignment="1">
      <alignment horizontal="center"/>
    </xf>
    <xf numFmtId="0" fontId="19" fillId="0" borderId="22" xfId="0" applyFont="1" applyBorder="1"/>
    <xf numFmtId="43" fontId="20" fillId="24" borderId="22" xfId="0" applyNumberFormat="1" applyFont="1" applyFill="1" applyBorder="1" applyAlignment="1">
      <alignment horizontal="right" vertical="center"/>
    </xf>
    <xf numFmtId="9" fontId="14" fillId="0" borderId="22" xfId="0" applyNumberFormat="1" applyFont="1" applyBorder="1"/>
    <xf numFmtId="164" fontId="14" fillId="0" borderId="22" xfId="0" applyNumberFormat="1" applyFont="1" applyBorder="1"/>
    <xf numFmtId="43" fontId="14" fillId="0" borderId="22" xfId="0" applyNumberFormat="1" applyFont="1" applyBorder="1"/>
    <xf numFmtId="17" fontId="20" fillId="24" borderId="22" xfId="0" applyNumberFormat="1" applyFont="1" applyFill="1" applyBorder="1" applyAlignment="1">
      <alignment horizontal="right" vertical="center"/>
    </xf>
    <xf numFmtId="0" fontId="20" fillId="24" borderId="22" xfId="0" applyFont="1" applyFill="1" applyBorder="1" applyAlignment="1">
      <alignment horizontal="right" vertical="center"/>
    </xf>
    <xf numFmtId="0" fontId="19" fillId="24" borderId="22" xfId="0" applyFont="1" applyFill="1" applyBorder="1"/>
    <xf numFmtId="9" fontId="14" fillId="0" borderId="23" xfId="0" applyNumberFormat="1" applyFont="1" applyBorder="1"/>
    <xf numFmtId="164" fontId="14" fillId="0" borderId="23" xfId="0" applyNumberFormat="1" applyFont="1" applyBorder="1"/>
    <xf numFmtId="43" fontId="14" fillId="0" borderId="23" xfId="0" applyNumberFormat="1" applyFont="1" applyBorder="1"/>
    <xf numFmtId="43" fontId="20" fillId="24" borderId="24" xfId="0" applyNumberFormat="1" applyFont="1" applyFill="1" applyBorder="1" applyAlignment="1">
      <alignment horizontal="right" vertical="center"/>
    </xf>
    <xf numFmtId="164" fontId="14" fillId="0" borderId="9" xfId="0" applyNumberFormat="1" applyFont="1" applyBorder="1"/>
    <xf numFmtId="0" fontId="14" fillId="26" borderId="17" xfId="0" applyFont="1" applyFill="1" applyBorder="1"/>
    <xf numFmtId="0" fontId="8" fillId="12" borderId="21" xfId="0" applyFont="1" applyFill="1" applyBorder="1" applyAlignment="1">
      <alignment horizontal="center" vertical="center" wrapText="1"/>
    </xf>
    <xf numFmtId="164" fontId="10" fillId="16" borderId="19" xfId="0" applyNumberFormat="1" applyFont="1" applyFill="1" applyBorder="1" applyAlignment="1">
      <alignment horizontal="left" vertical="center" wrapText="1"/>
    </xf>
    <xf numFmtId="0" fontId="8" fillId="28" borderId="25" xfId="0" applyFont="1" applyFill="1" applyBorder="1" applyAlignment="1">
      <alignment horizontal="center" vertical="center" wrapText="1"/>
    </xf>
    <xf numFmtId="3" fontId="3" fillId="0" borderId="0" xfId="0" applyNumberFormat="1" applyFont="1"/>
    <xf numFmtId="9" fontId="0" fillId="0" borderId="9" xfId="0" applyNumberForma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14" fillId="0" borderId="9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22" fillId="28" borderId="27" xfId="0" applyNumberFormat="1" applyFont="1" applyFill="1" applyBorder="1" applyAlignment="1">
      <alignment horizontal="center"/>
    </xf>
    <xf numFmtId="165" fontId="22" fillId="28" borderId="9" xfId="0" applyNumberFormat="1" applyFont="1" applyFill="1" applyBorder="1" applyAlignment="1">
      <alignment horizontal="center"/>
    </xf>
    <xf numFmtId="0" fontId="5" fillId="0" borderId="0" xfId="0" applyFont="1"/>
    <xf numFmtId="0" fontId="22" fillId="28" borderId="28" xfId="0" applyFont="1" applyFill="1" applyBorder="1" applyAlignment="1">
      <alignment horizontal="left" vertical="center" wrapText="1"/>
    </xf>
    <xf numFmtId="164" fontId="22" fillId="28" borderId="9" xfId="0" applyNumberFormat="1" applyFont="1" applyFill="1" applyBorder="1" applyAlignment="1">
      <alignment horizontal="left" vertical="center" wrapText="1"/>
    </xf>
    <xf numFmtId="3" fontId="22" fillId="28" borderId="9" xfId="0" applyNumberFormat="1" applyFont="1" applyFill="1" applyBorder="1" applyAlignment="1">
      <alignment horizontal="center"/>
    </xf>
    <xf numFmtId="0" fontId="22" fillId="28" borderId="9" xfId="0" applyFont="1" applyFill="1" applyBorder="1" applyAlignment="1">
      <alignment vertical="center" wrapText="1"/>
    </xf>
    <xf numFmtId="0" fontId="22" fillId="28" borderId="27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left" vertical="center" wrapText="1"/>
    </xf>
    <xf numFmtId="3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/>
    </xf>
    <xf numFmtId="164" fontId="23" fillId="0" borderId="9" xfId="0" applyNumberFormat="1" applyFont="1" applyBorder="1" applyAlignment="1">
      <alignment horizontal="left" vertical="center"/>
    </xf>
    <xf numFmtId="3" fontId="22" fillId="28" borderId="9" xfId="0" applyNumberFormat="1" applyFont="1" applyFill="1" applyBorder="1" applyAlignment="1">
      <alignment horizontal="center" vertical="center"/>
    </xf>
    <xf numFmtId="0" fontId="22" fillId="28" borderId="9" xfId="0" applyFont="1" applyFill="1" applyBorder="1" applyAlignment="1">
      <alignment horizontal="left" vertical="center" wrapText="1"/>
    </xf>
    <xf numFmtId="0" fontId="24" fillId="0" borderId="9" xfId="0" applyFont="1" applyBorder="1"/>
    <xf numFmtId="2" fontId="23" fillId="0" borderId="9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9" fontId="23" fillId="0" borderId="9" xfId="0" applyNumberFormat="1" applyFont="1" applyBorder="1" applyAlignment="1">
      <alignment horizontal="center"/>
    </xf>
    <xf numFmtId="1" fontId="23" fillId="0" borderId="9" xfId="0" applyNumberFormat="1" applyFont="1" applyBorder="1" applyAlignment="1">
      <alignment horizontal="center"/>
    </xf>
    <xf numFmtId="0" fontId="24" fillId="0" borderId="23" xfId="0" applyFont="1" applyBorder="1"/>
    <xf numFmtId="3" fontId="23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4" fillId="28" borderId="9" xfId="0" applyFont="1" applyFill="1" applyBorder="1"/>
    <xf numFmtId="0" fontId="24" fillId="28" borderId="9" xfId="0" applyFont="1" applyFill="1" applyBorder="1" applyAlignment="1">
      <alignment horizontal="center"/>
    </xf>
    <xf numFmtId="0" fontId="24" fillId="28" borderId="23" xfId="0" applyFont="1" applyFill="1" applyBorder="1"/>
    <xf numFmtId="17" fontId="24" fillId="28" borderId="9" xfId="0" applyNumberFormat="1" applyFont="1" applyFill="1" applyBorder="1" applyAlignment="1">
      <alignment horizontal="center" vertical="center"/>
    </xf>
    <xf numFmtId="0" fontId="24" fillId="28" borderId="9" xfId="0" applyFont="1" applyFill="1" applyBorder="1" applyAlignment="1">
      <alignment horizontal="center" vertical="center"/>
    </xf>
    <xf numFmtId="0" fontId="22" fillId="28" borderId="9" xfId="0" applyFont="1" applyFill="1" applyBorder="1" applyAlignment="1">
      <alignment horizontal="center"/>
    </xf>
    <xf numFmtId="0" fontId="5" fillId="0" borderId="17" xfId="0" applyFont="1" applyBorder="1" applyAlignment="1">
      <alignment horizontal="left" vertical="center" wrapText="1"/>
    </xf>
    <xf numFmtId="0" fontId="22" fillId="0" borderId="0" xfId="0" applyFont="1"/>
    <xf numFmtId="0" fontId="22" fillId="0" borderId="26" xfId="0" applyFont="1" applyBorder="1" applyAlignment="1">
      <alignment horizontal="left" vertical="center" wrapText="1"/>
    </xf>
    <xf numFmtId="0" fontId="21" fillId="28" borderId="26" xfId="0" applyFont="1" applyFill="1" applyBorder="1" applyAlignment="1">
      <alignment horizontal="center"/>
    </xf>
    <xf numFmtId="0" fontId="21" fillId="28" borderId="9" xfId="0" applyFont="1" applyFill="1" applyBorder="1" applyAlignment="1">
      <alignment horizontal="center"/>
    </xf>
    <xf numFmtId="164" fontId="0" fillId="0" borderId="9" xfId="0" applyNumberFormat="1" applyBorder="1"/>
    <xf numFmtId="0" fontId="21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9" xfId="0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5" fillId="0" borderId="29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3" fontId="5" fillId="0" borderId="27" xfId="0" applyNumberFormat="1" applyFont="1" applyBorder="1" applyAlignment="1">
      <alignment horizontal="center"/>
    </xf>
    <xf numFmtId="0" fontId="22" fillId="28" borderId="31" xfId="0" applyFont="1" applyFill="1" applyBorder="1" applyAlignment="1">
      <alignment vertical="center" wrapText="1"/>
    </xf>
    <xf numFmtId="164" fontId="22" fillId="28" borderId="10" xfId="0" applyNumberFormat="1" applyFont="1" applyFill="1" applyBorder="1" applyAlignment="1">
      <alignment horizontal="left" vertical="center" wrapText="1"/>
    </xf>
    <xf numFmtId="164" fontId="6" fillId="0" borderId="17" xfId="0" applyNumberFormat="1" applyFont="1" applyBorder="1" applyAlignment="1">
      <alignment horizontal="right" vertical="center" wrapText="1"/>
    </xf>
    <xf numFmtId="0" fontId="19" fillId="0" borderId="9" xfId="0" applyFont="1" applyBorder="1" applyAlignment="1">
      <alignment horizontal="left"/>
    </xf>
    <xf numFmtId="0" fontId="14" fillId="7" borderId="9" xfId="0" applyFont="1" applyFill="1" applyBorder="1" applyAlignment="1">
      <alignment horizontal="left" wrapText="1"/>
    </xf>
    <xf numFmtId="0" fontId="14" fillId="0" borderId="0" xfId="0" applyFont="1"/>
    <xf numFmtId="0" fontId="25" fillId="0" borderId="9" xfId="0" applyFont="1" applyBorder="1" applyAlignment="1">
      <alignment horizontal="left"/>
    </xf>
    <xf numFmtId="0" fontId="26" fillId="7" borderId="9" xfId="0" applyFont="1" applyFill="1" applyBorder="1" applyAlignment="1">
      <alignment horizontal="left" wrapText="1"/>
    </xf>
    <xf numFmtId="164" fontId="26" fillId="0" borderId="0" xfId="0" applyNumberFormat="1" applyFont="1"/>
    <xf numFmtId="0" fontId="26" fillId="0" borderId="0" xfId="0" applyFont="1" applyAlignment="1">
      <alignment horizontal="center"/>
    </xf>
    <xf numFmtId="0" fontId="26" fillId="0" borderId="0" xfId="0" applyFont="1"/>
    <xf numFmtId="0" fontId="9" fillId="0" borderId="0" xfId="0" applyFont="1" applyAlignment="1">
      <alignment wrapText="1"/>
    </xf>
    <xf numFmtId="0" fontId="9" fillId="28" borderId="9" xfId="0" applyFont="1" applyFill="1" applyBorder="1" applyAlignment="1">
      <alignment horizontal="center"/>
    </xf>
    <xf numFmtId="165" fontId="9" fillId="28" borderId="27" xfId="0" applyNumberFormat="1" applyFont="1" applyFill="1" applyBorder="1" applyAlignment="1">
      <alignment horizontal="center"/>
    </xf>
    <xf numFmtId="165" fontId="9" fillId="28" borderId="9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28" borderId="9" xfId="0" applyFont="1" applyFill="1" applyBorder="1" applyAlignment="1">
      <alignment vertical="center"/>
    </xf>
    <xf numFmtId="0" fontId="27" fillId="28" borderId="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27" fillId="0" borderId="9" xfId="0" applyFont="1" applyBorder="1" applyAlignment="1">
      <alignment vertical="center"/>
    </xf>
    <xf numFmtId="0" fontId="9" fillId="28" borderId="9" xfId="0" applyFont="1" applyFill="1" applyBorder="1" applyAlignment="1">
      <alignment horizontal="left" vertical="center" wrapText="1"/>
    </xf>
    <xf numFmtId="0" fontId="9" fillId="28" borderId="9" xfId="0" applyFont="1" applyFill="1" applyBorder="1" applyAlignment="1">
      <alignment horizontal="center" vertical="center" wrapText="1"/>
    </xf>
    <xf numFmtId="164" fontId="9" fillId="28" borderId="9" xfId="0" applyNumberFormat="1" applyFont="1" applyFill="1" applyBorder="1" applyAlignment="1">
      <alignment horizontal="left" vertical="center" wrapText="1"/>
    </xf>
    <xf numFmtId="3" fontId="9" fillId="28" borderId="9" xfId="0" applyNumberFormat="1" applyFont="1" applyFill="1" applyBorder="1" applyAlignment="1">
      <alignment horizontal="center" vertical="center"/>
    </xf>
    <xf numFmtId="3" fontId="26" fillId="0" borderId="0" xfId="0" applyNumberFormat="1" applyFont="1"/>
    <xf numFmtId="9" fontId="28" fillId="0" borderId="9" xfId="0" applyNumberFormat="1" applyFont="1" applyBorder="1" applyAlignment="1">
      <alignment horizontal="center" vertical="center"/>
    </xf>
    <xf numFmtId="0" fontId="9" fillId="28" borderId="9" xfId="0" applyFont="1" applyFill="1" applyBorder="1" applyAlignment="1">
      <alignment vertical="center" wrapText="1"/>
    </xf>
    <xf numFmtId="3" fontId="26" fillId="0" borderId="0" xfId="0" applyNumberFormat="1" applyFont="1" applyAlignment="1">
      <alignment horizontal="center"/>
    </xf>
    <xf numFmtId="1" fontId="28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left" vertical="center" wrapText="1"/>
    </xf>
    <xf numFmtId="3" fontId="6" fillId="0" borderId="9" xfId="0" applyNumberFormat="1" applyFont="1" applyBorder="1" applyAlignment="1">
      <alignment horizontal="center" vertical="center"/>
    </xf>
    <xf numFmtId="0" fontId="27" fillId="28" borderId="23" xfId="0" applyFont="1" applyFill="1" applyBorder="1" applyAlignment="1">
      <alignment vertical="center"/>
    </xf>
    <xf numFmtId="17" fontId="27" fillId="28" borderId="9" xfId="0" applyNumberFormat="1" applyFont="1" applyFill="1" applyBorder="1" applyAlignment="1">
      <alignment horizontal="center" vertical="center"/>
    </xf>
    <xf numFmtId="0" fontId="6" fillId="28" borderId="9" xfId="0" applyFont="1" applyFill="1" applyBorder="1" applyAlignment="1">
      <alignment horizontal="left" vertical="center" wrapText="1"/>
    </xf>
    <xf numFmtId="0" fontId="27" fillId="0" borderId="23" xfId="0" applyFont="1" applyBorder="1" applyAlignment="1">
      <alignment vertical="center"/>
    </xf>
    <xf numFmtId="0" fontId="28" fillId="0" borderId="9" xfId="0" applyFont="1" applyBorder="1" applyAlignment="1">
      <alignment horizontal="center" vertical="center"/>
    </xf>
    <xf numFmtId="3" fontId="28" fillId="0" borderId="9" xfId="0" applyNumberFormat="1" applyFont="1" applyBorder="1" applyAlignment="1">
      <alignment horizontal="center" vertical="center"/>
    </xf>
    <xf numFmtId="2" fontId="28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9" borderId="9" xfId="0" applyFont="1" applyFill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19" fillId="28" borderId="26" xfId="0" applyFont="1" applyFill="1" applyBorder="1" applyAlignment="1">
      <alignment horizontal="center"/>
    </xf>
    <xf numFmtId="0" fontId="19" fillId="28" borderId="9" xfId="0" applyFont="1" applyFill="1" applyBorder="1" applyAlignment="1">
      <alignment horizontal="center" wrapText="1"/>
    </xf>
    <xf numFmtId="0" fontId="19" fillId="28" borderId="9" xfId="0" applyFont="1" applyFill="1" applyBorder="1" applyAlignment="1">
      <alignment horizontal="center"/>
    </xf>
    <xf numFmtId="0" fontId="9" fillId="0" borderId="26" xfId="0" applyFont="1" applyBorder="1" applyAlignment="1">
      <alignment horizontal="left" vertical="center" wrapText="1"/>
    </xf>
    <xf numFmtId="164" fontId="14" fillId="0" borderId="9" xfId="0" applyNumberFormat="1" applyFont="1" applyBorder="1" applyAlignment="1">
      <alignment wrapText="1"/>
    </xf>
    <xf numFmtId="9" fontId="14" fillId="0" borderId="9" xfId="0" applyNumberFormat="1" applyFont="1" applyBorder="1" applyAlignment="1">
      <alignment horizontal="center"/>
    </xf>
    <xf numFmtId="0" fontId="14" fillId="0" borderId="0" xfId="0" applyFont="1" applyAlignment="1">
      <alignment wrapText="1"/>
    </xf>
    <xf numFmtId="0" fontId="6" fillId="0" borderId="3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6" fillId="18" borderId="33" xfId="0" applyNumberFormat="1" applyFont="1" applyFill="1" applyBorder="1" applyAlignment="1">
      <alignment horizontal="left" vertical="center" wrapText="1"/>
    </xf>
    <xf numFmtId="164" fontId="6" fillId="19" borderId="33" xfId="0" applyNumberFormat="1" applyFont="1" applyFill="1" applyBorder="1" applyAlignment="1">
      <alignment horizontal="left" vertical="center" wrapText="1"/>
    </xf>
    <xf numFmtId="164" fontId="28" fillId="0" borderId="9" xfId="0" applyNumberFormat="1" applyFont="1" applyBorder="1" applyAlignment="1">
      <alignment horizontal="center" vertical="center"/>
    </xf>
    <xf numFmtId="3" fontId="6" fillId="28" borderId="9" xfId="0" applyNumberFormat="1" applyFont="1" applyFill="1" applyBorder="1" applyAlignment="1">
      <alignment horizontal="center" vertical="center"/>
    </xf>
    <xf numFmtId="164" fontId="15" fillId="28" borderId="9" xfId="0" applyNumberFormat="1" applyFont="1" applyFill="1" applyBorder="1" applyAlignment="1">
      <alignment horizontal="left" vertical="center" wrapText="1"/>
    </xf>
    <xf numFmtId="164" fontId="14" fillId="26" borderId="22" xfId="0" applyNumberFormat="1" applyFont="1" applyFill="1" applyBorder="1"/>
    <xf numFmtId="9" fontId="14" fillId="0" borderId="9" xfId="0" applyNumberFormat="1" applyFont="1" applyBorder="1"/>
    <xf numFmtId="164" fontId="14" fillId="0" borderId="10" xfId="0" applyNumberFormat="1" applyFont="1" applyBorder="1"/>
    <xf numFmtId="164" fontId="14" fillId="0" borderId="22" xfId="0" applyNumberFormat="1" applyFont="1" applyBorder="1" applyAlignment="1">
      <alignment horizontal="right"/>
    </xf>
    <xf numFmtId="9" fontId="9" fillId="0" borderId="17" xfId="0" applyNumberFormat="1" applyFont="1" applyBorder="1" applyAlignment="1">
      <alignment horizontal="right" vertical="center" wrapText="1"/>
    </xf>
    <xf numFmtId="9" fontId="9" fillId="0" borderId="0" xfId="0" applyNumberFormat="1" applyFont="1" applyAlignment="1">
      <alignment horizontal="right" vertical="center" wrapText="1"/>
    </xf>
    <xf numFmtId="164" fontId="9" fillId="19" borderId="17" xfId="0" applyNumberFormat="1" applyFont="1" applyFill="1" applyBorder="1" applyAlignment="1">
      <alignment horizontal="left" vertical="center" wrapText="1"/>
    </xf>
    <xf numFmtId="164" fontId="16" fillId="19" borderId="17" xfId="0" applyNumberFormat="1" applyFont="1" applyFill="1" applyBorder="1" applyAlignment="1">
      <alignment horizontal="left" vertical="center" wrapText="1"/>
    </xf>
    <xf numFmtId="164" fontId="16" fillId="19" borderId="17" xfId="0" applyNumberFormat="1" applyFont="1" applyFill="1" applyBorder="1" applyAlignment="1">
      <alignment horizontal="center" vertical="center" wrapText="1"/>
    </xf>
    <xf numFmtId="164" fontId="9" fillId="19" borderId="1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15" fillId="18" borderId="33" xfId="0" applyNumberFormat="1" applyFont="1" applyFill="1" applyBorder="1" applyAlignment="1">
      <alignment horizontal="left" vertical="center" wrapText="1"/>
    </xf>
    <xf numFmtId="164" fontId="9" fillId="21" borderId="17" xfId="0" applyNumberFormat="1" applyFont="1" applyFill="1" applyBorder="1" applyAlignment="1">
      <alignment horizontal="left" vertical="center" wrapText="1"/>
    </xf>
    <xf numFmtId="164" fontId="29" fillId="18" borderId="17" xfId="0" applyNumberFormat="1" applyFont="1" applyFill="1" applyBorder="1" applyAlignment="1">
      <alignment horizontal="left" vertical="center" wrapText="1"/>
    </xf>
    <xf numFmtId="164" fontId="5" fillId="7" borderId="0" xfId="0" applyNumberFormat="1" applyFont="1" applyFill="1" applyAlignment="1">
      <alignment vertical="center"/>
    </xf>
    <xf numFmtId="164" fontId="12" fillId="23" borderId="16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 wrapText="1"/>
    </xf>
    <xf numFmtId="0" fontId="32" fillId="22" borderId="15" xfId="0" applyFont="1" applyFill="1" applyBorder="1" applyAlignment="1">
      <alignment horizontal="left" vertical="center" wrapText="1"/>
    </xf>
    <xf numFmtId="0" fontId="32" fillId="22" borderId="14" xfId="0" applyFont="1" applyFill="1" applyBorder="1" applyAlignment="1">
      <alignment horizontal="left" vertical="center" wrapText="1"/>
    </xf>
    <xf numFmtId="164" fontId="12" fillId="0" borderId="16" xfId="0" applyNumberFormat="1" applyFont="1" applyBorder="1" applyAlignment="1">
      <alignment horizontal="left" vertical="center" wrapText="1"/>
    </xf>
    <xf numFmtId="164" fontId="8" fillId="11" borderId="20" xfId="0" applyNumberFormat="1" applyFont="1" applyFill="1" applyBorder="1" applyAlignment="1">
      <alignment horizontal="left" vertical="center"/>
    </xf>
    <xf numFmtId="9" fontId="12" fillId="26" borderId="0" xfId="0" applyNumberFormat="1" applyFont="1" applyFill="1" applyAlignment="1">
      <alignment horizontal="right" vertical="center"/>
    </xf>
    <xf numFmtId="164" fontId="13" fillId="26" borderId="0" xfId="0" applyNumberFormat="1" applyFont="1" applyFill="1" applyAlignment="1">
      <alignment horizontal="left" vertical="center"/>
    </xf>
    <xf numFmtId="0" fontId="32" fillId="26" borderId="0" xfId="0" applyFont="1" applyFill="1" applyAlignment="1">
      <alignment horizontal="left" vertical="center" wrapText="1"/>
    </xf>
    <xf numFmtId="9" fontId="30" fillId="23" borderId="20" xfId="0" applyNumberFormat="1" applyFont="1" applyFill="1" applyBorder="1" applyAlignment="1">
      <alignment horizontal="right" vertical="center"/>
    </xf>
    <xf numFmtId="9" fontId="30" fillId="0" borderId="20" xfId="0" applyNumberFormat="1" applyFont="1" applyBorder="1" applyAlignment="1">
      <alignment horizontal="right" vertical="center"/>
    </xf>
    <xf numFmtId="0" fontId="14" fillId="26" borderId="17" xfId="0" applyFont="1" applyFill="1" applyBorder="1" applyAlignment="1">
      <alignment horizontal="left" vertical="center" wrapText="1"/>
    </xf>
    <xf numFmtId="0" fontId="21" fillId="7" borderId="0" xfId="0" applyFont="1" applyFill="1"/>
    <xf numFmtId="164" fontId="5" fillId="0" borderId="0" xfId="0" applyNumberFormat="1" applyFont="1" applyAlignment="1">
      <alignment vertical="center"/>
    </xf>
    <xf numFmtId="164" fontId="31" fillId="0" borderId="0" xfId="0" applyNumberFormat="1" applyFont="1" applyAlignment="1">
      <alignment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/>
    <xf numFmtId="0" fontId="14" fillId="30" borderId="17" xfId="0" applyFont="1" applyFill="1" applyBorder="1" applyAlignment="1">
      <alignment horizontal="left" vertical="center" wrapText="1"/>
    </xf>
    <xf numFmtId="0" fontId="15" fillId="30" borderId="17" xfId="0" applyFont="1" applyFill="1" applyBorder="1" applyAlignment="1">
      <alignment horizontal="left" vertical="center" wrapText="1"/>
    </xf>
    <xf numFmtId="0" fontId="14" fillId="30" borderId="17" xfId="0" applyFont="1" applyFill="1" applyBorder="1" applyAlignment="1">
      <alignment horizontal="left" vertical="center"/>
    </xf>
    <xf numFmtId="164" fontId="15" fillId="30" borderId="17" xfId="0" applyNumberFormat="1" applyFont="1" applyFill="1" applyBorder="1" applyAlignment="1">
      <alignment horizontal="left" vertical="center" wrapText="1"/>
    </xf>
    <xf numFmtId="164" fontId="14" fillId="30" borderId="17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28" fillId="7" borderId="0" xfId="0" applyFont="1" applyFill="1" applyAlignment="1">
      <alignment horizontal="center"/>
    </xf>
    <xf numFmtId="164" fontId="33" fillId="18" borderId="17" xfId="0" applyNumberFormat="1" applyFont="1" applyFill="1" applyBorder="1" applyAlignment="1">
      <alignment horizontal="left" vertical="center" wrapText="1"/>
    </xf>
    <xf numFmtId="164" fontId="19" fillId="0" borderId="22" xfId="0" applyNumberFormat="1" applyFont="1" applyBorder="1"/>
    <xf numFmtId="164" fontId="19" fillId="0" borderId="23" xfId="0" applyNumberFormat="1" applyFont="1" applyBorder="1"/>
    <xf numFmtId="1" fontId="14" fillId="0" borderId="9" xfId="0" applyNumberFormat="1" applyFont="1" applyBorder="1"/>
    <xf numFmtId="1" fontId="19" fillId="0" borderId="9" xfId="0" applyNumberFormat="1" applyFont="1" applyBorder="1"/>
    <xf numFmtId="0" fontId="14" fillId="26" borderId="17" xfId="0" applyFont="1" applyFill="1" applyBorder="1" applyAlignment="1">
      <alignment horizontal="right"/>
    </xf>
    <xf numFmtId="166" fontId="14" fillId="0" borderId="26" xfId="0" applyNumberFormat="1" applyFont="1" applyBorder="1"/>
    <xf numFmtId="166" fontId="19" fillId="0" borderId="26" xfId="0" applyNumberFormat="1" applyFont="1" applyBorder="1"/>
    <xf numFmtId="164" fontId="9" fillId="18" borderId="17" xfId="0" applyNumberFormat="1" applyFont="1" applyFill="1" applyBorder="1" applyAlignment="1">
      <alignment horizontal="left" vertical="center" wrapText="1"/>
    </xf>
    <xf numFmtId="1" fontId="14" fillId="0" borderId="9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left" vertical="center"/>
    </xf>
    <xf numFmtId="0" fontId="6" fillId="26" borderId="17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center"/>
    </xf>
    <xf numFmtId="1" fontId="14" fillId="0" borderId="0" xfId="0" applyNumberFormat="1" applyFont="1"/>
    <xf numFmtId="0" fontId="19" fillId="31" borderId="9" xfId="0" applyFont="1" applyFill="1" applyBorder="1" applyAlignment="1">
      <alignment horizontal="center"/>
    </xf>
    <xf numFmtId="1" fontId="14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43" fontId="20" fillId="26" borderId="0" xfId="0" applyNumberFormat="1" applyFont="1" applyFill="1" applyAlignment="1">
      <alignment horizontal="center" vertical="center"/>
    </xf>
    <xf numFmtId="43" fontId="20" fillId="24" borderId="23" xfId="0" applyNumberFormat="1" applyFont="1" applyFill="1" applyBorder="1" applyAlignment="1">
      <alignment horizontal="right" vertical="center"/>
    </xf>
    <xf numFmtId="16" fontId="9" fillId="6" borderId="6" xfId="0" applyNumberFormat="1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28" borderId="9" xfId="0" applyFont="1" applyFill="1" applyBorder="1" applyAlignment="1">
      <alignment horizontal="center" vertical="center" wrapText="1"/>
    </xf>
    <xf numFmtId="0" fontId="22" fillId="28" borderId="28" xfId="0" applyFont="1" applyFill="1" applyBorder="1" applyAlignment="1">
      <alignment horizontal="center" vertical="center" wrapText="1"/>
    </xf>
    <xf numFmtId="0" fontId="22" fillId="28" borderId="10" xfId="0" applyFont="1" applyFill="1" applyBorder="1" applyAlignment="1">
      <alignment horizontal="center" vertical="center" wrapText="1"/>
    </xf>
    <xf numFmtId="0" fontId="22" fillId="28" borderId="30" xfId="0" applyFont="1" applyFill="1" applyBorder="1" applyAlignment="1">
      <alignment horizontal="center" vertical="center" wrapText="1"/>
    </xf>
    <xf numFmtId="0" fontId="8" fillId="27" borderId="25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A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838F5D20-13AD-4740-B06A-7F2AD78978E8}">
    <Anchor>
      <Comment id="{683214D8-6B8D-4F31-BD36-988131F6CFB7}"/>
    </Anchor>
    <History>
      <Event time="2026-02-03T11:02:00.96" id="{950336ED-B5BB-4CFF-96B7-02EFAFA62D07}">
        <Attribution userId="S::jagdish.khadanga@jsw.in::bf8792e7-bc0f-4f81-a7db-7eed77f628ea" userName="Jagdish Khadanga" userProvider="AD"/>
        <Anchor>
          <Comment id="{683214D8-6B8D-4F31-BD36-988131F6CFB7}"/>
        </Anchor>
        <Create/>
      </Event>
      <Event time="2026-02-03T11:02:00.96" id="{10163AB8-1C14-4BCC-8B8E-33839E3F75A0}">
        <Attribution userId="S::jagdish.khadanga@jsw.in::bf8792e7-bc0f-4f81-a7db-7eed77f628ea" userName="Jagdish Khadanga" userProvider="AD"/>
        <Anchor>
          <Comment id="{683214D8-6B8D-4F31-BD36-988131F6CFB7}"/>
        </Anchor>
        <Assign userId="S::tanvi1@jsw.in::6a21c78d-cfd2-4537-80b2-2b98d6c12a7d" userName="Tanvi ." userProvider="AD"/>
      </Event>
      <Event time="2026-02-03T11:02:00.96" id="{12C3527E-C480-4036-8EA7-A925ABA9F974}">
        <Attribution userId="S::jagdish.khadanga@jsw.in::bf8792e7-bc0f-4f81-a7db-7eed77f628ea" userName="Jagdish Khadanga" userProvider="AD"/>
        <Anchor>
          <Comment id="{683214D8-6B8D-4F31-BD36-988131F6CFB7}"/>
        </Anchor>
        <SetTitle title="@Tanvi . Mention the cut offs for BTLs and the calculations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Tanvi ." id="{A7EF16D9-D4F0-4F33-ABAB-E6AE97825AEA}" userId="tanvi1@jsw.in" providerId="PeoplePicker"/>
  <person displayName="Jagdish Khadanga" id="{976C8BB0-D13E-4E2D-AB3F-9B6EA5E1A227}" userId="S::jagdish.khadanga@jsw.in::bf8792e7-bc0f-4f81-a7db-7eed77f628e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9" dT="2026-02-03T11:02:01.05" personId="{976C8BB0-D13E-4E2D-AB3F-9B6EA5E1A227}" id="{683214D8-6B8D-4F31-BD36-988131F6CFB7}">
    <text xml:space="preserve">@Tanvi . Mention the cut offs for BTLs and the calculations. </text>
    <mentions>
      <mention mentionpersonId="{A7EF16D9-D4F0-4F33-ABAB-E6AE97825AEA}" mentionId="{E2548A78-1E8C-4797-89FE-1B16E9F17F50}" startIndex="0" length="8"/>
    </mentions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workbookViewId="0">
      <selection activeCell="A6" sqref="A6"/>
    </sheetView>
  </sheetViews>
  <sheetFormatPr defaultColWidth="17.5703125" defaultRowHeight="12"/>
  <cols>
    <col min="1" max="2" width="17.5703125" style="225"/>
    <col min="3" max="27" width="8.5703125" style="225" customWidth="1"/>
    <col min="28" max="16384" width="17.5703125" style="225"/>
  </cols>
  <sheetData>
    <row r="1" spans="1:27">
      <c r="A1" s="224"/>
      <c r="B1" s="224"/>
      <c r="C1" s="224"/>
      <c r="D1" s="266" t="s">
        <v>0</v>
      </c>
      <c r="E1" s="266"/>
      <c r="F1" s="266"/>
      <c r="G1" s="266"/>
      <c r="H1" s="266"/>
      <c r="I1" s="266"/>
      <c r="J1" s="267" t="s">
        <v>1</v>
      </c>
      <c r="K1" s="267"/>
      <c r="L1" s="267"/>
      <c r="M1" s="267"/>
      <c r="N1" s="267"/>
      <c r="O1" s="267"/>
      <c r="P1" s="268" t="s">
        <v>2</v>
      </c>
      <c r="Q1" s="268"/>
      <c r="R1" s="268"/>
      <c r="S1" s="268"/>
      <c r="T1" s="268"/>
      <c r="U1" s="268"/>
      <c r="V1" s="269" t="s">
        <v>3</v>
      </c>
      <c r="W1" s="269"/>
      <c r="X1" s="269"/>
      <c r="Y1" s="269"/>
      <c r="Z1" s="269"/>
      <c r="AA1" s="269"/>
    </row>
    <row r="2" spans="1:27">
      <c r="A2" s="226" t="s">
        <v>4</v>
      </c>
      <c r="B2" s="227" t="s">
        <v>4</v>
      </c>
      <c r="C2" s="227" t="s">
        <v>4</v>
      </c>
      <c r="D2" s="228" t="s">
        <v>5</v>
      </c>
      <c r="E2" s="228" t="s">
        <v>6</v>
      </c>
      <c r="F2" s="228" t="s">
        <v>5</v>
      </c>
      <c r="G2" s="228" t="s">
        <v>6</v>
      </c>
      <c r="H2" s="228" t="s">
        <v>5</v>
      </c>
      <c r="I2" s="228" t="s">
        <v>6</v>
      </c>
      <c r="J2" s="229" t="s">
        <v>5</v>
      </c>
      <c r="K2" s="229" t="s">
        <v>6</v>
      </c>
      <c r="L2" s="229" t="s">
        <v>5</v>
      </c>
      <c r="M2" s="229" t="s">
        <v>6</v>
      </c>
      <c r="N2" s="229" t="s">
        <v>5</v>
      </c>
      <c r="O2" s="229" t="s">
        <v>6</v>
      </c>
      <c r="P2" s="230" t="s">
        <v>5</v>
      </c>
      <c r="Q2" s="230" t="s">
        <v>6</v>
      </c>
      <c r="R2" s="230" t="s">
        <v>5</v>
      </c>
      <c r="S2" s="230" t="s">
        <v>6</v>
      </c>
      <c r="T2" s="230" t="s">
        <v>5</v>
      </c>
      <c r="U2" s="230" t="s">
        <v>6</v>
      </c>
      <c r="V2" s="231" t="s">
        <v>5</v>
      </c>
      <c r="W2" s="231" t="s">
        <v>6</v>
      </c>
      <c r="X2" s="231" t="s">
        <v>5</v>
      </c>
      <c r="Y2" s="231" t="s">
        <v>6</v>
      </c>
      <c r="Z2" s="231" t="s">
        <v>5</v>
      </c>
      <c r="AA2" s="231" t="s">
        <v>6</v>
      </c>
    </row>
    <row r="3" spans="1:27">
      <c r="A3" s="270" t="s">
        <v>7</v>
      </c>
      <c r="B3" s="271"/>
      <c r="C3" s="272"/>
      <c r="D3" s="232">
        <v>155</v>
      </c>
      <c r="E3" s="232">
        <v>742</v>
      </c>
      <c r="F3" s="232">
        <v>207</v>
      </c>
      <c r="G3" s="232">
        <v>995</v>
      </c>
      <c r="H3" s="228">
        <v>188</v>
      </c>
      <c r="I3" s="228">
        <v>789</v>
      </c>
      <c r="J3" s="233">
        <v>163</v>
      </c>
      <c r="K3" s="233">
        <v>735</v>
      </c>
      <c r="L3" s="233">
        <v>160</v>
      </c>
      <c r="M3" s="233">
        <v>641</v>
      </c>
      <c r="N3" s="229">
        <v>189</v>
      </c>
      <c r="O3" s="229">
        <v>643</v>
      </c>
      <c r="P3" s="234">
        <v>285</v>
      </c>
      <c r="Q3" s="234">
        <v>690</v>
      </c>
      <c r="R3" s="234">
        <v>404</v>
      </c>
      <c r="S3" s="234">
        <v>898</v>
      </c>
      <c r="T3" s="230">
        <v>490</v>
      </c>
      <c r="U3" s="230">
        <v>847</v>
      </c>
      <c r="V3" s="235">
        <v>646</v>
      </c>
      <c r="W3" s="235">
        <v>1067</v>
      </c>
      <c r="X3" s="235">
        <v>775</v>
      </c>
      <c r="Y3" s="235">
        <v>1173</v>
      </c>
      <c r="Z3" s="231">
        <v>972</v>
      </c>
      <c r="AA3" s="231">
        <v>1411</v>
      </c>
    </row>
    <row r="4" spans="1:27">
      <c r="A4" s="236" t="s">
        <v>8</v>
      </c>
      <c r="B4" s="237" t="s">
        <v>9</v>
      </c>
      <c r="C4" s="237" t="s">
        <v>10</v>
      </c>
      <c r="D4" s="264">
        <v>46138</v>
      </c>
      <c r="E4" s="265"/>
      <c r="F4" s="264">
        <v>46168</v>
      </c>
      <c r="G4" s="265"/>
      <c r="H4" s="264">
        <v>46199</v>
      </c>
      <c r="I4" s="265"/>
      <c r="J4" s="264">
        <v>46229</v>
      </c>
      <c r="K4" s="265"/>
      <c r="L4" s="264">
        <v>46260</v>
      </c>
      <c r="M4" s="265"/>
      <c r="N4" s="264">
        <v>46291</v>
      </c>
      <c r="O4" s="265"/>
      <c r="P4" s="264">
        <v>46321</v>
      </c>
      <c r="Q4" s="265"/>
      <c r="R4" s="264">
        <v>46352</v>
      </c>
      <c r="S4" s="265"/>
      <c r="T4" s="264">
        <v>46382</v>
      </c>
      <c r="U4" s="265"/>
      <c r="V4" s="264">
        <v>46049</v>
      </c>
      <c r="W4" s="265"/>
      <c r="X4" s="264">
        <v>46080</v>
      </c>
      <c r="Y4" s="265"/>
      <c r="Z4" s="264">
        <v>46108</v>
      </c>
      <c r="AA4" s="265"/>
    </row>
    <row r="5" spans="1:27">
      <c r="A5" s="238">
        <v>1</v>
      </c>
      <c r="B5" s="239" t="s">
        <v>11</v>
      </c>
      <c r="C5" s="239" t="s">
        <v>12</v>
      </c>
      <c r="D5" s="232">
        <v>0</v>
      </c>
      <c r="E5" s="232">
        <v>152</v>
      </c>
      <c r="F5" s="232">
        <v>0</v>
      </c>
      <c r="G5" s="232">
        <v>184</v>
      </c>
      <c r="H5" s="232">
        <v>0</v>
      </c>
      <c r="I5" s="232">
        <v>168</v>
      </c>
      <c r="J5" s="233">
        <v>0</v>
      </c>
      <c r="K5" s="233">
        <v>152</v>
      </c>
      <c r="L5" s="233">
        <v>6</v>
      </c>
      <c r="M5" s="233">
        <v>101</v>
      </c>
      <c r="N5" s="233">
        <v>6</v>
      </c>
      <c r="O5" s="233">
        <v>108</v>
      </c>
      <c r="P5" s="234">
        <v>19</v>
      </c>
      <c r="Q5" s="234">
        <v>152</v>
      </c>
      <c r="R5" s="234">
        <v>38</v>
      </c>
      <c r="S5" s="234">
        <v>155</v>
      </c>
      <c r="T5" s="234">
        <v>60</v>
      </c>
      <c r="U5" s="234">
        <v>139</v>
      </c>
      <c r="V5" s="235">
        <v>89</v>
      </c>
      <c r="W5" s="235">
        <v>171</v>
      </c>
      <c r="X5" s="235">
        <v>114</v>
      </c>
      <c r="Y5" s="235">
        <v>171</v>
      </c>
      <c r="Z5" s="235">
        <v>165</v>
      </c>
      <c r="AA5" s="235">
        <v>184</v>
      </c>
    </row>
    <row r="6" spans="1:27">
      <c r="A6" s="238" t="s">
        <v>13</v>
      </c>
      <c r="B6" s="239" t="s">
        <v>14</v>
      </c>
      <c r="C6" s="239" t="s">
        <v>12</v>
      </c>
      <c r="D6" s="232">
        <v>0</v>
      </c>
      <c r="E6" s="232">
        <v>59</v>
      </c>
      <c r="F6" s="232">
        <v>0</v>
      </c>
      <c r="G6" s="232">
        <v>71</v>
      </c>
      <c r="H6" s="232">
        <v>0</v>
      </c>
      <c r="I6" s="232">
        <v>67</v>
      </c>
      <c r="J6" s="233">
        <v>0</v>
      </c>
      <c r="K6" s="233">
        <v>59</v>
      </c>
      <c r="L6" s="233">
        <v>0</v>
      </c>
      <c r="M6" s="233">
        <v>54</v>
      </c>
      <c r="N6" s="233">
        <v>0</v>
      </c>
      <c r="O6" s="233">
        <v>57</v>
      </c>
      <c r="P6" s="234">
        <v>7</v>
      </c>
      <c r="Q6" s="234">
        <v>57</v>
      </c>
      <c r="R6" s="234">
        <v>10</v>
      </c>
      <c r="S6" s="234">
        <v>67</v>
      </c>
      <c r="T6" s="234">
        <v>22</v>
      </c>
      <c r="U6" s="234">
        <v>57</v>
      </c>
      <c r="V6" s="235">
        <v>27</v>
      </c>
      <c r="W6" s="235">
        <v>64</v>
      </c>
      <c r="X6" s="235">
        <v>44</v>
      </c>
      <c r="Y6" s="235">
        <v>54</v>
      </c>
      <c r="Z6" s="235">
        <v>71</v>
      </c>
      <c r="AA6" s="235">
        <v>67</v>
      </c>
    </row>
    <row r="7" spans="1:27">
      <c r="A7" s="238">
        <v>3</v>
      </c>
      <c r="B7" s="239" t="s">
        <v>15</v>
      </c>
      <c r="C7" s="239" t="s">
        <v>12</v>
      </c>
      <c r="D7" s="232">
        <v>0</v>
      </c>
      <c r="E7" s="232">
        <v>20</v>
      </c>
      <c r="F7" s="232">
        <v>0</v>
      </c>
      <c r="G7" s="232">
        <v>24</v>
      </c>
      <c r="H7" s="232">
        <v>0</v>
      </c>
      <c r="I7" s="232">
        <v>24</v>
      </c>
      <c r="J7" s="233">
        <v>0</v>
      </c>
      <c r="K7" s="233">
        <v>20</v>
      </c>
      <c r="L7" s="233">
        <v>0</v>
      </c>
      <c r="M7" s="233">
        <v>16</v>
      </c>
      <c r="N7" s="233">
        <v>0</v>
      </c>
      <c r="O7" s="233">
        <v>16</v>
      </c>
      <c r="P7" s="234">
        <v>4</v>
      </c>
      <c r="Q7" s="234">
        <v>20</v>
      </c>
      <c r="R7" s="234">
        <v>4</v>
      </c>
      <c r="S7" s="234">
        <v>20</v>
      </c>
      <c r="T7" s="234">
        <v>12</v>
      </c>
      <c r="U7" s="234">
        <v>16</v>
      </c>
      <c r="V7" s="235">
        <v>16</v>
      </c>
      <c r="W7" s="235">
        <v>16</v>
      </c>
      <c r="X7" s="235">
        <v>20</v>
      </c>
      <c r="Y7" s="235">
        <v>20</v>
      </c>
      <c r="Z7" s="235">
        <v>28</v>
      </c>
      <c r="AA7" s="235">
        <v>20</v>
      </c>
    </row>
    <row r="8" spans="1:27">
      <c r="A8" s="238">
        <v>4</v>
      </c>
      <c r="B8" s="239" t="s">
        <v>16</v>
      </c>
      <c r="C8" s="239" t="s">
        <v>12</v>
      </c>
      <c r="D8" s="232">
        <v>0</v>
      </c>
      <c r="E8" s="232">
        <v>81</v>
      </c>
      <c r="F8" s="232">
        <v>0</v>
      </c>
      <c r="G8" s="232">
        <v>104</v>
      </c>
      <c r="H8" s="232">
        <v>0</v>
      </c>
      <c r="I8" s="232">
        <v>92</v>
      </c>
      <c r="J8" s="233">
        <v>0</v>
      </c>
      <c r="K8" s="233">
        <v>81</v>
      </c>
      <c r="L8" s="233">
        <v>0</v>
      </c>
      <c r="M8" s="233">
        <v>72</v>
      </c>
      <c r="N8" s="233">
        <v>0</v>
      </c>
      <c r="O8" s="233">
        <v>77</v>
      </c>
      <c r="P8" s="234">
        <v>7</v>
      </c>
      <c r="Q8" s="234">
        <v>86</v>
      </c>
      <c r="R8" s="234">
        <v>18</v>
      </c>
      <c r="S8" s="234">
        <v>90</v>
      </c>
      <c r="T8" s="234">
        <v>36</v>
      </c>
      <c r="U8" s="234">
        <v>77</v>
      </c>
      <c r="V8" s="235">
        <v>54</v>
      </c>
      <c r="W8" s="235">
        <v>99</v>
      </c>
      <c r="X8" s="235">
        <v>63</v>
      </c>
      <c r="Y8" s="235">
        <v>108</v>
      </c>
      <c r="Z8" s="235">
        <v>88</v>
      </c>
      <c r="AA8" s="235">
        <v>104</v>
      </c>
    </row>
    <row r="9" spans="1:27" s="242" customFormat="1">
      <c r="A9" s="240">
        <v>5</v>
      </c>
      <c r="B9" s="241" t="s">
        <v>17</v>
      </c>
      <c r="C9" s="241" t="s">
        <v>12</v>
      </c>
      <c r="D9" s="241">
        <v>23</v>
      </c>
      <c r="E9" s="241">
        <v>0</v>
      </c>
      <c r="F9" s="241">
        <v>28</v>
      </c>
      <c r="G9" s="241">
        <v>0</v>
      </c>
      <c r="H9" s="241">
        <v>25</v>
      </c>
      <c r="I9" s="241">
        <v>0</v>
      </c>
      <c r="J9" s="241">
        <v>23</v>
      </c>
      <c r="K9" s="241">
        <v>0</v>
      </c>
      <c r="L9" s="241">
        <v>17</v>
      </c>
      <c r="M9" s="241">
        <v>0</v>
      </c>
      <c r="N9" s="241">
        <v>20</v>
      </c>
      <c r="O9" s="241">
        <v>0</v>
      </c>
      <c r="P9" s="241">
        <v>25</v>
      </c>
      <c r="Q9" s="241">
        <v>0</v>
      </c>
      <c r="R9" s="241">
        <v>31</v>
      </c>
      <c r="S9" s="241">
        <v>0</v>
      </c>
      <c r="T9" s="241">
        <v>34</v>
      </c>
      <c r="U9" s="241">
        <v>0</v>
      </c>
      <c r="V9" s="241">
        <v>42</v>
      </c>
      <c r="W9" s="241">
        <v>0</v>
      </c>
      <c r="X9" s="241">
        <v>48</v>
      </c>
      <c r="Y9" s="241">
        <v>0</v>
      </c>
      <c r="Z9" s="241">
        <v>57</v>
      </c>
      <c r="AA9" s="241">
        <v>28</v>
      </c>
    </row>
    <row r="10" spans="1:27">
      <c r="A10" s="238">
        <v>6</v>
      </c>
      <c r="B10" s="239" t="s">
        <v>18</v>
      </c>
      <c r="C10" s="239" t="s">
        <v>12</v>
      </c>
      <c r="D10" s="232">
        <v>0</v>
      </c>
      <c r="E10" s="232">
        <v>26</v>
      </c>
      <c r="F10" s="232">
        <v>0</v>
      </c>
      <c r="G10" s="232">
        <v>39</v>
      </c>
      <c r="H10" s="232">
        <v>0</v>
      </c>
      <c r="I10" s="232">
        <v>32</v>
      </c>
      <c r="J10" s="233">
        <v>0</v>
      </c>
      <c r="K10" s="233">
        <v>26</v>
      </c>
      <c r="L10" s="233">
        <v>6</v>
      </c>
      <c r="M10" s="233">
        <v>19</v>
      </c>
      <c r="N10" s="233">
        <v>13</v>
      </c>
      <c r="O10" s="233">
        <v>13</v>
      </c>
      <c r="P10" s="234">
        <v>19</v>
      </c>
      <c r="Q10" s="234">
        <v>6</v>
      </c>
      <c r="R10" s="234">
        <v>39</v>
      </c>
      <c r="S10" s="234">
        <v>0</v>
      </c>
      <c r="T10" s="234">
        <v>39</v>
      </c>
      <c r="U10" s="234">
        <v>0</v>
      </c>
      <c r="V10" s="235">
        <v>52</v>
      </c>
      <c r="W10" s="235">
        <v>0</v>
      </c>
      <c r="X10" s="235">
        <v>58</v>
      </c>
      <c r="Y10" s="235">
        <v>0</v>
      </c>
      <c r="Z10" s="235">
        <v>64</v>
      </c>
      <c r="AA10" s="235">
        <v>0</v>
      </c>
    </row>
    <row r="11" spans="1:27" s="242" customFormat="1">
      <c r="A11" s="240">
        <v>7</v>
      </c>
      <c r="B11" s="241" t="s">
        <v>19</v>
      </c>
      <c r="C11" s="241" t="s">
        <v>12</v>
      </c>
      <c r="D11" s="241">
        <v>20</v>
      </c>
      <c r="E11" s="241">
        <v>0</v>
      </c>
      <c r="F11" s="241">
        <v>27</v>
      </c>
      <c r="G11" s="241">
        <v>0</v>
      </c>
      <c r="H11" s="241">
        <v>20</v>
      </c>
      <c r="I11" s="241">
        <v>0</v>
      </c>
      <c r="J11" s="241">
        <v>20</v>
      </c>
      <c r="K11" s="241">
        <v>0</v>
      </c>
      <c r="L11" s="241">
        <v>14</v>
      </c>
      <c r="M11" s="241">
        <v>0</v>
      </c>
      <c r="N11" s="241">
        <v>20</v>
      </c>
      <c r="O11" s="241">
        <v>0</v>
      </c>
      <c r="P11" s="241">
        <v>20</v>
      </c>
      <c r="Q11" s="241">
        <v>0</v>
      </c>
      <c r="R11" s="241">
        <v>27</v>
      </c>
      <c r="S11" s="241">
        <v>0</v>
      </c>
      <c r="T11" s="241">
        <v>27</v>
      </c>
      <c r="U11" s="241">
        <v>0</v>
      </c>
      <c r="V11" s="241">
        <v>41</v>
      </c>
      <c r="W11" s="241">
        <v>0</v>
      </c>
      <c r="X11" s="241">
        <v>41</v>
      </c>
      <c r="Y11" s="241">
        <v>0</v>
      </c>
      <c r="Z11" s="241">
        <v>54</v>
      </c>
      <c r="AA11" s="241">
        <v>0</v>
      </c>
    </row>
    <row r="12" spans="1:27" s="242" customFormat="1">
      <c r="A12" s="240">
        <v>8</v>
      </c>
      <c r="B12" s="241" t="s">
        <v>20</v>
      </c>
      <c r="C12" s="241" t="s">
        <v>12</v>
      </c>
      <c r="D12" s="241">
        <v>5</v>
      </c>
      <c r="E12" s="241">
        <v>0</v>
      </c>
      <c r="F12" s="241">
        <v>5</v>
      </c>
      <c r="G12" s="241">
        <v>0</v>
      </c>
      <c r="H12" s="241">
        <v>5</v>
      </c>
      <c r="I12" s="241">
        <v>0</v>
      </c>
      <c r="J12" s="241">
        <v>5</v>
      </c>
      <c r="K12" s="241">
        <v>0</v>
      </c>
      <c r="L12" s="241">
        <v>5</v>
      </c>
      <c r="M12" s="241">
        <v>0</v>
      </c>
      <c r="N12" s="241">
        <v>5</v>
      </c>
      <c r="O12" s="241">
        <v>0</v>
      </c>
      <c r="P12" s="241">
        <v>5</v>
      </c>
      <c r="Q12" s="241">
        <v>0</v>
      </c>
      <c r="R12" s="241">
        <v>5</v>
      </c>
      <c r="S12" s="241">
        <v>0</v>
      </c>
      <c r="T12" s="241">
        <v>5</v>
      </c>
      <c r="U12" s="241">
        <v>0</v>
      </c>
      <c r="V12" s="241">
        <v>5</v>
      </c>
      <c r="W12" s="241">
        <v>0</v>
      </c>
      <c r="X12" s="241">
        <v>11</v>
      </c>
      <c r="Y12" s="241">
        <v>0</v>
      </c>
      <c r="Z12" s="241">
        <v>11</v>
      </c>
      <c r="AA12" s="241">
        <v>0</v>
      </c>
    </row>
    <row r="13" spans="1:27" s="242" customFormat="1">
      <c r="A13" s="240">
        <v>9</v>
      </c>
      <c r="B13" s="241" t="s">
        <v>21</v>
      </c>
      <c r="C13" s="241" t="s">
        <v>22</v>
      </c>
      <c r="D13" s="241">
        <v>4</v>
      </c>
      <c r="E13" s="241">
        <v>0</v>
      </c>
      <c r="F13" s="241">
        <v>8</v>
      </c>
      <c r="G13" s="241">
        <v>0</v>
      </c>
      <c r="H13" s="241">
        <v>8</v>
      </c>
      <c r="I13" s="241">
        <v>0</v>
      </c>
      <c r="J13" s="241">
        <v>4</v>
      </c>
      <c r="K13" s="241">
        <v>0</v>
      </c>
      <c r="L13" s="241">
        <v>4</v>
      </c>
      <c r="M13" s="241">
        <v>0</v>
      </c>
      <c r="N13" s="241">
        <v>4</v>
      </c>
      <c r="O13" s="241">
        <v>0</v>
      </c>
      <c r="P13" s="241">
        <v>8</v>
      </c>
      <c r="Q13" s="241">
        <v>0</v>
      </c>
      <c r="R13" s="241">
        <v>8</v>
      </c>
      <c r="S13" s="241">
        <v>0</v>
      </c>
      <c r="T13" s="241">
        <v>8</v>
      </c>
      <c r="U13" s="241">
        <v>0</v>
      </c>
      <c r="V13" s="241">
        <v>12</v>
      </c>
      <c r="W13" s="241">
        <v>0</v>
      </c>
      <c r="X13" s="241">
        <v>16</v>
      </c>
      <c r="Y13" s="241">
        <v>0</v>
      </c>
      <c r="Z13" s="241">
        <v>16</v>
      </c>
      <c r="AA13" s="241">
        <v>0</v>
      </c>
    </row>
    <row r="14" spans="1:27" s="242" customFormat="1">
      <c r="A14" s="240">
        <v>10</v>
      </c>
      <c r="B14" s="241" t="s">
        <v>23</v>
      </c>
      <c r="C14" s="241" t="s">
        <v>22</v>
      </c>
      <c r="D14" s="241">
        <v>38</v>
      </c>
      <c r="E14" s="241">
        <v>58</v>
      </c>
      <c r="F14" s="241">
        <v>53</v>
      </c>
      <c r="G14" s="241">
        <v>62</v>
      </c>
      <c r="H14" s="241">
        <v>48</v>
      </c>
      <c r="I14" s="241">
        <v>58</v>
      </c>
      <c r="J14" s="241">
        <v>38</v>
      </c>
      <c r="K14" s="241">
        <v>58</v>
      </c>
      <c r="L14" s="241">
        <v>34</v>
      </c>
      <c r="M14" s="241">
        <v>53</v>
      </c>
      <c r="N14" s="241">
        <v>38</v>
      </c>
      <c r="O14" s="241">
        <v>53</v>
      </c>
      <c r="P14" s="241">
        <v>53</v>
      </c>
      <c r="Q14" s="241">
        <v>53</v>
      </c>
      <c r="R14" s="241">
        <v>72</v>
      </c>
      <c r="S14" s="241">
        <v>48</v>
      </c>
      <c r="T14" s="241">
        <v>77</v>
      </c>
      <c r="U14" s="241">
        <v>48</v>
      </c>
      <c r="V14" s="241">
        <v>91</v>
      </c>
      <c r="W14" s="241">
        <v>48</v>
      </c>
      <c r="X14" s="241">
        <v>106</v>
      </c>
      <c r="Y14" s="241">
        <v>48</v>
      </c>
      <c r="Z14" s="241">
        <v>125</v>
      </c>
      <c r="AA14" s="241">
        <v>96</v>
      </c>
    </row>
    <row r="15" spans="1:27" s="242" customFormat="1">
      <c r="A15" s="240">
        <v>11</v>
      </c>
      <c r="B15" s="241" t="s">
        <v>24</v>
      </c>
      <c r="C15" s="241" t="s">
        <v>22</v>
      </c>
      <c r="D15" s="241">
        <v>12</v>
      </c>
      <c r="E15" s="241">
        <v>32</v>
      </c>
      <c r="F15" s="241">
        <v>16</v>
      </c>
      <c r="G15" s="241">
        <v>39</v>
      </c>
      <c r="H15" s="241">
        <v>20</v>
      </c>
      <c r="I15" s="241">
        <v>32</v>
      </c>
      <c r="J15" s="241">
        <v>20</v>
      </c>
      <c r="K15" s="241">
        <v>24</v>
      </c>
      <c r="L15" s="241">
        <v>20</v>
      </c>
      <c r="M15" s="241">
        <v>20</v>
      </c>
      <c r="N15" s="241">
        <v>20</v>
      </c>
      <c r="O15" s="241">
        <v>20</v>
      </c>
      <c r="P15" s="241">
        <v>36</v>
      </c>
      <c r="Q15" s="241">
        <v>20</v>
      </c>
      <c r="R15" s="241">
        <v>47</v>
      </c>
      <c r="S15" s="241">
        <v>16</v>
      </c>
      <c r="T15" s="241">
        <v>55</v>
      </c>
      <c r="U15" s="241">
        <v>8</v>
      </c>
      <c r="V15" s="241">
        <v>75</v>
      </c>
      <c r="W15" s="241">
        <v>47</v>
      </c>
      <c r="X15" s="241">
        <v>95</v>
      </c>
      <c r="Y15" s="241">
        <v>39</v>
      </c>
      <c r="Z15" s="241">
        <v>107</v>
      </c>
      <c r="AA15" s="241">
        <v>39</v>
      </c>
    </row>
    <row r="16" spans="1:27">
      <c r="A16" s="238">
        <v>12</v>
      </c>
      <c r="B16" s="239" t="s">
        <v>24</v>
      </c>
      <c r="C16" s="239" t="s">
        <v>12</v>
      </c>
      <c r="D16" s="232">
        <v>0</v>
      </c>
      <c r="E16" s="232">
        <v>0</v>
      </c>
      <c r="F16" s="232">
        <v>0</v>
      </c>
      <c r="G16" s="232">
        <v>0</v>
      </c>
      <c r="H16" s="232">
        <v>0</v>
      </c>
      <c r="I16" s="232">
        <v>0</v>
      </c>
      <c r="J16" s="233">
        <v>0</v>
      </c>
      <c r="K16" s="233">
        <v>0</v>
      </c>
      <c r="L16" s="233">
        <v>0</v>
      </c>
      <c r="M16" s="233">
        <v>0</v>
      </c>
      <c r="N16" s="233">
        <v>0</v>
      </c>
      <c r="O16" s="233">
        <v>0</v>
      </c>
      <c r="P16" s="234">
        <v>0</v>
      </c>
      <c r="Q16" s="234">
        <v>0</v>
      </c>
      <c r="R16" s="234">
        <v>0</v>
      </c>
      <c r="S16" s="234">
        <v>0</v>
      </c>
      <c r="T16" s="234">
        <v>4</v>
      </c>
      <c r="U16" s="234">
        <v>0</v>
      </c>
      <c r="V16" s="235">
        <v>4</v>
      </c>
      <c r="W16" s="235">
        <v>0</v>
      </c>
      <c r="X16" s="235">
        <v>4</v>
      </c>
      <c r="Y16" s="235">
        <v>0</v>
      </c>
      <c r="Z16" s="235">
        <v>4</v>
      </c>
      <c r="AA16" s="235">
        <v>0</v>
      </c>
    </row>
    <row r="17" spans="1:27">
      <c r="A17" s="238">
        <v>12</v>
      </c>
      <c r="B17" s="239" t="s">
        <v>25</v>
      </c>
      <c r="C17" s="239" t="s">
        <v>22</v>
      </c>
      <c r="D17" s="232">
        <v>0</v>
      </c>
      <c r="E17" s="232">
        <v>4</v>
      </c>
      <c r="F17" s="232">
        <v>0</v>
      </c>
      <c r="G17" s="232">
        <v>6</v>
      </c>
      <c r="H17" s="232">
        <v>0</v>
      </c>
      <c r="I17" s="232">
        <v>6</v>
      </c>
      <c r="J17" s="233">
        <v>0</v>
      </c>
      <c r="K17" s="233">
        <v>4</v>
      </c>
      <c r="L17" s="233">
        <v>2</v>
      </c>
      <c r="M17" s="233">
        <v>2</v>
      </c>
      <c r="N17" s="233">
        <v>2</v>
      </c>
      <c r="O17" s="233">
        <v>2</v>
      </c>
      <c r="P17" s="234">
        <v>4</v>
      </c>
      <c r="Q17" s="234">
        <v>2</v>
      </c>
      <c r="R17" s="234">
        <v>6</v>
      </c>
      <c r="S17" s="234">
        <v>0</v>
      </c>
      <c r="T17" s="234">
        <v>8</v>
      </c>
      <c r="U17" s="234">
        <v>0</v>
      </c>
      <c r="V17" s="235">
        <v>10</v>
      </c>
      <c r="W17" s="235">
        <v>0</v>
      </c>
      <c r="X17" s="235">
        <v>10</v>
      </c>
      <c r="Y17" s="235">
        <v>0</v>
      </c>
      <c r="Z17" s="235">
        <v>13</v>
      </c>
      <c r="AA17" s="235">
        <v>0</v>
      </c>
    </row>
    <row r="18" spans="1:27">
      <c r="A18" s="238">
        <v>13</v>
      </c>
      <c r="B18" s="239" t="s">
        <v>26</v>
      </c>
      <c r="C18" s="239" t="s">
        <v>27</v>
      </c>
      <c r="D18" s="232">
        <v>0</v>
      </c>
      <c r="E18" s="232">
        <v>61</v>
      </c>
      <c r="F18" s="232">
        <v>0</v>
      </c>
      <c r="G18" s="232">
        <v>61</v>
      </c>
      <c r="H18" s="232">
        <v>0</v>
      </c>
      <c r="I18" s="232">
        <v>61</v>
      </c>
      <c r="J18" s="233">
        <v>0</v>
      </c>
      <c r="K18" s="233">
        <v>61</v>
      </c>
      <c r="L18" s="233">
        <v>0</v>
      </c>
      <c r="M18" s="233">
        <v>61</v>
      </c>
      <c r="N18" s="233">
        <v>0</v>
      </c>
      <c r="O18" s="233">
        <v>61</v>
      </c>
      <c r="P18" s="234">
        <v>0</v>
      </c>
      <c r="Q18" s="234">
        <v>61</v>
      </c>
      <c r="R18" s="234">
        <v>0</v>
      </c>
      <c r="S18" s="234">
        <v>122</v>
      </c>
      <c r="T18" s="234">
        <v>0</v>
      </c>
      <c r="U18" s="234">
        <v>122</v>
      </c>
      <c r="V18" s="235">
        <v>0</v>
      </c>
      <c r="W18" s="235">
        <v>122</v>
      </c>
      <c r="X18" s="235">
        <v>0</v>
      </c>
      <c r="Y18" s="235">
        <v>122</v>
      </c>
      <c r="Z18" s="235">
        <v>0</v>
      </c>
      <c r="AA18" s="235">
        <v>183</v>
      </c>
    </row>
    <row r="19" spans="1:27">
      <c r="A19" s="238">
        <v>14</v>
      </c>
      <c r="B19" s="239" t="s">
        <v>28</v>
      </c>
      <c r="C19" s="239" t="s">
        <v>27</v>
      </c>
      <c r="D19" s="232">
        <v>0</v>
      </c>
      <c r="E19" s="232">
        <v>159</v>
      </c>
      <c r="F19" s="232">
        <v>0</v>
      </c>
      <c r="G19" s="232">
        <v>239</v>
      </c>
      <c r="H19" s="232">
        <v>0</v>
      </c>
      <c r="I19" s="232">
        <v>159</v>
      </c>
      <c r="J19" s="233">
        <v>0</v>
      </c>
      <c r="K19" s="233">
        <v>159</v>
      </c>
      <c r="L19" s="233">
        <v>0</v>
      </c>
      <c r="M19" s="233">
        <v>159</v>
      </c>
      <c r="N19" s="233">
        <v>0</v>
      </c>
      <c r="O19" s="233">
        <v>159</v>
      </c>
      <c r="P19" s="234">
        <v>0</v>
      </c>
      <c r="Q19" s="234">
        <v>159</v>
      </c>
      <c r="R19" s="234">
        <v>0</v>
      </c>
      <c r="S19" s="234">
        <v>239</v>
      </c>
      <c r="T19" s="234">
        <v>0</v>
      </c>
      <c r="U19" s="234">
        <v>239</v>
      </c>
      <c r="V19" s="235">
        <v>0</v>
      </c>
      <c r="W19" s="235">
        <v>319</v>
      </c>
      <c r="X19" s="235">
        <v>0</v>
      </c>
      <c r="Y19" s="235">
        <v>319</v>
      </c>
      <c r="Z19" s="235">
        <v>0</v>
      </c>
      <c r="AA19" s="235">
        <v>398</v>
      </c>
    </row>
    <row r="20" spans="1:27">
      <c r="A20" s="238">
        <v>15</v>
      </c>
      <c r="B20" s="239" t="s">
        <v>29</v>
      </c>
      <c r="C20" s="239" t="s">
        <v>27</v>
      </c>
      <c r="D20" s="232">
        <v>0</v>
      </c>
      <c r="E20" s="232">
        <v>70</v>
      </c>
      <c r="F20" s="232">
        <v>0</v>
      </c>
      <c r="G20" s="232">
        <v>141</v>
      </c>
      <c r="H20" s="232">
        <v>0</v>
      </c>
      <c r="I20" s="232">
        <v>70</v>
      </c>
      <c r="J20" s="233">
        <v>0</v>
      </c>
      <c r="K20" s="233">
        <v>70</v>
      </c>
      <c r="L20" s="233">
        <v>0</v>
      </c>
      <c r="M20" s="233">
        <v>70</v>
      </c>
      <c r="N20" s="233">
        <v>0</v>
      </c>
      <c r="O20" s="233">
        <v>70</v>
      </c>
      <c r="P20" s="234">
        <v>0</v>
      </c>
      <c r="Q20" s="234">
        <v>70</v>
      </c>
      <c r="R20" s="234">
        <v>0</v>
      </c>
      <c r="S20" s="234">
        <v>141</v>
      </c>
      <c r="T20" s="234">
        <v>0</v>
      </c>
      <c r="U20" s="234">
        <v>141</v>
      </c>
      <c r="V20" s="235">
        <v>0</v>
      </c>
      <c r="W20" s="235">
        <v>141</v>
      </c>
      <c r="X20" s="235">
        <v>0</v>
      </c>
      <c r="Y20" s="235">
        <v>211</v>
      </c>
      <c r="Z20" s="235">
        <v>0</v>
      </c>
      <c r="AA20" s="235">
        <v>211</v>
      </c>
    </row>
    <row r="21" spans="1:27" s="242" customFormat="1">
      <c r="A21" s="240">
        <v>16</v>
      </c>
      <c r="B21" s="241" t="s">
        <v>30</v>
      </c>
      <c r="C21" s="241" t="s">
        <v>31</v>
      </c>
      <c r="D21" s="241">
        <v>52</v>
      </c>
      <c r="E21" s="241">
        <v>0</v>
      </c>
      <c r="F21" s="241">
        <v>70</v>
      </c>
      <c r="G21" s="241">
        <v>0</v>
      </c>
      <c r="H21" s="241">
        <v>61</v>
      </c>
      <c r="I21" s="241">
        <v>0</v>
      </c>
      <c r="J21" s="241">
        <v>52</v>
      </c>
      <c r="K21" s="241">
        <v>0</v>
      </c>
      <c r="L21" s="241">
        <v>43</v>
      </c>
      <c r="M21" s="241">
        <v>0</v>
      </c>
      <c r="N21" s="241">
        <v>48</v>
      </c>
      <c r="O21" s="241">
        <v>0</v>
      </c>
      <c r="P21" s="241">
        <v>61</v>
      </c>
      <c r="Q21" s="241">
        <v>0</v>
      </c>
      <c r="R21" s="241">
        <v>74</v>
      </c>
      <c r="S21" s="241">
        <v>0</v>
      </c>
      <c r="T21" s="241">
        <v>78</v>
      </c>
      <c r="U21" s="241">
        <v>0</v>
      </c>
      <c r="V21" s="241">
        <v>96</v>
      </c>
      <c r="W21" s="241">
        <v>0</v>
      </c>
      <c r="X21" s="241">
        <v>109</v>
      </c>
      <c r="Y21" s="241">
        <v>0</v>
      </c>
      <c r="Z21" s="241">
        <v>126</v>
      </c>
      <c r="AA21" s="241">
        <v>0</v>
      </c>
    </row>
    <row r="22" spans="1:27">
      <c r="A22" s="238">
        <v>17</v>
      </c>
      <c r="B22" s="239" t="s">
        <v>32</v>
      </c>
      <c r="C22" s="239" t="s">
        <v>33</v>
      </c>
      <c r="D22" s="232">
        <v>0</v>
      </c>
      <c r="E22" s="232">
        <v>12</v>
      </c>
      <c r="F22" s="232">
        <v>0</v>
      </c>
      <c r="G22" s="232">
        <v>16</v>
      </c>
      <c r="H22" s="232">
        <v>0</v>
      </c>
      <c r="I22" s="232">
        <v>12</v>
      </c>
      <c r="J22" s="233">
        <v>0</v>
      </c>
      <c r="K22" s="233">
        <v>12</v>
      </c>
      <c r="L22" s="233">
        <v>4</v>
      </c>
      <c r="M22" s="233">
        <v>8</v>
      </c>
      <c r="N22" s="233">
        <v>8</v>
      </c>
      <c r="O22" s="233">
        <v>4</v>
      </c>
      <c r="P22" s="234">
        <v>12</v>
      </c>
      <c r="Q22" s="234">
        <v>4</v>
      </c>
      <c r="R22" s="234">
        <v>16</v>
      </c>
      <c r="S22" s="234">
        <v>0</v>
      </c>
      <c r="T22" s="234">
        <v>16</v>
      </c>
      <c r="U22" s="234">
        <v>0</v>
      </c>
      <c r="V22" s="235">
        <v>20</v>
      </c>
      <c r="W22" s="235">
        <v>40</v>
      </c>
      <c r="X22" s="235">
        <v>24</v>
      </c>
      <c r="Y22" s="235">
        <v>40</v>
      </c>
      <c r="Z22" s="235">
        <v>28</v>
      </c>
      <c r="AA22" s="235">
        <v>40</v>
      </c>
    </row>
    <row r="23" spans="1:27">
      <c r="A23" s="238">
        <v>18</v>
      </c>
      <c r="B23" s="239" t="s">
        <v>34</v>
      </c>
      <c r="C23" s="239" t="s">
        <v>33</v>
      </c>
      <c r="D23" s="232">
        <v>0</v>
      </c>
      <c r="E23" s="232">
        <v>8</v>
      </c>
      <c r="F23" s="232">
        <v>0</v>
      </c>
      <c r="G23" s="232">
        <v>8</v>
      </c>
      <c r="H23" s="232">
        <v>0</v>
      </c>
      <c r="I23" s="232">
        <v>8</v>
      </c>
      <c r="J23" s="233">
        <v>0</v>
      </c>
      <c r="K23" s="233">
        <v>8</v>
      </c>
      <c r="L23" s="233">
        <v>4</v>
      </c>
      <c r="M23" s="233">
        <v>4</v>
      </c>
      <c r="N23" s="233">
        <v>4</v>
      </c>
      <c r="O23" s="233">
        <v>4</v>
      </c>
      <c r="P23" s="234">
        <v>4</v>
      </c>
      <c r="Q23" s="234">
        <v>0</v>
      </c>
      <c r="R23" s="234">
        <v>8</v>
      </c>
      <c r="S23" s="234">
        <v>0</v>
      </c>
      <c r="T23" s="234">
        <v>8</v>
      </c>
      <c r="U23" s="234">
        <v>0</v>
      </c>
      <c r="V23" s="235">
        <v>12</v>
      </c>
      <c r="W23" s="235">
        <v>0</v>
      </c>
      <c r="X23" s="235">
        <v>12</v>
      </c>
      <c r="Y23" s="235">
        <v>0</v>
      </c>
      <c r="Z23" s="235">
        <v>16</v>
      </c>
      <c r="AA23" s="235">
        <v>0</v>
      </c>
    </row>
    <row r="24" spans="1:27">
      <c r="A24" s="238">
        <v>19</v>
      </c>
      <c r="B24" s="239" t="s">
        <v>35</v>
      </c>
      <c r="C24" s="239" t="s">
        <v>27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3">
        <v>0</v>
      </c>
      <c r="K24" s="233">
        <v>0</v>
      </c>
      <c r="L24" s="233">
        <v>0</v>
      </c>
      <c r="M24" s="233">
        <v>0</v>
      </c>
      <c r="N24" s="233">
        <v>0</v>
      </c>
      <c r="O24" s="233">
        <v>0</v>
      </c>
      <c r="P24" s="234">
        <v>0</v>
      </c>
      <c r="Q24" s="234">
        <v>0</v>
      </c>
      <c r="R24" s="234">
        <v>0</v>
      </c>
      <c r="S24" s="234">
        <v>0</v>
      </c>
      <c r="T24" s="234">
        <v>0</v>
      </c>
      <c r="U24" s="234">
        <v>0</v>
      </c>
      <c r="V24" s="235">
        <v>0</v>
      </c>
      <c r="W24" s="235">
        <v>0</v>
      </c>
      <c r="X24" s="235">
        <v>0</v>
      </c>
      <c r="Y24" s="235">
        <v>40</v>
      </c>
      <c r="Z24" s="235">
        <v>0</v>
      </c>
      <c r="AA24" s="235">
        <v>40</v>
      </c>
    </row>
    <row r="26" spans="1:27">
      <c r="A26" s="225">
        <v>388767115.38461536</v>
      </c>
    </row>
  </sheetData>
  <mergeCells count="17">
    <mergeCell ref="Z4:AA4"/>
    <mergeCell ref="N4:O4"/>
    <mergeCell ref="P4:Q4"/>
    <mergeCell ref="R4:S4"/>
    <mergeCell ref="T4:U4"/>
    <mergeCell ref="V4:W4"/>
    <mergeCell ref="X4:Y4"/>
    <mergeCell ref="D1:I1"/>
    <mergeCell ref="J1:O1"/>
    <mergeCell ref="P1:U1"/>
    <mergeCell ref="V1:AA1"/>
    <mergeCell ref="A3:C3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3C14-4286-411E-847A-CF3242FD8220}">
  <dimension ref="A1:AC60"/>
  <sheetViews>
    <sheetView workbookViewId="0">
      <selection activeCell="B28" sqref="B28"/>
    </sheetView>
  </sheetViews>
  <sheetFormatPr defaultRowHeight="12"/>
  <cols>
    <col min="1" max="1" width="67" style="129" customWidth="1"/>
    <col min="2" max="2" width="55.5703125" style="175" customWidth="1"/>
    <col min="3" max="3" width="15.140625" style="129" customWidth="1"/>
    <col min="4" max="4" width="24.42578125" style="129" customWidth="1"/>
    <col min="5" max="16" width="15.140625" style="129" customWidth="1"/>
    <col min="17" max="18" width="14" style="129" customWidth="1"/>
    <col min="19" max="19" width="22.85546875" style="129" customWidth="1"/>
    <col min="20" max="23" width="22.5703125" style="129" customWidth="1"/>
    <col min="24" max="16384" width="9.140625" style="129"/>
  </cols>
  <sheetData>
    <row r="1" spans="1:29">
      <c r="A1" s="127" t="s">
        <v>36</v>
      </c>
      <c r="B1" s="128">
        <v>42</v>
      </c>
    </row>
    <row r="2" spans="1:29">
      <c r="A2" s="127" t="s">
        <v>37</v>
      </c>
      <c r="B2" s="128">
        <v>27000</v>
      </c>
    </row>
    <row r="3" spans="1:29">
      <c r="A3" s="127" t="s">
        <v>38</v>
      </c>
      <c r="B3" s="128">
        <v>20</v>
      </c>
    </row>
    <row r="4" spans="1:29">
      <c r="A4" s="127" t="s">
        <v>39</v>
      </c>
      <c r="B4" s="128">
        <v>6230.7692307692305</v>
      </c>
    </row>
    <row r="5" spans="1:29">
      <c r="A5" s="127" t="s">
        <v>40</v>
      </c>
      <c r="B5" s="128">
        <v>2015</v>
      </c>
      <c r="D5" s="129" t="s">
        <v>41</v>
      </c>
    </row>
    <row r="6" spans="1:29">
      <c r="A6" s="130" t="s">
        <v>42</v>
      </c>
      <c r="B6" s="131">
        <v>1310</v>
      </c>
      <c r="C6" s="132"/>
      <c r="D6" s="133" t="s">
        <v>43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4"/>
      <c r="Q6" s="134"/>
      <c r="R6" s="134"/>
    </row>
    <row r="7" spans="1:29">
      <c r="A7" s="130" t="s">
        <v>44</v>
      </c>
      <c r="B7" s="131">
        <v>250</v>
      </c>
      <c r="C7" s="13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  <c r="Q7" s="134"/>
      <c r="R7" s="134"/>
    </row>
    <row r="8" spans="1:29">
      <c r="B8" s="135"/>
      <c r="C8" s="136" t="s">
        <v>45</v>
      </c>
      <c r="D8" s="137">
        <v>46048</v>
      </c>
      <c r="E8" s="138">
        <v>46168</v>
      </c>
      <c r="F8" s="138">
        <v>46199</v>
      </c>
      <c r="G8" s="138">
        <v>46229</v>
      </c>
      <c r="H8" s="138">
        <v>46260</v>
      </c>
      <c r="I8" s="138">
        <v>46291</v>
      </c>
      <c r="J8" s="138">
        <v>46321</v>
      </c>
      <c r="K8" s="138">
        <v>46352</v>
      </c>
      <c r="L8" s="138">
        <v>46382</v>
      </c>
      <c r="M8" s="138">
        <v>46413</v>
      </c>
      <c r="N8" s="138">
        <v>46444</v>
      </c>
      <c r="O8" s="138">
        <v>46472</v>
      </c>
      <c r="P8" s="134"/>
      <c r="Q8" s="139" t="s">
        <v>46</v>
      </c>
      <c r="R8" s="134"/>
      <c r="S8" s="140" t="s">
        <v>47</v>
      </c>
      <c r="T8" s="141" t="s">
        <v>48</v>
      </c>
      <c r="U8" s="141" t="s">
        <v>49</v>
      </c>
      <c r="V8" s="141" t="s">
        <v>50</v>
      </c>
      <c r="W8" s="141" t="s">
        <v>51</v>
      </c>
    </row>
    <row r="9" spans="1:29">
      <c r="A9" s="142"/>
      <c r="B9" s="143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34"/>
      <c r="Q9" s="133"/>
      <c r="R9" s="134"/>
      <c r="S9" s="144" t="s">
        <v>52</v>
      </c>
      <c r="T9" s="181">
        <f>SUM(D54:F54)</f>
        <v>66877908.455181181</v>
      </c>
      <c r="U9" s="181">
        <f>SUM(G54:I54)</f>
        <v>31564253.019707568</v>
      </c>
      <c r="V9" s="181">
        <f>SUM(J54:L54)</f>
        <v>76659596.312778115</v>
      </c>
      <c r="W9" s="181">
        <f>SUM(M54:O54)</f>
        <v>52307088.366179273</v>
      </c>
      <c r="Z9" s="129">
        <f>121/(100/Z10)</f>
        <v>30.25</v>
      </c>
      <c r="AA9" s="129">
        <f>121/(100/AA10)</f>
        <v>18.149999999999999</v>
      </c>
      <c r="AB9" s="129">
        <f>121/(100/AB10)</f>
        <v>42.35</v>
      </c>
      <c r="AC9" s="129">
        <f>121/(100/AC10)</f>
        <v>30.25</v>
      </c>
    </row>
    <row r="10" spans="1:29" ht="12.75">
      <c r="A10" s="145" t="s">
        <v>53</v>
      </c>
      <c r="B10" s="273" t="s">
        <v>54</v>
      </c>
      <c r="C10" s="147">
        <f>SUM(C12:C20)</f>
        <v>125600000</v>
      </c>
      <c r="D10" s="148">
        <f>SUM(D12:D20)</f>
        <v>9342148.7603305783</v>
      </c>
      <c r="E10" s="148">
        <f t="shared" ref="E10:O10" si="0">SUM(E12:E20)</f>
        <v>12456198.347107438</v>
      </c>
      <c r="F10" s="148">
        <f t="shared" si="0"/>
        <v>9342148.7603305783</v>
      </c>
      <c r="G10" s="148">
        <f t="shared" si="0"/>
        <v>6228099.1735537192</v>
      </c>
      <c r="H10" s="148">
        <f t="shared" si="0"/>
        <v>6228099.1735537192</v>
      </c>
      <c r="I10" s="148">
        <f t="shared" si="0"/>
        <v>6228099.1735537192</v>
      </c>
      <c r="J10" s="148">
        <f t="shared" si="0"/>
        <v>15570247.933884297</v>
      </c>
      <c r="K10" s="148">
        <f t="shared" si="0"/>
        <v>13494214.876033057</v>
      </c>
      <c r="L10" s="148">
        <f t="shared" si="0"/>
        <v>15570247.933884297</v>
      </c>
      <c r="M10" s="148">
        <f t="shared" si="0"/>
        <v>12456198.347107438</v>
      </c>
      <c r="N10" s="148">
        <f t="shared" si="0"/>
        <v>9342148.7603305783</v>
      </c>
      <c r="O10" s="148">
        <f t="shared" si="0"/>
        <v>9342148.7603305783</v>
      </c>
      <c r="P10" s="149"/>
      <c r="Q10" s="133"/>
      <c r="R10" s="134"/>
      <c r="S10" s="144" t="s">
        <v>55</v>
      </c>
      <c r="T10" s="150">
        <f>T9/$C$54</f>
        <v>0.28532794998378941</v>
      </c>
      <c r="U10" s="150">
        <f>U9/$C$54</f>
        <v>0.13466574859945502</v>
      </c>
      <c r="V10" s="150">
        <f>V9/$C$54</f>
        <v>0.32706054910745763</v>
      </c>
      <c r="W10" s="150">
        <f>W9/$C$54</f>
        <v>0.223162994146935</v>
      </c>
      <c r="Z10" s="129">
        <v>25</v>
      </c>
      <c r="AA10" s="129">
        <v>15</v>
      </c>
      <c r="AB10" s="129">
        <v>35</v>
      </c>
      <c r="AC10" s="129">
        <v>25</v>
      </c>
    </row>
    <row r="11" spans="1:29" ht="12.75">
      <c r="A11" s="151" t="s">
        <v>56</v>
      </c>
      <c r="B11" s="273"/>
      <c r="C11" s="151"/>
      <c r="D11" s="148">
        <v>9</v>
      </c>
      <c r="E11" s="148">
        <v>12</v>
      </c>
      <c r="F11" s="148">
        <v>9</v>
      </c>
      <c r="G11" s="148">
        <v>6</v>
      </c>
      <c r="H11" s="148">
        <v>6</v>
      </c>
      <c r="I11" s="148">
        <v>6</v>
      </c>
      <c r="J11" s="148">
        <v>15</v>
      </c>
      <c r="K11" s="148">
        <v>13</v>
      </c>
      <c r="L11" s="148">
        <v>15</v>
      </c>
      <c r="M11" s="148">
        <v>12</v>
      </c>
      <c r="N11" s="148">
        <v>9</v>
      </c>
      <c r="O11" s="148">
        <v>9</v>
      </c>
      <c r="P11" s="149"/>
      <c r="Q11" s="152">
        <f>121-SUM(D11:O11)</f>
        <v>0</v>
      </c>
      <c r="R11" s="149"/>
      <c r="S11" s="144" t="s">
        <v>57</v>
      </c>
      <c r="T11" s="153">
        <f>W16</f>
        <v>5144.4544965523983</v>
      </c>
      <c r="U11" s="153">
        <f>W21</f>
        <v>2630.3544183089639</v>
      </c>
      <c r="V11" s="153">
        <f>W26</f>
        <v>2555.3198770926037</v>
      </c>
      <c r="W11" s="153">
        <f>W31</f>
        <v>792.53164191180713</v>
      </c>
    </row>
    <row r="12" spans="1:29" ht="12.75">
      <c r="A12" s="154" t="s">
        <v>58</v>
      </c>
      <c r="B12" s="154" t="s">
        <v>59</v>
      </c>
      <c r="C12" s="155">
        <f>'One Helix'!C12</f>
        <v>16800000</v>
      </c>
      <c r="D12" s="156">
        <f>(D$11/121)*$C12</f>
        <v>1249586.7768595042</v>
      </c>
      <c r="E12" s="156">
        <f t="shared" ref="E12:O20" si="1">(E$11/121)*$C12</f>
        <v>1666115.702479339</v>
      </c>
      <c r="F12" s="156">
        <f t="shared" si="1"/>
        <v>1249586.7768595042</v>
      </c>
      <c r="G12" s="156">
        <f t="shared" si="1"/>
        <v>833057.85123966949</v>
      </c>
      <c r="H12" s="156">
        <f t="shared" si="1"/>
        <v>833057.85123966949</v>
      </c>
      <c r="I12" s="156">
        <f t="shared" si="1"/>
        <v>833057.85123966949</v>
      </c>
      <c r="J12" s="156">
        <f t="shared" si="1"/>
        <v>2082644.6280991735</v>
      </c>
      <c r="K12" s="156">
        <f t="shared" si="1"/>
        <v>1804958.6776859504</v>
      </c>
      <c r="L12" s="156">
        <f t="shared" si="1"/>
        <v>2082644.6280991735</v>
      </c>
      <c r="M12" s="156">
        <f t="shared" si="1"/>
        <v>1666115.702479339</v>
      </c>
      <c r="N12" s="156">
        <f t="shared" si="1"/>
        <v>1249586.7768595042</v>
      </c>
      <c r="O12" s="156">
        <f t="shared" si="1"/>
        <v>1249586.7768595042</v>
      </c>
      <c r="P12" s="134"/>
      <c r="Q12" s="133"/>
      <c r="R12" s="134"/>
      <c r="S12" s="157" t="s">
        <v>48</v>
      </c>
      <c r="T12" s="158">
        <v>46113</v>
      </c>
      <c r="U12" s="158">
        <v>46143</v>
      </c>
      <c r="V12" s="158">
        <v>46174</v>
      </c>
      <c r="W12" s="141" t="s">
        <v>60</v>
      </c>
    </row>
    <row r="13" spans="1:29" ht="24.75">
      <c r="A13" s="159" t="s">
        <v>61</v>
      </c>
      <c r="B13" s="159" t="s">
        <v>62</v>
      </c>
      <c r="C13" s="155">
        <f>'One Helix'!C13</f>
        <v>6000000</v>
      </c>
      <c r="D13" s="156">
        <f t="shared" ref="D13:D20" si="2">(D$11/121)*$C13</f>
        <v>446280.99173553719</v>
      </c>
      <c r="E13" s="156">
        <f t="shared" si="1"/>
        <v>595041.32231404958</v>
      </c>
      <c r="F13" s="156">
        <f t="shared" si="1"/>
        <v>446280.99173553719</v>
      </c>
      <c r="G13" s="156">
        <f t="shared" si="1"/>
        <v>297520.66115702479</v>
      </c>
      <c r="H13" s="156">
        <f t="shared" si="1"/>
        <v>297520.66115702479</v>
      </c>
      <c r="I13" s="156">
        <f t="shared" si="1"/>
        <v>297520.66115702479</v>
      </c>
      <c r="J13" s="156">
        <f t="shared" si="1"/>
        <v>743801.65289256198</v>
      </c>
      <c r="K13" s="156">
        <f t="shared" si="1"/>
        <v>644628.09917355375</v>
      </c>
      <c r="L13" s="156">
        <f t="shared" si="1"/>
        <v>743801.65289256198</v>
      </c>
      <c r="M13" s="156">
        <f t="shared" si="1"/>
        <v>595041.32231404958</v>
      </c>
      <c r="N13" s="156">
        <f t="shared" si="1"/>
        <v>446280.99173553719</v>
      </c>
      <c r="O13" s="156">
        <f t="shared" si="1"/>
        <v>446280.99173553719</v>
      </c>
      <c r="P13" s="149"/>
      <c r="Q13" s="133"/>
      <c r="R13" s="134"/>
      <c r="S13" s="160" t="s">
        <v>63</v>
      </c>
      <c r="T13" s="150">
        <f>T14/$W14</f>
        <v>0.33904530415940465</v>
      </c>
      <c r="U13" s="150">
        <f>U14/$W14</f>
        <v>0.36924731663196253</v>
      </c>
      <c r="V13" s="150">
        <f>V14/$W14</f>
        <v>0.29170737920863282</v>
      </c>
      <c r="W13" s="161"/>
      <c r="Z13" s="129">
        <v>30.25</v>
      </c>
      <c r="AA13" s="129">
        <f>Z13*0.3</f>
        <v>9.0749999999999993</v>
      </c>
      <c r="AB13" s="129">
        <f>0.4*Z13</f>
        <v>12.100000000000001</v>
      </c>
      <c r="AC13" s="129">
        <f>0.3*Z13</f>
        <v>9.0749999999999993</v>
      </c>
    </row>
    <row r="14" spans="1:29" ht="12.75">
      <c r="A14" s="154" t="s">
        <v>64</v>
      </c>
      <c r="B14" s="154" t="s">
        <v>65</v>
      </c>
      <c r="C14" s="155">
        <f>'One Helix'!C14</f>
        <v>15000000</v>
      </c>
      <c r="D14" s="156">
        <f t="shared" si="2"/>
        <v>1115702.4793388429</v>
      </c>
      <c r="E14" s="156">
        <f t="shared" si="1"/>
        <v>1487603.305785124</v>
      </c>
      <c r="F14" s="156">
        <f t="shared" si="1"/>
        <v>1115702.4793388429</v>
      </c>
      <c r="G14" s="156">
        <f t="shared" si="1"/>
        <v>743801.65289256198</v>
      </c>
      <c r="H14" s="156">
        <f t="shared" si="1"/>
        <v>743801.65289256198</v>
      </c>
      <c r="I14" s="156">
        <f t="shared" si="1"/>
        <v>743801.65289256198</v>
      </c>
      <c r="J14" s="156">
        <f t="shared" si="1"/>
        <v>1859504.132231405</v>
      </c>
      <c r="K14" s="156">
        <f t="shared" si="1"/>
        <v>1611570.2479338844</v>
      </c>
      <c r="L14" s="156">
        <f t="shared" si="1"/>
        <v>1859504.132231405</v>
      </c>
      <c r="M14" s="156">
        <f t="shared" si="1"/>
        <v>1487603.305785124</v>
      </c>
      <c r="N14" s="156">
        <f t="shared" si="1"/>
        <v>1115702.4793388429</v>
      </c>
      <c r="O14" s="156">
        <f t="shared" si="1"/>
        <v>1115702.4793388429</v>
      </c>
      <c r="P14" s="149"/>
      <c r="Q14" s="133"/>
      <c r="R14" s="134"/>
      <c r="S14" s="160" t="s">
        <v>66</v>
      </c>
      <c r="T14" s="162">
        <f>D54</f>
        <v>22674640.813731723</v>
      </c>
      <c r="U14" s="162">
        <f>E54</f>
        <v>24694488.239033692</v>
      </c>
      <c r="V14" s="162">
        <f>F54</f>
        <v>19508779.402415767</v>
      </c>
      <c r="W14" s="163">
        <f>T9</f>
        <v>66877908.455181181</v>
      </c>
      <c r="Z14" s="129">
        <v>18.149999999999999</v>
      </c>
      <c r="AA14" s="129">
        <f>Z14*0.3</f>
        <v>5.4449999999999994</v>
      </c>
      <c r="AB14" s="129">
        <f>Z14*0.35</f>
        <v>6.3524999999999991</v>
      </c>
      <c r="AC14" s="129">
        <f>Z14*0.35</f>
        <v>6.3524999999999991</v>
      </c>
    </row>
    <row r="15" spans="1:29" ht="24.75">
      <c r="A15" s="159" t="s">
        <v>67</v>
      </c>
      <c r="B15" s="159" t="s">
        <v>68</v>
      </c>
      <c r="C15" s="155">
        <f>'One Helix'!C15</f>
        <v>14400000</v>
      </c>
      <c r="D15" s="156">
        <f t="shared" si="2"/>
        <v>1071074.3801652894</v>
      </c>
      <c r="E15" s="156">
        <f t="shared" si="1"/>
        <v>1428099.173553719</v>
      </c>
      <c r="F15" s="156">
        <f t="shared" si="1"/>
        <v>1071074.3801652894</v>
      </c>
      <c r="G15" s="156">
        <f t="shared" si="1"/>
        <v>714049.58677685948</v>
      </c>
      <c r="H15" s="156">
        <f t="shared" si="1"/>
        <v>714049.58677685948</v>
      </c>
      <c r="I15" s="156">
        <f t="shared" si="1"/>
        <v>714049.58677685948</v>
      </c>
      <c r="J15" s="156">
        <f t="shared" si="1"/>
        <v>1785123.9669421487</v>
      </c>
      <c r="K15" s="156">
        <f t="shared" si="1"/>
        <v>1547107.438016529</v>
      </c>
      <c r="L15" s="156">
        <f t="shared" si="1"/>
        <v>1785123.9669421487</v>
      </c>
      <c r="M15" s="156">
        <f t="shared" si="1"/>
        <v>1428099.173553719</v>
      </c>
      <c r="N15" s="156">
        <f t="shared" si="1"/>
        <v>1071074.3801652894</v>
      </c>
      <c r="O15" s="156">
        <f t="shared" si="1"/>
        <v>1071074.3801652894</v>
      </c>
      <c r="P15" s="149"/>
      <c r="Q15" s="133"/>
      <c r="R15" s="134"/>
      <c r="S15" s="160" t="s">
        <v>69</v>
      </c>
      <c r="T15" s="164">
        <v>4</v>
      </c>
      <c r="U15" s="164">
        <v>5</v>
      </c>
      <c r="V15" s="164">
        <v>4</v>
      </c>
      <c r="W15" s="161">
        <f>SUM(T15:V15)</f>
        <v>13</v>
      </c>
      <c r="Z15" s="129">
        <v>42.35</v>
      </c>
      <c r="AA15" s="129">
        <f>Z15*0.35</f>
        <v>14.8225</v>
      </c>
      <c r="AB15" s="129">
        <f>Z15*0.3</f>
        <v>12.705</v>
      </c>
      <c r="AC15" s="129">
        <f>Z15*0.35</f>
        <v>14.8225</v>
      </c>
    </row>
    <row r="16" spans="1:29" ht="24.75">
      <c r="A16" s="154" t="s">
        <v>70</v>
      </c>
      <c r="B16" s="154" t="s">
        <v>71</v>
      </c>
      <c r="C16" s="155">
        <f>'One Helix'!C16</f>
        <v>5000000</v>
      </c>
      <c r="D16" s="156">
        <f t="shared" si="2"/>
        <v>371900.82644628099</v>
      </c>
      <c r="E16" s="156">
        <f t="shared" si="1"/>
        <v>495867.76859504136</v>
      </c>
      <c r="F16" s="156">
        <f t="shared" si="1"/>
        <v>371900.82644628099</v>
      </c>
      <c r="G16" s="156">
        <f t="shared" si="1"/>
        <v>247933.88429752068</v>
      </c>
      <c r="H16" s="156">
        <f t="shared" si="1"/>
        <v>247933.88429752068</v>
      </c>
      <c r="I16" s="156">
        <f t="shared" si="1"/>
        <v>247933.88429752068</v>
      </c>
      <c r="J16" s="156">
        <f t="shared" si="1"/>
        <v>619834.71074380167</v>
      </c>
      <c r="K16" s="156">
        <f t="shared" si="1"/>
        <v>537190.08264462813</v>
      </c>
      <c r="L16" s="156">
        <f t="shared" si="1"/>
        <v>619834.71074380167</v>
      </c>
      <c r="M16" s="156">
        <f t="shared" si="1"/>
        <v>495867.76859504136</v>
      </c>
      <c r="N16" s="156">
        <f t="shared" si="1"/>
        <v>371900.82644628099</v>
      </c>
      <c r="O16" s="156">
        <f t="shared" si="1"/>
        <v>371900.82644628099</v>
      </c>
      <c r="P16" s="149"/>
      <c r="Q16" s="133"/>
      <c r="R16" s="134"/>
      <c r="S16" s="160" t="s">
        <v>72</v>
      </c>
      <c r="T16" s="153">
        <f>T14/(T15*1000)</f>
        <v>5668.6602034329308</v>
      </c>
      <c r="U16" s="153">
        <f t="shared" ref="U16:V16" si="3">U14/(U15*1000)</f>
        <v>4938.897647806738</v>
      </c>
      <c r="V16" s="153">
        <f t="shared" si="3"/>
        <v>4877.1948506039416</v>
      </c>
      <c r="W16" s="153">
        <f>W14/(W15*1000)</f>
        <v>5144.4544965523983</v>
      </c>
      <c r="Z16" s="129">
        <v>30.25</v>
      </c>
      <c r="AA16" s="129">
        <f>Z16*0.4</f>
        <v>12.100000000000001</v>
      </c>
      <c r="AB16" s="129">
        <f>Z16*0.3</f>
        <v>9.0749999999999993</v>
      </c>
      <c r="AC16" s="129">
        <f>Z16*0.3</f>
        <v>9.0749999999999993</v>
      </c>
    </row>
    <row r="17" spans="1:23" ht="12.75">
      <c r="A17" s="165" t="s">
        <v>73</v>
      </c>
      <c r="B17" s="165" t="s">
        <v>74</v>
      </c>
      <c r="C17" s="155">
        <f>'One Helix'!C17</f>
        <v>0</v>
      </c>
      <c r="D17" s="156">
        <f t="shared" si="2"/>
        <v>0</v>
      </c>
      <c r="E17" s="156">
        <f t="shared" si="1"/>
        <v>0</v>
      </c>
      <c r="F17" s="156">
        <f t="shared" si="1"/>
        <v>0</v>
      </c>
      <c r="G17" s="156">
        <f t="shared" si="1"/>
        <v>0</v>
      </c>
      <c r="H17" s="156">
        <f t="shared" si="1"/>
        <v>0</v>
      </c>
      <c r="I17" s="156">
        <f t="shared" si="1"/>
        <v>0</v>
      </c>
      <c r="J17" s="156">
        <f t="shared" si="1"/>
        <v>0</v>
      </c>
      <c r="K17" s="156">
        <f t="shared" si="1"/>
        <v>0</v>
      </c>
      <c r="L17" s="156">
        <f t="shared" si="1"/>
        <v>0</v>
      </c>
      <c r="M17" s="156">
        <f t="shared" si="1"/>
        <v>0</v>
      </c>
      <c r="N17" s="156">
        <f t="shared" si="1"/>
        <v>0</v>
      </c>
      <c r="O17" s="156">
        <f t="shared" si="1"/>
        <v>0</v>
      </c>
      <c r="P17" s="149"/>
      <c r="Q17" s="133"/>
      <c r="R17" s="134"/>
      <c r="S17" s="157" t="s">
        <v>49</v>
      </c>
      <c r="T17" s="158">
        <v>46204</v>
      </c>
      <c r="U17" s="158">
        <v>46235</v>
      </c>
      <c r="V17" s="158">
        <v>46266</v>
      </c>
      <c r="W17" s="141" t="s">
        <v>60</v>
      </c>
    </row>
    <row r="18" spans="1:23" ht="24.75">
      <c r="A18" s="154" t="s">
        <v>75</v>
      </c>
      <c r="B18" s="154" t="s">
        <v>76</v>
      </c>
      <c r="C18" s="155">
        <f>'One Helix'!C18</f>
        <v>18900000</v>
      </c>
      <c r="D18" s="156">
        <f t="shared" si="2"/>
        <v>1405785.1239669421</v>
      </c>
      <c r="E18" s="156">
        <f t="shared" si="1"/>
        <v>1874380.1652892563</v>
      </c>
      <c r="F18" s="156">
        <f t="shared" si="1"/>
        <v>1405785.1239669421</v>
      </c>
      <c r="G18" s="156">
        <f t="shared" si="1"/>
        <v>937190.08264462813</v>
      </c>
      <c r="H18" s="156">
        <f t="shared" si="1"/>
        <v>937190.08264462813</v>
      </c>
      <c r="I18" s="156">
        <f t="shared" si="1"/>
        <v>937190.08264462813</v>
      </c>
      <c r="J18" s="156">
        <f t="shared" si="1"/>
        <v>2342975.2066115704</v>
      </c>
      <c r="K18" s="156">
        <f t="shared" si="1"/>
        <v>2030578.5123966942</v>
      </c>
      <c r="L18" s="156">
        <f t="shared" si="1"/>
        <v>2342975.2066115704</v>
      </c>
      <c r="M18" s="156">
        <f t="shared" si="1"/>
        <v>1874380.1652892563</v>
      </c>
      <c r="N18" s="156">
        <f t="shared" si="1"/>
        <v>1405785.1239669421</v>
      </c>
      <c r="O18" s="156">
        <f t="shared" si="1"/>
        <v>1405785.1239669421</v>
      </c>
      <c r="P18" s="149"/>
      <c r="Q18" s="133"/>
      <c r="R18" s="134"/>
      <c r="S18" s="160" t="s">
        <v>63</v>
      </c>
      <c r="T18" s="150">
        <f>T19/$W19</f>
        <v>0.33333333333333331</v>
      </c>
      <c r="U18" s="150">
        <f>U19/$W19</f>
        <v>0.33333333333333331</v>
      </c>
      <c r="V18" s="150">
        <f>V19/$W19</f>
        <v>0.33333333333333331</v>
      </c>
      <c r="W18" s="161"/>
    </row>
    <row r="19" spans="1:23" ht="24.75">
      <c r="A19" s="154" t="s">
        <v>77</v>
      </c>
      <c r="B19" s="154" t="s">
        <v>78</v>
      </c>
      <c r="C19" s="155">
        <f>'One Helix'!C19</f>
        <v>7500000</v>
      </c>
      <c r="D19" s="156">
        <f t="shared" si="2"/>
        <v>557851.23966942145</v>
      </c>
      <c r="E19" s="156">
        <f t="shared" si="1"/>
        <v>743801.65289256198</v>
      </c>
      <c r="F19" s="156">
        <f t="shared" si="1"/>
        <v>557851.23966942145</v>
      </c>
      <c r="G19" s="156">
        <f t="shared" si="1"/>
        <v>371900.82644628099</v>
      </c>
      <c r="H19" s="156">
        <f t="shared" si="1"/>
        <v>371900.82644628099</v>
      </c>
      <c r="I19" s="156">
        <f t="shared" si="1"/>
        <v>371900.82644628099</v>
      </c>
      <c r="J19" s="156">
        <f t="shared" si="1"/>
        <v>929752.0661157025</v>
      </c>
      <c r="K19" s="156">
        <f t="shared" si="1"/>
        <v>805785.12396694219</v>
      </c>
      <c r="L19" s="156">
        <f t="shared" si="1"/>
        <v>929752.0661157025</v>
      </c>
      <c r="M19" s="156">
        <f t="shared" si="1"/>
        <v>743801.65289256198</v>
      </c>
      <c r="N19" s="156">
        <f t="shared" si="1"/>
        <v>557851.23966942145</v>
      </c>
      <c r="O19" s="156">
        <f t="shared" si="1"/>
        <v>557851.23966942145</v>
      </c>
      <c r="P19" s="149"/>
      <c r="Q19" s="133"/>
      <c r="R19" s="134"/>
      <c r="S19" s="160" t="s">
        <v>66</v>
      </c>
      <c r="T19" s="162">
        <f>G54</f>
        <v>10521417.673235856</v>
      </c>
      <c r="U19" s="162">
        <f>H54</f>
        <v>10521417.673235856</v>
      </c>
      <c r="V19" s="162">
        <f>I54</f>
        <v>10521417.673235856</v>
      </c>
      <c r="W19" s="161">
        <f>U9</f>
        <v>31564253.019707568</v>
      </c>
    </row>
    <row r="20" spans="1:23" ht="24.75">
      <c r="A20" s="166" t="s">
        <v>79</v>
      </c>
      <c r="B20" s="167" t="s">
        <v>80</v>
      </c>
      <c r="C20" s="155">
        <f>'One Helix'!C20</f>
        <v>42000000</v>
      </c>
      <c r="D20" s="156">
        <f t="shared" si="2"/>
        <v>3123966.9421487604</v>
      </c>
      <c r="E20" s="156">
        <f t="shared" si="1"/>
        <v>4165289.2561983471</v>
      </c>
      <c r="F20" s="156">
        <f t="shared" si="1"/>
        <v>3123966.9421487604</v>
      </c>
      <c r="G20" s="156">
        <f t="shared" si="1"/>
        <v>2082644.6280991735</v>
      </c>
      <c r="H20" s="156">
        <f t="shared" si="1"/>
        <v>2082644.6280991735</v>
      </c>
      <c r="I20" s="156">
        <f t="shared" si="1"/>
        <v>2082644.6280991735</v>
      </c>
      <c r="J20" s="156">
        <f t="shared" si="1"/>
        <v>5206611.5702479342</v>
      </c>
      <c r="K20" s="156">
        <f t="shared" si="1"/>
        <v>4512396.6942148758</v>
      </c>
      <c r="L20" s="156">
        <f t="shared" si="1"/>
        <v>5206611.5702479342</v>
      </c>
      <c r="M20" s="156">
        <f t="shared" si="1"/>
        <v>4165289.2561983471</v>
      </c>
      <c r="N20" s="156">
        <f t="shared" si="1"/>
        <v>3123966.9421487604</v>
      </c>
      <c r="O20" s="156">
        <f t="shared" si="1"/>
        <v>3123966.9421487604</v>
      </c>
      <c r="P20" s="149"/>
      <c r="Q20" s="133"/>
      <c r="R20" s="134"/>
      <c r="S20" s="160" t="s">
        <v>69</v>
      </c>
      <c r="T20" s="164">
        <v>4</v>
      </c>
      <c r="U20" s="164">
        <v>4</v>
      </c>
      <c r="V20" s="164">
        <v>4</v>
      </c>
      <c r="W20" s="161">
        <f>SUM(T20:V20)</f>
        <v>12</v>
      </c>
    </row>
    <row r="21" spans="1:23" ht="12.75">
      <c r="A21" s="145" t="s">
        <v>81</v>
      </c>
      <c r="B21" s="273" t="s">
        <v>54</v>
      </c>
      <c r="C21" s="147">
        <f>SUM(C23:C39)</f>
        <v>87364615.384615391</v>
      </c>
      <c r="D21" s="148">
        <f>SUM(D23:D39)</f>
        <v>9157285.441830894</v>
      </c>
      <c r="E21" s="148">
        <f t="shared" ref="E21:O21" si="4">SUM(E23:E39)</f>
        <v>8286636.9993642718</v>
      </c>
      <c r="F21" s="148">
        <f t="shared" si="4"/>
        <v>6214977.7495232038</v>
      </c>
      <c r="G21" s="148">
        <f t="shared" si="4"/>
        <v>4143318.4996821359</v>
      </c>
      <c r="H21" s="148">
        <f t="shared" si="4"/>
        <v>4143318.4996821359</v>
      </c>
      <c r="I21" s="148">
        <f t="shared" si="4"/>
        <v>4143318.4996821359</v>
      </c>
      <c r="J21" s="148">
        <f t="shared" si="4"/>
        <v>11742911.633820724</v>
      </c>
      <c r="K21" s="148">
        <f t="shared" si="4"/>
        <v>8977190.0826446265</v>
      </c>
      <c r="L21" s="148">
        <f t="shared" si="4"/>
        <v>10358296.24920534</v>
      </c>
      <c r="M21" s="148">
        <f t="shared" si="4"/>
        <v>8286636.9993642718</v>
      </c>
      <c r="N21" s="148">
        <f t="shared" si="4"/>
        <v>6214977.7495232038</v>
      </c>
      <c r="O21" s="148">
        <f t="shared" si="4"/>
        <v>6214977.7495232038</v>
      </c>
      <c r="P21" s="149"/>
      <c r="Q21" s="133"/>
      <c r="R21" s="134"/>
      <c r="S21" s="160" t="s">
        <v>72</v>
      </c>
      <c r="T21" s="153">
        <f>T19/(T20*1000)</f>
        <v>2630.3544183089639</v>
      </c>
      <c r="U21" s="153">
        <f t="shared" ref="U21:V21" si="5">U19/(U20*1000)</f>
        <v>2630.3544183089639</v>
      </c>
      <c r="V21" s="153">
        <f t="shared" si="5"/>
        <v>2630.3544183089639</v>
      </c>
      <c r="W21" s="153">
        <f>W19/(W20*1000)</f>
        <v>2630.3544183089639</v>
      </c>
    </row>
    <row r="22" spans="1:23" ht="12.75">
      <c r="A22" s="151" t="s">
        <v>82</v>
      </c>
      <c r="B22" s="273"/>
      <c r="C22" s="151"/>
      <c r="D22" s="148">
        <v>9</v>
      </c>
      <c r="E22" s="148">
        <v>12</v>
      </c>
      <c r="F22" s="148">
        <v>9</v>
      </c>
      <c r="G22" s="148">
        <v>6</v>
      </c>
      <c r="H22" s="148">
        <v>6</v>
      </c>
      <c r="I22" s="148">
        <v>6</v>
      </c>
      <c r="J22" s="148">
        <v>15</v>
      </c>
      <c r="K22" s="148">
        <v>13</v>
      </c>
      <c r="L22" s="148">
        <v>15</v>
      </c>
      <c r="M22" s="148">
        <v>12</v>
      </c>
      <c r="N22" s="148">
        <v>9</v>
      </c>
      <c r="O22" s="148">
        <v>9</v>
      </c>
      <c r="P22" s="149"/>
      <c r="Q22" s="152">
        <f>121-SUM(D22:O22)</f>
        <v>0</v>
      </c>
      <c r="R22" s="134"/>
      <c r="S22" s="157" t="s">
        <v>50</v>
      </c>
      <c r="T22" s="158">
        <v>46296</v>
      </c>
      <c r="U22" s="158">
        <v>46327</v>
      </c>
      <c r="V22" s="158">
        <v>46357</v>
      </c>
      <c r="W22" s="141" t="s">
        <v>60</v>
      </c>
    </row>
    <row r="23" spans="1:23" ht="24.75">
      <c r="A23" s="154" t="s">
        <v>83</v>
      </c>
      <c r="B23" s="154" t="s">
        <v>84</v>
      </c>
      <c r="C23" s="155">
        <f>'One Helix'!C23</f>
        <v>830769.23076923075</v>
      </c>
      <c r="D23" s="156">
        <f>(D$22/121)*$C23</f>
        <v>61792.752701843609</v>
      </c>
      <c r="E23" s="156">
        <f t="shared" ref="E23:O38" si="6">(E$22/121)*$C23</f>
        <v>82390.336935791478</v>
      </c>
      <c r="F23" s="156">
        <f t="shared" si="6"/>
        <v>61792.752701843609</v>
      </c>
      <c r="G23" s="156">
        <f t="shared" si="6"/>
        <v>41195.168467895739</v>
      </c>
      <c r="H23" s="156">
        <f t="shared" si="6"/>
        <v>41195.168467895739</v>
      </c>
      <c r="I23" s="156">
        <f t="shared" si="6"/>
        <v>41195.168467895739</v>
      </c>
      <c r="J23" s="156">
        <f t="shared" si="6"/>
        <v>102987.92116973935</v>
      </c>
      <c r="K23" s="156">
        <f t="shared" si="6"/>
        <v>89256.198347107435</v>
      </c>
      <c r="L23" s="156">
        <f t="shared" si="6"/>
        <v>102987.92116973935</v>
      </c>
      <c r="M23" s="156">
        <f t="shared" si="6"/>
        <v>82390.336935791478</v>
      </c>
      <c r="N23" s="156">
        <f t="shared" si="6"/>
        <v>61792.752701843609</v>
      </c>
      <c r="O23" s="156">
        <f t="shared" si="6"/>
        <v>61792.752701843609</v>
      </c>
      <c r="P23" s="149"/>
      <c r="Q23" s="133"/>
      <c r="R23" s="134"/>
      <c r="S23" s="160" t="s">
        <v>63</v>
      </c>
      <c r="T23" s="150">
        <f>T24/$W24</f>
        <v>0.36105654288828737</v>
      </c>
      <c r="U23" s="150">
        <f>U24/$W24</f>
        <v>0.29724516317440869</v>
      </c>
      <c r="V23" s="150">
        <f>V24/$W24</f>
        <v>0.34169829393730411</v>
      </c>
      <c r="W23" s="161"/>
    </row>
    <row r="24" spans="1:23" ht="24.75">
      <c r="A24" s="154" t="s">
        <v>85</v>
      </c>
      <c r="B24" s="154" t="s">
        <v>86</v>
      </c>
      <c r="C24" s="155">
        <f>'One Helix'!C24</f>
        <v>2274230.769230769</v>
      </c>
      <c r="D24" s="156">
        <f t="shared" ref="D24:O39" si="7">(D$22/121)*$C24</f>
        <v>169157.66052129687</v>
      </c>
      <c r="E24" s="156">
        <f t="shared" si="6"/>
        <v>225543.54736172917</v>
      </c>
      <c r="F24" s="156">
        <f t="shared" si="6"/>
        <v>169157.66052129687</v>
      </c>
      <c r="G24" s="156">
        <f t="shared" si="6"/>
        <v>112771.77368086459</v>
      </c>
      <c r="H24" s="156">
        <f t="shared" si="6"/>
        <v>112771.77368086459</v>
      </c>
      <c r="I24" s="156">
        <f t="shared" si="6"/>
        <v>112771.77368086459</v>
      </c>
      <c r="J24" s="156">
        <f t="shared" si="6"/>
        <v>281929.43420216144</v>
      </c>
      <c r="K24" s="156">
        <f t="shared" si="6"/>
        <v>244338.84297520659</v>
      </c>
      <c r="L24" s="156">
        <f t="shared" si="6"/>
        <v>281929.43420216144</v>
      </c>
      <c r="M24" s="156">
        <f t="shared" si="6"/>
        <v>225543.54736172917</v>
      </c>
      <c r="N24" s="156">
        <f t="shared" si="6"/>
        <v>169157.66052129687</v>
      </c>
      <c r="O24" s="156">
        <f t="shared" si="6"/>
        <v>169157.66052129687</v>
      </c>
      <c r="P24" s="149"/>
      <c r="Q24" s="133"/>
      <c r="R24" s="134"/>
      <c r="S24" s="160" t="s">
        <v>66</v>
      </c>
      <c r="T24" s="162">
        <f>J54</f>
        <v>27678448.823903367</v>
      </c>
      <c r="U24" s="162">
        <f>K54</f>
        <v>22786694.21487603</v>
      </c>
      <c r="V24" s="162">
        <f>L54</f>
        <v>26194453.27399873</v>
      </c>
      <c r="W24" s="161">
        <f>V9</f>
        <v>76659596.312778115</v>
      </c>
    </row>
    <row r="25" spans="1:23" ht="12.75">
      <c r="A25" s="154" t="s">
        <v>87</v>
      </c>
      <c r="B25" s="154" t="s">
        <v>88</v>
      </c>
      <c r="C25" s="155">
        <f>'One Helix'!C25</f>
        <v>2769230.769230769</v>
      </c>
      <c r="D25" s="156">
        <f t="shared" si="7"/>
        <v>205975.8423394787</v>
      </c>
      <c r="E25" s="156">
        <f t="shared" si="6"/>
        <v>274634.45645263826</v>
      </c>
      <c r="F25" s="156">
        <f t="shared" si="6"/>
        <v>205975.8423394787</v>
      </c>
      <c r="G25" s="156">
        <f t="shared" si="6"/>
        <v>137317.22822631913</v>
      </c>
      <c r="H25" s="156">
        <f t="shared" si="6"/>
        <v>137317.22822631913</v>
      </c>
      <c r="I25" s="156">
        <f t="shared" si="6"/>
        <v>137317.22822631913</v>
      </c>
      <c r="J25" s="156">
        <f t="shared" si="6"/>
        <v>343293.0705657978</v>
      </c>
      <c r="K25" s="156">
        <f t="shared" si="6"/>
        <v>297520.66115702479</v>
      </c>
      <c r="L25" s="156">
        <f t="shared" si="6"/>
        <v>343293.0705657978</v>
      </c>
      <c r="M25" s="156">
        <f t="shared" si="6"/>
        <v>274634.45645263826</v>
      </c>
      <c r="N25" s="156">
        <f t="shared" si="6"/>
        <v>205975.8423394787</v>
      </c>
      <c r="O25" s="156">
        <f t="shared" si="6"/>
        <v>205975.8423394787</v>
      </c>
      <c r="P25" s="149"/>
      <c r="Q25" s="133"/>
      <c r="R25" s="134"/>
      <c r="S25" s="160" t="s">
        <v>69</v>
      </c>
      <c r="T25" s="164">
        <v>7</v>
      </c>
      <c r="U25" s="164">
        <v>10</v>
      </c>
      <c r="V25" s="164">
        <v>13</v>
      </c>
      <c r="W25" s="161">
        <f>SUM(T25:V25)</f>
        <v>30</v>
      </c>
    </row>
    <row r="26" spans="1:23" ht="12.75">
      <c r="A26" s="154" t="s">
        <v>89</v>
      </c>
      <c r="B26" s="154" t="s">
        <v>90</v>
      </c>
      <c r="C26" s="155">
        <f>'One Helix'!C26</f>
        <v>5538461.538461538</v>
      </c>
      <c r="D26" s="156">
        <f t="shared" si="7"/>
        <v>411951.68467895739</v>
      </c>
      <c r="E26" s="156">
        <f t="shared" si="6"/>
        <v>549268.91290527652</v>
      </c>
      <c r="F26" s="156">
        <f t="shared" si="6"/>
        <v>411951.68467895739</v>
      </c>
      <c r="G26" s="156">
        <f t="shared" si="6"/>
        <v>274634.45645263826</v>
      </c>
      <c r="H26" s="156">
        <f t="shared" si="6"/>
        <v>274634.45645263826</v>
      </c>
      <c r="I26" s="156">
        <f t="shared" si="6"/>
        <v>274634.45645263826</v>
      </c>
      <c r="J26" s="156">
        <f t="shared" si="6"/>
        <v>686586.14113159559</v>
      </c>
      <c r="K26" s="156">
        <f t="shared" si="6"/>
        <v>595041.32231404958</v>
      </c>
      <c r="L26" s="156">
        <f t="shared" si="6"/>
        <v>686586.14113159559</v>
      </c>
      <c r="M26" s="156">
        <f t="shared" si="6"/>
        <v>549268.91290527652</v>
      </c>
      <c r="N26" s="156">
        <f t="shared" si="6"/>
        <v>411951.68467895739</v>
      </c>
      <c r="O26" s="156">
        <f t="shared" si="6"/>
        <v>411951.68467895739</v>
      </c>
      <c r="P26" s="149"/>
      <c r="Q26" s="133"/>
      <c r="R26" s="134"/>
      <c r="S26" s="160" t="s">
        <v>72</v>
      </c>
      <c r="T26" s="153">
        <f>T24/(T25*1000)</f>
        <v>3954.0641177004809</v>
      </c>
      <c r="U26" s="153">
        <f t="shared" ref="U26:V26" si="8">U24/(U25*1000)</f>
        <v>2278.6694214876029</v>
      </c>
      <c r="V26" s="153">
        <f t="shared" si="8"/>
        <v>2014.9579441537485</v>
      </c>
      <c r="W26" s="153">
        <f>W24/(W25*1000)</f>
        <v>2555.3198770926037</v>
      </c>
    </row>
    <row r="27" spans="1:23" ht="24.75">
      <c r="A27" s="154" t="s">
        <v>91</v>
      </c>
      <c r="B27" s="154" t="s">
        <v>92</v>
      </c>
      <c r="C27" s="155">
        <f>'One Helix'!C27</f>
        <v>29400000</v>
      </c>
      <c r="D27" s="156">
        <f t="shared" si="7"/>
        <v>2186776.8595041321</v>
      </c>
      <c r="E27" s="156">
        <f t="shared" si="6"/>
        <v>2915702.4793388429</v>
      </c>
      <c r="F27" s="156">
        <f t="shared" si="6"/>
        <v>2186776.8595041321</v>
      </c>
      <c r="G27" s="156">
        <f t="shared" si="6"/>
        <v>1457851.2396694215</v>
      </c>
      <c r="H27" s="156">
        <f t="shared" si="6"/>
        <v>1457851.2396694215</v>
      </c>
      <c r="I27" s="156">
        <f t="shared" si="6"/>
        <v>1457851.2396694215</v>
      </c>
      <c r="J27" s="156">
        <f t="shared" si="6"/>
        <v>3644628.0991735538</v>
      </c>
      <c r="K27" s="156">
        <f t="shared" si="6"/>
        <v>3158677.6859504133</v>
      </c>
      <c r="L27" s="156">
        <f t="shared" si="6"/>
        <v>3644628.0991735538</v>
      </c>
      <c r="M27" s="156">
        <f t="shared" si="6"/>
        <v>2915702.4793388429</v>
      </c>
      <c r="N27" s="156">
        <f t="shared" si="6"/>
        <v>2186776.8595041321</v>
      </c>
      <c r="O27" s="156">
        <f t="shared" si="6"/>
        <v>2186776.8595041321</v>
      </c>
      <c r="P27" s="149"/>
      <c r="Q27" s="133"/>
      <c r="R27" s="134"/>
      <c r="S27" s="157" t="s">
        <v>51</v>
      </c>
      <c r="T27" s="158">
        <v>46388</v>
      </c>
      <c r="U27" s="158">
        <v>46419</v>
      </c>
      <c r="V27" s="158">
        <v>46447</v>
      </c>
      <c r="W27" s="141" t="s">
        <v>60</v>
      </c>
    </row>
    <row r="28" spans="1:23" ht="24.75">
      <c r="A28" s="154" t="s">
        <v>93</v>
      </c>
      <c r="B28" s="154" t="s">
        <v>94</v>
      </c>
      <c r="C28" s="155">
        <f>'One Helix'!C28</f>
        <v>16800000</v>
      </c>
      <c r="D28" s="156">
        <f t="shared" si="7"/>
        <v>1249586.7768595042</v>
      </c>
      <c r="E28" s="156">
        <f t="shared" si="6"/>
        <v>1666115.702479339</v>
      </c>
      <c r="F28" s="156">
        <f t="shared" si="6"/>
        <v>1249586.7768595042</v>
      </c>
      <c r="G28" s="156">
        <f t="shared" si="6"/>
        <v>833057.85123966949</v>
      </c>
      <c r="H28" s="156">
        <f t="shared" si="6"/>
        <v>833057.85123966949</v>
      </c>
      <c r="I28" s="156">
        <f t="shared" si="6"/>
        <v>833057.85123966949</v>
      </c>
      <c r="J28" s="156">
        <f t="shared" si="6"/>
        <v>2082644.6280991735</v>
      </c>
      <c r="K28" s="156">
        <f t="shared" si="6"/>
        <v>1804958.6776859504</v>
      </c>
      <c r="L28" s="156">
        <f t="shared" si="6"/>
        <v>2082644.6280991735</v>
      </c>
      <c r="M28" s="156">
        <f t="shared" si="6"/>
        <v>1666115.702479339</v>
      </c>
      <c r="N28" s="156">
        <f t="shared" si="6"/>
        <v>1249586.7768595042</v>
      </c>
      <c r="O28" s="156">
        <f t="shared" si="6"/>
        <v>1249586.7768595042</v>
      </c>
      <c r="P28" s="149"/>
      <c r="Q28" s="133"/>
      <c r="R28" s="134"/>
      <c r="S28" s="160" t="s">
        <v>63</v>
      </c>
      <c r="T28" s="150">
        <f>T29/$W29</f>
        <v>0.39942646396622233</v>
      </c>
      <c r="U28" s="150">
        <f>U29/$W29</f>
        <v>0.30028676801688886</v>
      </c>
      <c r="V28" s="150">
        <f>V29/$W29</f>
        <v>0.30028676801688886</v>
      </c>
      <c r="W28" s="161"/>
    </row>
    <row r="29" spans="1:23" ht="24.75">
      <c r="A29" s="154" t="s">
        <v>95</v>
      </c>
      <c r="B29" s="154" t="s">
        <v>96</v>
      </c>
      <c r="C29" s="155">
        <f>'One Helix'!C29</f>
        <v>8100000</v>
      </c>
      <c r="D29" s="156">
        <f t="shared" si="7"/>
        <v>602479.33884297521</v>
      </c>
      <c r="E29" s="156">
        <f t="shared" si="6"/>
        <v>803305.78512396698</v>
      </c>
      <c r="F29" s="156">
        <f t="shared" si="6"/>
        <v>602479.33884297521</v>
      </c>
      <c r="G29" s="156">
        <f t="shared" si="6"/>
        <v>401652.89256198349</v>
      </c>
      <c r="H29" s="156">
        <f t="shared" si="6"/>
        <v>401652.89256198349</v>
      </c>
      <c r="I29" s="156">
        <f t="shared" si="6"/>
        <v>401652.89256198349</v>
      </c>
      <c r="J29" s="156">
        <f t="shared" si="6"/>
        <v>1004132.2314049588</v>
      </c>
      <c r="K29" s="156">
        <f t="shared" si="6"/>
        <v>870247.9338842975</v>
      </c>
      <c r="L29" s="156">
        <f t="shared" si="6"/>
        <v>1004132.2314049588</v>
      </c>
      <c r="M29" s="156">
        <f t="shared" si="6"/>
        <v>803305.78512396698</v>
      </c>
      <c r="N29" s="156">
        <f t="shared" si="6"/>
        <v>602479.33884297521</v>
      </c>
      <c r="O29" s="156">
        <f t="shared" si="6"/>
        <v>602479.33884297521</v>
      </c>
      <c r="P29" s="149"/>
      <c r="Q29" s="133"/>
      <c r="R29" s="134"/>
      <c r="S29" s="160" t="s">
        <v>66</v>
      </c>
      <c r="T29" s="162">
        <f>M54</f>
        <v>20892835.346471712</v>
      </c>
      <c r="U29" s="162">
        <f>N54</f>
        <v>15707126.509853782</v>
      </c>
      <c r="V29" s="162">
        <f>O54</f>
        <v>15707126.509853782</v>
      </c>
      <c r="W29" s="161">
        <f>W9</f>
        <v>52307088.366179273</v>
      </c>
    </row>
    <row r="30" spans="1:23" ht="12.75">
      <c r="A30" s="154" t="s">
        <v>97</v>
      </c>
      <c r="B30" s="154" t="s">
        <v>98</v>
      </c>
      <c r="C30" s="155">
        <f>'One Helix'!C30</f>
        <v>553846.15384615376</v>
      </c>
      <c r="D30" s="156">
        <f t="shared" si="7"/>
        <v>41195.168467895732</v>
      </c>
      <c r="E30" s="156">
        <f t="shared" si="6"/>
        <v>54926.891290527645</v>
      </c>
      <c r="F30" s="156">
        <f t="shared" si="6"/>
        <v>41195.168467895732</v>
      </c>
      <c r="G30" s="156">
        <f t="shared" si="6"/>
        <v>27463.445645263822</v>
      </c>
      <c r="H30" s="156">
        <f t="shared" si="6"/>
        <v>27463.445645263822</v>
      </c>
      <c r="I30" s="156">
        <f t="shared" si="6"/>
        <v>27463.445645263822</v>
      </c>
      <c r="J30" s="156">
        <f t="shared" si="6"/>
        <v>68658.614113159565</v>
      </c>
      <c r="K30" s="156">
        <f t="shared" si="6"/>
        <v>59504.132231404954</v>
      </c>
      <c r="L30" s="156">
        <f t="shared" si="6"/>
        <v>68658.614113159565</v>
      </c>
      <c r="M30" s="156">
        <f t="shared" si="6"/>
        <v>54926.891290527645</v>
      </c>
      <c r="N30" s="156">
        <f t="shared" si="6"/>
        <v>41195.168467895732</v>
      </c>
      <c r="O30" s="156">
        <f t="shared" si="6"/>
        <v>41195.168467895732</v>
      </c>
      <c r="P30" s="149"/>
      <c r="Q30" s="133"/>
      <c r="R30" s="134"/>
      <c r="S30" s="160" t="s">
        <v>69</v>
      </c>
      <c r="T30" s="164">
        <v>18</v>
      </c>
      <c r="U30" s="164">
        <v>21</v>
      </c>
      <c r="V30" s="164">
        <v>27</v>
      </c>
      <c r="W30" s="161">
        <f>SUM(T30:V30)</f>
        <v>66</v>
      </c>
    </row>
    <row r="31" spans="1:23" ht="12.75">
      <c r="A31" s="154" t="s">
        <v>99</v>
      </c>
      <c r="B31" s="154" t="s">
        <v>100</v>
      </c>
      <c r="C31" s="155">
        <f>'One Helix'!C31</f>
        <v>1575000</v>
      </c>
      <c r="D31" s="156">
        <f t="shared" si="7"/>
        <v>117148.76033057852</v>
      </c>
      <c r="E31" s="156">
        <f t="shared" si="6"/>
        <v>156198.34710743802</v>
      </c>
      <c r="F31" s="156">
        <f t="shared" si="6"/>
        <v>117148.76033057852</v>
      </c>
      <c r="G31" s="156">
        <f t="shared" si="6"/>
        <v>78099.173553719011</v>
      </c>
      <c r="H31" s="156">
        <f t="shared" si="6"/>
        <v>78099.173553719011</v>
      </c>
      <c r="I31" s="156">
        <f t="shared" si="6"/>
        <v>78099.173553719011</v>
      </c>
      <c r="J31" s="156">
        <f t="shared" si="6"/>
        <v>195247.93388429753</v>
      </c>
      <c r="K31" s="156">
        <f t="shared" si="6"/>
        <v>169214.87603305787</v>
      </c>
      <c r="L31" s="156">
        <f t="shared" si="6"/>
        <v>195247.93388429753</v>
      </c>
      <c r="M31" s="156">
        <f t="shared" si="6"/>
        <v>156198.34710743802</v>
      </c>
      <c r="N31" s="156">
        <f t="shared" si="6"/>
        <v>117148.76033057852</v>
      </c>
      <c r="O31" s="156">
        <f t="shared" si="6"/>
        <v>117148.76033057852</v>
      </c>
      <c r="P31" s="149"/>
      <c r="Q31" s="133"/>
      <c r="R31" s="134"/>
      <c r="S31" s="160" t="s">
        <v>72</v>
      </c>
      <c r="T31" s="153">
        <f>T29/(T30*1000)</f>
        <v>1160.713074803984</v>
      </c>
      <c r="U31" s="153">
        <f t="shared" ref="U31:V31" si="9">U29/(U30*1000)</f>
        <v>747.95840523113247</v>
      </c>
      <c r="V31" s="153">
        <f t="shared" si="9"/>
        <v>581.7454262908808</v>
      </c>
      <c r="W31" s="153">
        <f>W29/(W30*1000)</f>
        <v>792.53164191180713</v>
      </c>
    </row>
    <row r="32" spans="1:23" ht="12.75">
      <c r="A32" s="154" t="s">
        <v>101</v>
      </c>
      <c r="B32" s="154" t="s">
        <v>102</v>
      </c>
      <c r="C32" s="155">
        <f>'One Helix'!C33</f>
        <v>1730769.2307692308</v>
      </c>
      <c r="D32" s="156">
        <f t="shared" si="7"/>
        <v>128734.9014621742</v>
      </c>
      <c r="E32" s="156">
        <f t="shared" si="6"/>
        <v>171646.53528289893</v>
      </c>
      <c r="F32" s="156">
        <f t="shared" si="6"/>
        <v>128734.9014621742</v>
      </c>
      <c r="G32" s="156">
        <f t="shared" si="6"/>
        <v>85823.267641449464</v>
      </c>
      <c r="H32" s="156">
        <f t="shared" si="6"/>
        <v>85823.267641449464</v>
      </c>
      <c r="I32" s="156">
        <f t="shared" si="6"/>
        <v>85823.267641449464</v>
      </c>
      <c r="J32" s="156">
        <f t="shared" si="6"/>
        <v>214558.16910362366</v>
      </c>
      <c r="K32" s="156">
        <f t="shared" si="6"/>
        <v>185950.41322314049</v>
      </c>
      <c r="L32" s="156">
        <f t="shared" si="6"/>
        <v>214558.16910362366</v>
      </c>
      <c r="M32" s="156">
        <f t="shared" si="6"/>
        <v>171646.53528289893</v>
      </c>
      <c r="N32" s="156">
        <f t="shared" si="6"/>
        <v>128734.9014621742</v>
      </c>
      <c r="O32" s="156">
        <f t="shared" si="6"/>
        <v>128734.9014621742</v>
      </c>
      <c r="P32" s="149"/>
      <c r="Q32" s="133"/>
      <c r="R32" s="134"/>
    </row>
    <row r="33" spans="1:18" ht="12.75">
      <c r="A33" s="154" t="s">
        <v>103</v>
      </c>
      <c r="B33" s="154" t="s">
        <v>104</v>
      </c>
      <c r="C33" s="155">
        <f>'One Helix'!C34</f>
        <v>4153846.1538461535</v>
      </c>
      <c r="D33" s="156">
        <f t="shared" si="7"/>
        <v>308963.76350921806</v>
      </c>
      <c r="E33" s="156">
        <f t="shared" si="6"/>
        <v>411951.68467895739</v>
      </c>
      <c r="F33" s="156">
        <f t="shared" si="6"/>
        <v>308963.76350921806</v>
      </c>
      <c r="G33" s="156">
        <f t="shared" si="6"/>
        <v>205975.8423394787</v>
      </c>
      <c r="H33" s="156">
        <f t="shared" si="6"/>
        <v>205975.8423394787</v>
      </c>
      <c r="I33" s="156">
        <f t="shared" si="6"/>
        <v>205975.8423394787</v>
      </c>
      <c r="J33" s="156">
        <f t="shared" si="6"/>
        <v>514939.60584869672</v>
      </c>
      <c r="K33" s="156">
        <f t="shared" si="6"/>
        <v>446280.99173553719</v>
      </c>
      <c r="L33" s="156">
        <f t="shared" si="6"/>
        <v>514939.60584869672</v>
      </c>
      <c r="M33" s="156">
        <f t="shared" si="6"/>
        <v>411951.68467895739</v>
      </c>
      <c r="N33" s="156">
        <f t="shared" si="6"/>
        <v>308963.76350921806</v>
      </c>
      <c r="O33" s="156">
        <f t="shared" si="6"/>
        <v>308963.76350921806</v>
      </c>
      <c r="P33" s="149"/>
      <c r="Q33" s="133"/>
      <c r="R33" s="134"/>
    </row>
    <row r="34" spans="1:18" ht="12.75">
      <c r="A34" s="154" t="s">
        <v>105</v>
      </c>
      <c r="B34" s="154" t="s">
        <v>106</v>
      </c>
      <c r="C34" s="155">
        <f>'One Helix'!C35</f>
        <v>692307.69230769225</v>
      </c>
      <c r="D34" s="156">
        <f t="shared" si="7"/>
        <v>51493.960584869674</v>
      </c>
      <c r="E34" s="156">
        <f t="shared" si="6"/>
        <v>68658.614113159565</v>
      </c>
      <c r="F34" s="156">
        <f t="shared" si="6"/>
        <v>51493.960584869674</v>
      </c>
      <c r="G34" s="156">
        <f t="shared" si="6"/>
        <v>34329.307056579783</v>
      </c>
      <c r="H34" s="156">
        <f t="shared" si="6"/>
        <v>34329.307056579783</v>
      </c>
      <c r="I34" s="156">
        <f t="shared" si="6"/>
        <v>34329.307056579783</v>
      </c>
      <c r="J34" s="156">
        <f t="shared" si="6"/>
        <v>85823.267641449449</v>
      </c>
      <c r="K34" s="156">
        <f t="shared" si="6"/>
        <v>74380.165289256198</v>
      </c>
      <c r="L34" s="156">
        <f t="shared" si="6"/>
        <v>85823.267641449449</v>
      </c>
      <c r="M34" s="156">
        <f t="shared" si="6"/>
        <v>68658.614113159565</v>
      </c>
      <c r="N34" s="156">
        <f t="shared" si="6"/>
        <v>51493.960584869674</v>
      </c>
      <c r="O34" s="156">
        <f t="shared" si="6"/>
        <v>51493.960584869674</v>
      </c>
      <c r="P34" s="149"/>
      <c r="Q34" s="133"/>
      <c r="R34" s="134"/>
    </row>
    <row r="35" spans="1:18" ht="12.75">
      <c r="A35" s="154" t="s">
        <v>107</v>
      </c>
      <c r="B35" s="154" t="s">
        <v>108</v>
      </c>
      <c r="C35" s="155">
        <f>'One Helix'!C36</f>
        <v>5538461.538461538</v>
      </c>
      <c r="D35" s="156">
        <f t="shared" si="7"/>
        <v>411951.68467895739</v>
      </c>
      <c r="E35" s="156">
        <f t="shared" si="6"/>
        <v>549268.91290527652</v>
      </c>
      <c r="F35" s="156">
        <f t="shared" si="6"/>
        <v>411951.68467895739</v>
      </c>
      <c r="G35" s="156">
        <f t="shared" si="6"/>
        <v>274634.45645263826</v>
      </c>
      <c r="H35" s="156">
        <f t="shared" si="6"/>
        <v>274634.45645263826</v>
      </c>
      <c r="I35" s="156">
        <f t="shared" si="6"/>
        <v>274634.45645263826</v>
      </c>
      <c r="J35" s="156">
        <f t="shared" si="6"/>
        <v>686586.14113159559</v>
      </c>
      <c r="K35" s="156">
        <f t="shared" si="6"/>
        <v>595041.32231404958</v>
      </c>
      <c r="L35" s="156">
        <f t="shared" si="6"/>
        <v>686586.14113159559</v>
      </c>
      <c r="M35" s="156">
        <f t="shared" si="6"/>
        <v>549268.91290527652</v>
      </c>
      <c r="N35" s="156">
        <f t="shared" si="6"/>
        <v>411951.68467895739</v>
      </c>
      <c r="O35" s="156">
        <f t="shared" si="6"/>
        <v>411951.68467895739</v>
      </c>
      <c r="P35" s="149"/>
      <c r="Q35" s="133"/>
      <c r="R35" s="134"/>
    </row>
    <row r="36" spans="1:18" ht="12.75">
      <c r="A36" s="154" t="s">
        <v>109</v>
      </c>
      <c r="B36" s="154" t="s">
        <v>110</v>
      </c>
      <c r="C36" s="155">
        <f>'One Helix'!C37</f>
        <v>1038461.5384615384</v>
      </c>
      <c r="D36" s="156">
        <v>1557692.3076923075</v>
      </c>
      <c r="E36" s="156">
        <v>0</v>
      </c>
      <c r="F36" s="156">
        <v>0</v>
      </c>
      <c r="G36" s="156">
        <v>0</v>
      </c>
      <c r="H36" s="156">
        <v>0</v>
      </c>
      <c r="I36" s="156">
        <v>0</v>
      </c>
      <c r="J36" s="156">
        <v>0</v>
      </c>
      <c r="K36" s="156">
        <v>0</v>
      </c>
      <c r="L36" s="156">
        <v>0</v>
      </c>
      <c r="M36" s="156">
        <v>0</v>
      </c>
      <c r="N36" s="156">
        <v>0</v>
      </c>
      <c r="O36" s="156">
        <v>0</v>
      </c>
      <c r="P36" s="149"/>
      <c r="Q36" s="133"/>
      <c r="R36" s="134"/>
    </row>
    <row r="37" spans="1:18" ht="12.75">
      <c r="A37" s="154" t="s">
        <v>111</v>
      </c>
      <c r="B37" s="154" t="s">
        <v>112</v>
      </c>
      <c r="C37" s="155">
        <f>'One Helix'!C38</f>
        <v>2769230.769230769</v>
      </c>
      <c r="D37" s="156">
        <f>C37*0.5</f>
        <v>1384615.3846153845</v>
      </c>
      <c r="E37" s="156">
        <v>0</v>
      </c>
      <c r="F37" s="156">
        <v>0</v>
      </c>
      <c r="G37" s="156">
        <v>0</v>
      </c>
      <c r="H37" s="156">
        <v>0</v>
      </c>
      <c r="I37" s="156">
        <v>0</v>
      </c>
      <c r="J37" s="156">
        <f>C37-D37</f>
        <v>1384615.3846153845</v>
      </c>
      <c r="K37" s="156">
        <v>0</v>
      </c>
      <c r="L37" s="156">
        <v>0</v>
      </c>
      <c r="M37" s="156">
        <v>0</v>
      </c>
      <c r="N37" s="156">
        <v>0</v>
      </c>
      <c r="O37" s="156">
        <v>0</v>
      </c>
      <c r="P37" s="149"/>
      <c r="Q37" s="133"/>
      <c r="R37" s="134"/>
    </row>
    <row r="38" spans="1:18" ht="12.75">
      <c r="A38" s="154" t="s">
        <v>113</v>
      </c>
      <c r="B38" s="154" t="s">
        <v>114</v>
      </c>
      <c r="C38" s="155">
        <f>'One Helix'!C39</f>
        <v>2076923.0769230768</v>
      </c>
      <c r="D38" s="156">
        <f t="shared" si="7"/>
        <v>154481.88175460903</v>
      </c>
      <c r="E38" s="156">
        <f t="shared" si="6"/>
        <v>205975.8423394787</v>
      </c>
      <c r="F38" s="156">
        <f t="shared" si="6"/>
        <v>154481.88175460903</v>
      </c>
      <c r="G38" s="156">
        <f t="shared" si="6"/>
        <v>102987.92116973935</v>
      </c>
      <c r="H38" s="156">
        <f t="shared" si="6"/>
        <v>102987.92116973935</v>
      </c>
      <c r="I38" s="156">
        <f t="shared" si="6"/>
        <v>102987.92116973935</v>
      </c>
      <c r="J38" s="156">
        <f t="shared" si="6"/>
        <v>257469.80292434836</v>
      </c>
      <c r="K38" s="156">
        <f t="shared" si="6"/>
        <v>223140.49586776859</v>
      </c>
      <c r="L38" s="156">
        <f t="shared" si="6"/>
        <v>257469.80292434836</v>
      </c>
      <c r="M38" s="156">
        <f t="shared" si="6"/>
        <v>205975.8423394787</v>
      </c>
      <c r="N38" s="156">
        <f t="shared" si="6"/>
        <v>154481.88175460903</v>
      </c>
      <c r="O38" s="156">
        <f t="shared" si="6"/>
        <v>154481.88175460903</v>
      </c>
      <c r="P38" s="149"/>
      <c r="Q38" s="133"/>
      <c r="R38" s="134"/>
    </row>
    <row r="39" spans="1:18" ht="12.75">
      <c r="A39" s="154" t="s">
        <v>115</v>
      </c>
      <c r="B39" s="154" t="s">
        <v>116</v>
      </c>
      <c r="C39" s="155">
        <f>'One Helix'!C40</f>
        <v>1523076.923076923</v>
      </c>
      <c r="D39" s="156">
        <f t="shared" si="7"/>
        <v>113286.71328671329</v>
      </c>
      <c r="E39" s="156">
        <f t="shared" si="7"/>
        <v>151048.95104895104</v>
      </c>
      <c r="F39" s="156">
        <f t="shared" si="7"/>
        <v>113286.71328671329</v>
      </c>
      <c r="G39" s="156">
        <f t="shared" si="7"/>
        <v>75524.475524475522</v>
      </c>
      <c r="H39" s="156">
        <f t="shared" si="7"/>
        <v>75524.475524475522</v>
      </c>
      <c r="I39" s="156">
        <f t="shared" si="7"/>
        <v>75524.475524475522</v>
      </c>
      <c r="J39" s="156">
        <f t="shared" si="7"/>
        <v>188811.1888111888</v>
      </c>
      <c r="K39" s="156">
        <f t="shared" si="7"/>
        <v>163636.36363636365</v>
      </c>
      <c r="L39" s="156">
        <f t="shared" si="7"/>
        <v>188811.1888111888</v>
      </c>
      <c r="M39" s="156">
        <f t="shared" si="7"/>
        <v>151048.95104895104</v>
      </c>
      <c r="N39" s="156">
        <f t="shared" si="7"/>
        <v>113286.71328671329</v>
      </c>
      <c r="O39" s="156">
        <f t="shared" si="7"/>
        <v>113286.71328671329</v>
      </c>
      <c r="P39" s="149"/>
      <c r="Q39" s="133"/>
      <c r="R39" s="134"/>
    </row>
    <row r="40" spans="1:18" ht="12.75">
      <c r="A40" s="145" t="s">
        <v>117</v>
      </c>
      <c r="B40" s="273" t="s">
        <v>54</v>
      </c>
      <c r="C40" s="147">
        <f>SUM(C42:C45)</f>
        <v>3625000</v>
      </c>
      <c r="D40" s="148">
        <f>SUM(D42:D45)</f>
        <v>297933.88429752068</v>
      </c>
      <c r="E40" s="148">
        <f t="shared" ref="E40:O40" si="10">SUM(E42:E45)</f>
        <v>165289.25619834711</v>
      </c>
      <c r="F40" s="148">
        <f t="shared" si="10"/>
        <v>165289.25619834711</v>
      </c>
      <c r="G40" s="148">
        <f t="shared" si="10"/>
        <v>0</v>
      </c>
      <c r="H40" s="148">
        <f t="shared" si="10"/>
        <v>0</v>
      </c>
      <c r="I40" s="148">
        <f t="shared" si="10"/>
        <v>0</v>
      </c>
      <c r="J40" s="148">
        <f t="shared" si="10"/>
        <v>215289.25619834711</v>
      </c>
      <c r="K40" s="148">
        <f t="shared" si="10"/>
        <v>165289.25619834711</v>
      </c>
      <c r="L40" s="148">
        <f t="shared" si="10"/>
        <v>115909.09090909091</v>
      </c>
      <c r="M40" s="148">
        <f t="shared" si="10"/>
        <v>0</v>
      </c>
      <c r="N40" s="148">
        <f t="shared" si="10"/>
        <v>0</v>
      </c>
      <c r="O40" s="148">
        <f t="shared" si="10"/>
        <v>0</v>
      </c>
      <c r="P40" s="149"/>
      <c r="Q40" s="133"/>
      <c r="R40" s="134"/>
    </row>
    <row r="41" spans="1:18" ht="12.75">
      <c r="A41" s="151" t="s">
        <v>118</v>
      </c>
      <c r="B41" s="273"/>
      <c r="C41" s="151"/>
      <c r="D41" s="148">
        <v>30</v>
      </c>
      <c r="E41" s="148">
        <v>20</v>
      </c>
      <c r="F41" s="148">
        <v>20</v>
      </c>
      <c r="G41" s="148">
        <v>0</v>
      </c>
      <c r="H41" s="148">
        <v>0</v>
      </c>
      <c r="I41" s="148">
        <v>0</v>
      </c>
      <c r="J41" s="148">
        <v>20</v>
      </c>
      <c r="K41" s="148">
        <v>20</v>
      </c>
      <c r="L41" s="148">
        <v>11</v>
      </c>
      <c r="M41" s="148">
        <v>0</v>
      </c>
      <c r="N41" s="148">
        <v>0</v>
      </c>
      <c r="O41" s="148">
        <v>0</v>
      </c>
      <c r="P41" s="149"/>
      <c r="Q41" s="152">
        <f>121-SUM(D41:O41)</f>
        <v>0</v>
      </c>
      <c r="R41" s="134"/>
    </row>
    <row r="42" spans="1:18" ht="12.75">
      <c r="A42" s="154" t="s">
        <v>119</v>
      </c>
      <c r="B42" s="154" t="s">
        <v>120</v>
      </c>
      <c r="C42" s="155">
        <f>'One Helix'!C42</f>
        <v>1000000</v>
      </c>
      <c r="D42" s="156">
        <f>(D$41/121)*$C42</f>
        <v>247933.88429752068</v>
      </c>
      <c r="E42" s="156">
        <f t="shared" ref="E42:O42" si="11">(E$41/121)*$C42</f>
        <v>165289.25619834711</v>
      </c>
      <c r="F42" s="156">
        <f t="shared" si="11"/>
        <v>165289.25619834711</v>
      </c>
      <c r="G42" s="156">
        <f t="shared" si="11"/>
        <v>0</v>
      </c>
      <c r="H42" s="156">
        <f t="shared" si="11"/>
        <v>0</v>
      </c>
      <c r="I42" s="156">
        <f t="shared" si="11"/>
        <v>0</v>
      </c>
      <c r="J42" s="156">
        <f t="shared" si="11"/>
        <v>165289.25619834711</v>
      </c>
      <c r="K42" s="156">
        <f t="shared" si="11"/>
        <v>165289.25619834711</v>
      </c>
      <c r="L42" s="156">
        <f t="shared" si="11"/>
        <v>90909.090909090912</v>
      </c>
      <c r="M42" s="156">
        <f t="shared" si="11"/>
        <v>0</v>
      </c>
      <c r="N42" s="156">
        <f t="shared" si="11"/>
        <v>0</v>
      </c>
      <c r="O42" s="156">
        <f t="shared" si="11"/>
        <v>0</v>
      </c>
      <c r="P42" s="149"/>
      <c r="Q42" s="133"/>
      <c r="R42" s="134"/>
    </row>
    <row r="43" spans="1:18" ht="12.75">
      <c r="A43" s="154" t="s">
        <v>121</v>
      </c>
      <c r="B43" s="154" t="s">
        <v>122</v>
      </c>
      <c r="C43" s="155">
        <f>'One Helix'!C43</f>
        <v>2500000</v>
      </c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49"/>
      <c r="Q43" s="133"/>
      <c r="R43" s="134"/>
    </row>
    <row r="44" spans="1:18" ht="12.75">
      <c r="A44" s="154" t="s">
        <v>109</v>
      </c>
      <c r="B44" s="154" t="s">
        <v>123</v>
      </c>
      <c r="C44" s="155">
        <f>'One Helix'!C44</f>
        <v>25000</v>
      </c>
      <c r="E44" s="156">
        <v>0</v>
      </c>
      <c r="F44" s="156">
        <v>0</v>
      </c>
      <c r="G44" s="156">
        <v>0</v>
      </c>
      <c r="H44" s="156">
        <v>0</v>
      </c>
      <c r="I44" s="156">
        <v>0</v>
      </c>
      <c r="J44" s="156">
        <v>0</v>
      </c>
      <c r="K44" s="156">
        <v>0</v>
      </c>
      <c r="L44" s="168">
        <v>25000</v>
      </c>
      <c r="M44" s="156">
        <v>0</v>
      </c>
      <c r="N44" s="156">
        <f>(N$41/121)*$C44</f>
        <v>0</v>
      </c>
      <c r="O44" s="156">
        <f>(O$41/121)*$C44</f>
        <v>0</v>
      </c>
      <c r="P44" s="149"/>
      <c r="Q44" s="133"/>
      <c r="R44" s="134"/>
    </row>
    <row r="45" spans="1:18" ht="12.75">
      <c r="A45" s="154" t="s">
        <v>111</v>
      </c>
      <c r="B45" s="154" t="s">
        <v>124</v>
      </c>
      <c r="C45" s="155">
        <f>'One Helix'!C45</f>
        <v>100000</v>
      </c>
      <c r="D45" s="156">
        <f>C45*0.5</f>
        <v>50000</v>
      </c>
      <c r="E45" s="156">
        <v>0</v>
      </c>
      <c r="F45" s="156">
        <v>0</v>
      </c>
      <c r="G45" s="156">
        <f>(G$41/121)*$C45</f>
        <v>0</v>
      </c>
      <c r="H45" s="156">
        <f>(H$41/121)*$C45</f>
        <v>0</v>
      </c>
      <c r="I45" s="156">
        <f>(I$41/121)*$C45</f>
        <v>0</v>
      </c>
      <c r="J45" s="156">
        <f>C45*0.5</f>
        <v>50000</v>
      </c>
      <c r="K45" s="156">
        <v>0</v>
      </c>
      <c r="L45" s="156">
        <v>0</v>
      </c>
      <c r="M45" s="156">
        <f>(M$41/121)*$C45</f>
        <v>0</v>
      </c>
      <c r="N45" s="156">
        <f>(N$41/121)*$C45</f>
        <v>0</v>
      </c>
      <c r="O45" s="156">
        <f>(O$41/121)*$C45</f>
        <v>0</v>
      </c>
      <c r="P45" s="149"/>
      <c r="Q45" s="133"/>
      <c r="R45" s="134"/>
    </row>
    <row r="46" spans="1:18" ht="12.75">
      <c r="A46" s="145" t="s">
        <v>125</v>
      </c>
      <c r="B46" s="273" t="s">
        <v>54</v>
      </c>
      <c r="C46" s="147">
        <f>SUM(C48:C51)</f>
        <v>12800000</v>
      </c>
      <c r="D46" s="148">
        <f>SUM(D48:D51)</f>
        <v>3877272.7272727271</v>
      </c>
      <c r="E46" s="148">
        <f t="shared" ref="E46:O46" si="12">SUM(E48:E51)</f>
        <v>3786363.6363636362</v>
      </c>
      <c r="F46" s="148">
        <f t="shared" si="12"/>
        <v>3786363.6363636362</v>
      </c>
      <c r="G46" s="148">
        <f t="shared" si="12"/>
        <v>150000</v>
      </c>
      <c r="H46" s="148">
        <f t="shared" si="12"/>
        <v>150000</v>
      </c>
      <c r="I46" s="148">
        <f t="shared" si="12"/>
        <v>150000</v>
      </c>
      <c r="J46" s="148">
        <f t="shared" si="12"/>
        <v>150000</v>
      </c>
      <c r="K46" s="148">
        <f t="shared" si="12"/>
        <v>150000</v>
      </c>
      <c r="L46" s="148">
        <f t="shared" si="12"/>
        <v>150000</v>
      </c>
      <c r="M46" s="148">
        <f t="shared" si="12"/>
        <v>150000</v>
      </c>
      <c r="N46" s="148">
        <f t="shared" si="12"/>
        <v>150000</v>
      </c>
      <c r="O46" s="148">
        <f t="shared" si="12"/>
        <v>150000</v>
      </c>
      <c r="P46" s="149"/>
      <c r="Q46" s="133"/>
      <c r="R46" s="134"/>
    </row>
    <row r="47" spans="1:18" ht="12.75">
      <c r="A47" s="151" t="s">
        <v>126</v>
      </c>
      <c r="B47" s="273"/>
      <c r="C47" s="151"/>
      <c r="D47" s="148">
        <v>41</v>
      </c>
      <c r="E47" s="148">
        <v>40</v>
      </c>
      <c r="F47" s="148">
        <v>40</v>
      </c>
      <c r="G47" s="148">
        <v>0</v>
      </c>
      <c r="H47" s="148">
        <v>0</v>
      </c>
      <c r="I47" s="148">
        <v>0</v>
      </c>
      <c r="J47" s="148">
        <v>0</v>
      </c>
      <c r="K47" s="148">
        <v>0</v>
      </c>
      <c r="L47" s="148">
        <v>0</v>
      </c>
      <c r="M47" s="148">
        <v>0</v>
      </c>
      <c r="N47" s="148">
        <v>0</v>
      </c>
      <c r="O47" s="148">
        <v>0</v>
      </c>
      <c r="P47" s="149"/>
      <c r="Q47" s="152">
        <f>121-SUM(D47:O47)</f>
        <v>0</v>
      </c>
      <c r="R47" s="134"/>
    </row>
    <row r="48" spans="1:18" ht="12.75">
      <c r="A48" s="154" t="s">
        <v>127</v>
      </c>
      <c r="B48" s="154" t="s">
        <v>128</v>
      </c>
      <c r="C48" s="155">
        <f>'One Helix'!C47</f>
        <v>1800000</v>
      </c>
      <c r="D48" s="156">
        <v>150000</v>
      </c>
      <c r="E48" s="156">
        <v>150000</v>
      </c>
      <c r="F48" s="156">
        <v>150000</v>
      </c>
      <c r="G48" s="156">
        <v>150000</v>
      </c>
      <c r="H48" s="156">
        <v>150000</v>
      </c>
      <c r="I48" s="156">
        <v>150000</v>
      </c>
      <c r="J48" s="156">
        <v>150000</v>
      </c>
      <c r="K48" s="156">
        <v>150000</v>
      </c>
      <c r="L48" s="156">
        <v>150000</v>
      </c>
      <c r="M48" s="156">
        <v>150000</v>
      </c>
      <c r="N48" s="156">
        <v>150000</v>
      </c>
      <c r="O48" s="156">
        <v>150000</v>
      </c>
      <c r="P48" s="149"/>
      <c r="Q48" s="133"/>
      <c r="R48" s="134"/>
    </row>
    <row r="49" spans="1:18" ht="12.75">
      <c r="A49" s="154" t="s">
        <v>129</v>
      </c>
      <c r="B49" s="154"/>
      <c r="C49" s="155">
        <f>'One Helix'!C48</f>
        <v>5000000</v>
      </c>
      <c r="D49" s="156">
        <f t="shared" ref="D49:O51" si="13">(D$47/121)*$C49</f>
        <v>1694214.8760330577</v>
      </c>
      <c r="E49" s="156">
        <f t="shared" si="13"/>
        <v>1652892.561983471</v>
      </c>
      <c r="F49" s="156">
        <f t="shared" si="13"/>
        <v>1652892.561983471</v>
      </c>
      <c r="G49" s="156">
        <f t="shared" si="13"/>
        <v>0</v>
      </c>
      <c r="H49" s="156">
        <f t="shared" si="13"/>
        <v>0</v>
      </c>
      <c r="I49" s="156">
        <f t="shared" si="13"/>
        <v>0</v>
      </c>
      <c r="J49" s="156">
        <f t="shared" si="13"/>
        <v>0</v>
      </c>
      <c r="K49" s="156">
        <f t="shared" si="13"/>
        <v>0</v>
      </c>
      <c r="L49" s="156">
        <f t="shared" si="13"/>
        <v>0</v>
      </c>
      <c r="M49" s="156">
        <f t="shared" si="13"/>
        <v>0</v>
      </c>
      <c r="N49" s="156">
        <f t="shared" si="13"/>
        <v>0</v>
      </c>
      <c r="O49" s="156">
        <f t="shared" si="13"/>
        <v>0</v>
      </c>
      <c r="P49" s="149"/>
      <c r="Q49" s="133"/>
      <c r="R49" s="134"/>
    </row>
    <row r="50" spans="1:18" ht="12.75">
      <c r="A50" s="154" t="s">
        <v>130</v>
      </c>
      <c r="B50" s="154" t="s">
        <v>131</v>
      </c>
      <c r="C50" s="155">
        <f>'One Helix'!C49</f>
        <v>5000000</v>
      </c>
      <c r="D50" s="156">
        <f t="shared" si="13"/>
        <v>1694214.8760330577</v>
      </c>
      <c r="E50" s="156">
        <f t="shared" si="13"/>
        <v>1652892.561983471</v>
      </c>
      <c r="F50" s="156">
        <f t="shared" si="13"/>
        <v>1652892.561983471</v>
      </c>
      <c r="G50" s="156">
        <f t="shared" si="13"/>
        <v>0</v>
      </c>
      <c r="H50" s="156">
        <f t="shared" si="13"/>
        <v>0</v>
      </c>
      <c r="I50" s="156">
        <f t="shared" si="13"/>
        <v>0</v>
      </c>
      <c r="J50" s="156">
        <f t="shared" si="13"/>
        <v>0</v>
      </c>
      <c r="K50" s="156">
        <f t="shared" si="13"/>
        <v>0</v>
      </c>
      <c r="L50" s="156">
        <f t="shared" si="13"/>
        <v>0</v>
      </c>
      <c r="M50" s="156">
        <f t="shared" si="13"/>
        <v>0</v>
      </c>
      <c r="N50" s="156">
        <f t="shared" si="13"/>
        <v>0</v>
      </c>
      <c r="O50" s="156">
        <f t="shared" si="13"/>
        <v>0</v>
      </c>
      <c r="P50" s="149"/>
      <c r="Q50" s="133"/>
      <c r="R50" s="134"/>
    </row>
    <row r="51" spans="1:18" ht="12.75">
      <c r="A51" s="154" t="s">
        <v>132</v>
      </c>
      <c r="B51" s="154"/>
      <c r="C51" s="155">
        <f>'One Helix'!C50</f>
        <v>1000000</v>
      </c>
      <c r="D51" s="156">
        <f t="shared" si="13"/>
        <v>338842.97520661156</v>
      </c>
      <c r="E51" s="156">
        <f t="shared" si="13"/>
        <v>330578.51239669422</v>
      </c>
      <c r="F51" s="156">
        <f t="shared" si="13"/>
        <v>330578.51239669422</v>
      </c>
      <c r="G51" s="156">
        <f t="shared" si="13"/>
        <v>0</v>
      </c>
      <c r="H51" s="156">
        <f t="shared" si="13"/>
        <v>0</v>
      </c>
      <c r="I51" s="156">
        <f t="shared" si="13"/>
        <v>0</v>
      </c>
      <c r="J51" s="156">
        <f t="shared" si="13"/>
        <v>0</v>
      </c>
      <c r="K51" s="156">
        <f t="shared" si="13"/>
        <v>0</v>
      </c>
      <c r="L51" s="156">
        <f t="shared" si="13"/>
        <v>0</v>
      </c>
      <c r="M51" s="156">
        <f t="shared" si="13"/>
        <v>0</v>
      </c>
      <c r="N51" s="156">
        <f t="shared" si="13"/>
        <v>0</v>
      </c>
      <c r="O51" s="156">
        <f t="shared" si="13"/>
        <v>0</v>
      </c>
      <c r="P51" s="134"/>
      <c r="Q51" s="133"/>
      <c r="R51" s="134"/>
    </row>
    <row r="52" spans="1:18" ht="12.75">
      <c r="A52" s="145" t="s">
        <v>133</v>
      </c>
      <c r="B52" s="146" t="s">
        <v>54</v>
      </c>
      <c r="C52" s="183">
        <f>C53</f>
        <v>5000000</v>
      </c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34"/>
      <c r="Q52" s="133"/>
      <c r="R52" s="134"/>
    </row>
    <row r="53" spans="1:18">
      <c r="A53" s="154"/>
      <c r="B53" s="154"/>
      <c r="C53" s="155">
        <f>'One Helix'!C52</f>
        <v>5000000</v>
      </c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34"/>
      <c r="Q53" s="133"/>
      <c r="R53" s="134"/>
    </row>
    <row r="54" spans="1:18" ht="12.75">
      <c r="A54" s="145" t="s">
        <v>134</v>
      </c>
      <c r="B54" s="145"/>
      <c r="C54" s="147">
        <f>SUM(C46+C40+C21+C10+C52)</f>
        <v>234389615.38461539</v>
      </c>
      <c r="D54" s="148">
        <f>SUM(D46+D40+D21+D10)</f>
        <v>22674640.813731723</v>
      </c>
      <c r="E54" s="148">
        <f t="shared" ref="E54:O54" si="14">SUM(E46+E40+E21+E10)</f>
        <v>24694488.239033692</v>
      </c>
      <c r="F54" s="148">
        <f t="shared" si="14"/>
        <v>19508779.402415767</v>
      </c>
      <c r="G54" s="148">
        <f t="shared" si="14"/>
        <v>10521417.673235856</v>
      </c>
      <c r="H54" s="148">
        <f t="shared" si="14"/>
        <v>10521417.673235856</v>
      </c>
      <c r="I54" s="148">
        <f t="shared" si="14"/>
        <v>10521417.673235856</v>
      </c>
      <c r="J54" s="148">
        <f t="shared" si="14"/>
        <v>27678448.823903367</v>
      </c>
      <c r="K54" s="148">
        <f t="shared" si="14"/>
        <v>22786694.21487603</v>
      </c>
      <c r="L54" s="148">
        <f t="shared" si="14"/>
        <v>26194453.27399873</v>
      </c>
      <c r="M54" s="148">
        <f t="shared" si="14"/>
        <v>20892835.346471712</v>
      </c>
      <c r="N54" s="148">
        <f t="shared" si="14"/>
        <v>15707126.509853782</v>
      </c>
      <c r="O54" s="148">
        <f t="shared" si="14"/>
        <v>15707126.509853782</v>
      </c>
      <c r="P54" s="149"/>
      <c r="Q54" s="133"/>
      <c r="R54" s="134"/>
    </row>
    <row r="56" spans="1:18" ht="12.75">
      <c r="A56" s="169" t="s">
        <v>135</v>
      </c>
      <c r="B56" s="170" t="s">
        <v>136</v>
      </c>
      <c r="C56" s="171" t="s">
        <v>137</v>
      </c>
    </row>
    <row r="57" spans="1:18" ht="12.75">
      <c r="A57" s="172" t="s">
        <v>53</v>
      </c>
      <c r="B57" s="173">
        <f>C10</f>
        <v>125600000</v>
      </c>
      <c r="C57" s="174">
        <f>B57/$C$54</f>
        <v>0.53585991765846808</v>
      </c>
    </row>
    <row r="58" spans="1:18" ht="12.75">
      <c r="A58" s="172" t="s">
        <v>81</v>
      </c>
      <c r="B58" s="173">
        <f>C21</f>
        <v>87364615.384615391</v>
      </c>
      <c r="C58" s="174">
        <f t="shared" ref="C58:C60" si="15">B58/$C$54</f>
        <v>0.37273244909445646</v>
      </c>
    </row>
    <row r="59" spans="1:18" ht="12.75">
      <c r="A59" s="172" t="s">
        <v>117</v>
      </c>
      <c r="B59" s="173">
        <f>C40</f>
        <v>3625000</v>
      </c>
      <c r="C59" s="174">
        <f t="shared" si="15"/>
        <v>1.5465702241337155E-2</v>
      </c>
    </row>
    <row r="60" spans="1:18" ht="12.75">
      <c r="A60" s="172" t="s">
        <v>125</v>
      </c>
      <c r="B60" s="173">
        <f>C46</f>
        <v>12800000</v>
      </c>
      <c r="C60" s="174">
        <f t="shared" si="15"/>
        <v>5.4609927914238784E-2</v>
      </c>
    </row>
  </sheetData>
  <mergeCells count="4">
    <mergeCell ref="B10:B11"/>
    <mergeCell ref="B21:B22"/>
    <mergeCell ref="B40:B41"/>
    <mergeCell ref="B46:B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4DB1-DF98-4543-AF6B-F055EFD44F71}">
  <dimension ref="A1:W56"/>
  <sheetViews>
    <sheetView workbookViewId="0">
      <selection activeCell="C50" sqref="C50"/>
    </sheetView>
  </sheetViews>
  <sheetFormatPr defaultRowHeight="15"/>
  <cols>
    <col min="1" max="1" width="67" customWidth="1"/>
    <col min="2" max="2" width="112.7109375" customWidth="1"/>
    <col min="3" max="16" width="15.140625" customWidth="1"/>
    <col min="17" max="18" width="14" customWidth="1"/>
    <col min="19" max="19" width="22.85546875" customWidth="1"/>
    <col min="20" max="23" width="22.5703125" customWidth="1"/>
  </cols>
  <sheetData>
    <row r="1" spans="1:23">
      <c r="A1" s="117" t="s">
        <v>36</v>
      </c>
      <c r="B1" s="119">
        <v>42</v>
      </c>
    </row>
    <row r="2" spans="1:23">
      <c r="A2" s="117" t="s">
        <v>37</v>
      </c>
      <c r="B2" s="119">
        <v>27000</v>
      </c>
    </row>
    <row r="3" spans="1:23">
      <c r="A3" s="117" t="s">
        <v>38</v>
      </c>
      <c r="B3" s="119">
        <v>20</v>
      </c>
    </row>
    <row r="4" spans="1:23">
      <c r="A4" s="117" t="s">
        <v>39</v>
      </c>
      <c r="B4" s="119">
        <v>6230.7692307692305</v>
      </c>
    </row>
    <row r="5" spans="1:23">
      <c r="A5" s="117" t="s">
        <v>40</v>
      </c>
      <c r="B5" s="119">
        <v>2015</v>
      </c>
    </row>
    <row r="6" spans="1:23">
      <c r="A6" s="118" t="s">
        <v>42</v>
      </c>
      <c r="B6" s="120">
        <v>1310</v>
      </c>
      <c r="C6" t="s">
        <v>138</v>
      </c>
    </row>
    <row r="7" spans="1:23">
      <c r="A7" s="118" t="s">
        <v>44</v>
      </c>
      <c r="B7" s="120">
        <v>250</v>
      </c>
    </row>
    <row r="8" spans="1:23" ht="15.75">
      <c r="B8" s="112"/>
      <c r="C8" s="110" t="s">
        <v>45</v>
      </c>
      <c r="D8" s="81">
        <v>46048</v>
      </c>
      <c r="E8" s="82">
        <v>46168</v>
      </c>
      <c r="F8" s="82">
        <v>46199</v>
      </c>
      <c r="G8" s="82">
        <v>46229</v>
      </c>
      <c r="H8" s="82">
        <v>46260</v>
      </c>
      <c r="I8" s="82">
        <v>46291</v>
      </c>
      <c r="J8" s="82">
        <v>46321</v>
      </c>
      <c r="K8" s="82">
        <v>46352</v>
      </c>
      <c r="L8" s="82">
        <v>46382</v>
      </c>
      <c r="M8" s="82">
        <v>46413</v>
      </c>
      <c r="N8" s="82">
        <v>46444</v>
      </c>
      <c r="O8" s="82">
        <v>46472</v>
      </c>
      <c r="P8" s="1"/>
      <c r="Q8" s="80" t="s">
        <v>46</v>
      </c>
      <c r="R8" s="1"/>
      <c r="S8" s="105" t="s">
        <v>47</v>
      </c>
      <c r="T8" s="106" t="s">
        <v>48</v>
      </c>
      <c r="U8" s="106" t="s">
        <v>49</v>
      </c>
      <c r="V8" s="106" t="s">
        <v>50</v>
      </c>
      <c r="W8" s="106" t="s">
        <v>51</v>
      </c>
    </row>
    <row r="9" spans="1:23" ht="15.75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1"/>
      <c r="Q9" s="79"/>
      <c r="R9" s="1"/>
      <c r="S9" s="97" t="s">
        <v>52</v>
      </c>
      <c r="T9" s="98">
        <f>SUM(D50:F50)</f>
        <v>70846501.811824545</v>
      </c>
      <c r="U9" s="99">
        <f>SUM(G50:I50)</f>
        <v>42490141.11570248</v>
      </c>
      <c r="V9" s="99">
        <f>SUM(J50:L50)</f>
        <v>55613732.438016534</v>
      </c>
      <c r="W9" s="99">
        <f>SUM(M50:O50)</f>
        <v>47522204.44214876</v>
      </c>
    </row>
    <row r="10" spans="1:23" ht="16.5">
      <c r="A10" s="84" t="s">
        <v>53</v>
      </c>
      <c r="B10" s="274" t="s">
        <v>54</v>
      </c>
      <c r="C10" s="85">
        <f>SUM(C12:C20)</f>
        <v>95050000</v>
      </c>
      <c r="D10" s="86">
        <f>SUM(D12:D20)</f>
        <v>11783057.85123967</v>
      </c>
      <c r="E10" s="86">
        <f t="shared" ref="E10:O10" si="0">SUM(E12:E20)</f>
        <v>10997520.661157023</v>
      </c>
      <c r="F10" s="86">
        <f t="shared" si="0"/>
        <v>6284297.5206611585</v>
      </c>
      <c r="G10" s="86">
        <f t="shared" si="0"/>
        <v>6284297.5206611585</v>
      </c>
      <c r="H10" s="86">
        <f t="shared" si="0"/>
        <v>6284297.5206611585</v>
      </c>
      <c r="I10" s="86">
        <f t="shared" si="0"/>
        <v>6284297.5206611585</v>
      </c>
      <c r="J10" s="86">
        <f t="shared" si="0"/>
        <v>11783057.85123967</v>
      </c>
      <c r="K10" s="86">
        <f t="shared" si="0"/>
        <v>7855371.9008264467</v>
      </c>
      <c r="L10" s="86">
        <f t="shared" si="0"/>
        <v>6284297.5206611585</v>
      </c>
      <c r="M10" s="86">
        <f t="shared" si="0"/>
        <v>8640909.0909090918</v>
      </c>
      <c r="N10" s="86">
        <f t="shared" si="0"/>
        <v>6284297.5206611585</v>
      </c>
      <c r="O10" s="86">
        <f t="shared" si="0"/>
        <v>6284297.5206611585</v>
      </c>
      <c r="P10" s="75"/>
      <c r="Q10" s="79"/>
      <c r="R10" s="1"/>
      <c r="S10" s="97" t="s">
        <v>55</v>
      </c>
      <c r="T10" s="100">
        <f>T9/$C$50</f>
        <v>0.32734725403406761</v>
      </c>
      <c r="U10" s="100">
        <f t="shared" ref="U10:W10" si="1">U9/$C$50</f>
        <v>0.19632629222384232</v>
      </c>
      <c r="V10" s="100">
        <f t="shared" si="1"/>
        <v>0.25696402976288635</v>
      </c>
      <c r="W10" s="100">
        <f t="shared" si="1"/>
        <v>0.21957701131245647</v>
      </c>
    </row>
    <row r="11" spans="1:23" ht="16.5">
      <c r="A11" s="87" t="s">
        <v>56</v>
      </c>
      <c r="B11" s="275"/>
      <c r="C11" s="88"/>
      <c r="D11" s="86">
        <v>15</v>
      </c>
      <c r="E11" s="86">
        <v>14</v>
      </c>
      <c r="F11" s="86">
        <v>8</v>
      </c>
      <c r="G11" s="86">
        <v>8</v>
      </c>
      <c r="H11" s="86">
        <v>8</v>
      </c>
      <c r="I11" s="86">
        <v>8</v>
      </c>
      <c r="J11" s="86">
        <v>15</v>
      </c>
      <c r="K11" s="86">
        <v>10</v>
      </c>
      <c r="L11" s="86">
        <v>8</v>
      </c>
      <c r="M11" s="86">
        <v>11</v>
      </c>
      <c r="N11" s="86">
        <v>8</v>
      </c>
      <c r="O11" s="86">
        <v>8</v>
      </c>
      <c r="P11" s="75"/>
      <c r="Q11" s="77">
        <f>121-SUM(D11:O11)</f>
        <v>0</v>
      </c>
      <c r="R11" s="75"/>
      <c r="S11" s="97" t="s">
        <v>57</v>
      </c>
      <c r="T11" s="101">
        <f>W16</f>
        <v>874.64817051635237</v>
      </c>
      <c r="U11" s="101">
        <f>W21</f>
        <v>674.44668437622988</v>
      </c>
      <c r="V11" s="101">
        <f>W26</f>
        <v>585.40770987385827</v>
      </c>
      <c r="W11" s="101">
        <f>W31</f>
        <v>314.71658570959443</v>
      </c>
    </row>
    <row r="12" spans="1:23" ht="16.5">
      <c r="A12" s="89" t="s">
        <v>58</v>
      </c>
      <c r="B12" s="89" t="s">
        <v>59</v>
      </c>
      <c r="C12" s="90">
        <v>75000000</v>
      </c>
      <c r="D12" s="91">
        <f>(D$11/121)*$C12</f>
        <v>9297520.661157025</v>
      </c>
      <c r="E12" s="91">
        <f t="shared" ref="E12:O20" si="2">(E$11/121)*$C12</f>
        <v>8677685.9504132234</v>
      </c>
      <c r="F12" s="91">
        <f t="shared" si="2"/>
        <v>4958677.6859504133</v>
      </c>
      <c r="G12" s="91">
        <f t="shared" si="2"/>
        <v>4958677.6859504133</v>
      </c>
      <c r="H12" s="91">
        <f t="shared" si="2"/>
        <v>4958677.6859504133</v>
      </c>
      <c r="I12" s="91">
        <f t="shared" si="2"/>
        <v>4958677.6859504133</v>
      </c>
      <c r="J12" s="91">
        <f t="shared" si="2"/>
        <v>9297520.661157025</v>
      </c>
      <c r="K12" s="91">
        <f t="shared" si="2"/>
        <v>6198347.1074380167</v>
      </c>
      <c r="L12" s="91">
        <f t="shared" si="2"/>
        <v>4958677.6859504133</v>
      </c>
      <c r="M12" s="91">
        <f t="shared" si="2"/>
        <v>6818181.8181818184</v>
      </c>
      <c r="N12" s="91">
        <f t="shared" si="2"/>
        <v>4958677.6859504133</v>
      </c>
      <c r="O12" s="91">
        <f t="shared" si="2"/>
        <v>4958677.6859504133</v>
      </c>
      <c r="P12" s="1"/>
      <c r="Q12" s="79"/>
      <c r="R12" s="1"/>
      <c r="S12" s="107" t="s">
        <v>48</v>
      </c>
      <c r="T12" s="108">
        <v>46113</v>
      </c>
      <c r="U12" s="108">
        <v>46143</v>
      </c>
      <c r="V12" s="108">
        <v>46174</v>
      </c>
      <c r="W12" s="109" t="s">
        <v>60</v>
      </c>
    </row>
    <row r="13" spans="1:23" ht="16.5">
      <c r="A13" s="92" t="s">
        <v>61</v>
      </c>
      <c r="B13" s="92" t="s">
        <v>139</v>
      </c>
      <c r="C13" s="90">
        <f>11250000/3</f>
        <v>3750000</v>
      </c>
      <c r="D13" s="91">
        <f t="shared" ref="D13:D20" si="3">(D$11/121)*$C13</f>
        <v>464876.03305785125</v>
      </c>
      <c r="E13" s="91">
        <f t="shared" si="2"/>
        <v>433884.29752066114</v>
      </c>
      <c r="F13" s="91">
        <f t="shared" si="2"/>
        <v>247933.88429752068</v>
      </c>
      <c r="G13" s="91">
        <f t="shared" si="2"/>
        <v>247933.88429752068</v>
      </c>
      <c r="H13" s="91">
        <f t="shared" si="2"/>
        <v>247933.88429752068</v>
      </c>
      <c r="I13" s="91">
        <f t="shared" si="2"/>
        <v>247933.88429752068</v>
      </c>
      <c r="J13" s="91">
        <f t="shared" si="2"/>
        <v>464876.03305785125</v>
      </c>
      <c r="K13" s="91">
        <f t="shared" si="2"/>
        <v>309917.35537190083</v>
      </c>
      <c r="L13" s="91">
        <f t="shared" si="2"/>
        <v>247933.88429752068</v>
      </c>
      <c r="M13" s="91">
        <f t="shared" si="2"/>
        <v>340909.09090909094</v>
      </c>
      <c r="N13" s="91">
        <f t="shared" si="2"/>
        <v>247933.88429752068</v>
      </c>
      <c r="O13" s="91">
        <f t="shared" si="2"/>
        <v>247933.88429752068</v>
      </c>
      <c r="P13" s="75"/>
      <c r="Q13" s="79"/>
      <c r="R13" s="1"/>
      <c r="S13" s="102" t="s">
        <v>63</v>
      </c>
      <c r="T13" s="100">
        <f>T14/$W14</f>
        <v>0.42356841454068339</v>
      </c>
      <c r="U13" s="100">
        <f>U14/$W14</f>
        <v>0.33406744015386286</v>
      </c>
      <c r="V13" s="100">
        <f>V14/$W14</f>
        <v>0.24236414530545372</v>
      </c>
      <c r="W13" s="99"/>
    </row>
    <row r="14" spans="1:23" ht="15.75">
      <c r="A14" s="92"/>
      <c r="B14" s="92"/>
      <c r="C14" s="90"/>
      <c r="D14" s="91">
        <f t="shared" si="3"/>
        <v>0</v>
      </c>
      <c r="E14" s="91">
        <f t="shared" si="2"/>
        <v>0</v>
      </c>
      <c r="F14" s="91">
        <f t="shared" si="2"/>
        <v>0</v>
      </c>
      <c r="G14" s="91">
        <f t="shared" si="2"/>
        <v>0</v>
      </c>
      <c r="H14" s="91">
        <f t="shared" si="2"/>
        <v>0</v>
      </c>
      <c r="I14" s="91">
        <f t="shared" si="2"/>
        <v>0</v>
      </c>
      <c r="J14" s="91">
        <f t="shared" si="2"/>
        <v>0</v>
      </c>
      <c r="K14" s="91">
        <f t="shared" si="2"/>
        <v>0</v>
      </c>
      <c r="L14" s="91">
        <f t="shared" si="2"/>
        <v>0</v>
      </c>
      <c r="M14" s="91">
        <f t="shared" si="2"/>
        <v>0</v>
      </c>
      <c r="N14" s="91">
        <f t="shared" si="2"/>
        <v>0</v>
      </c>
      <c r="O14" s="91">
        <f t="shared" si="2"/>
        <v>0</v>
      </c>
      <c r="P14" s="75"/>
      <c r="Q14" s="79"/>
      <c r="R14" s="1"/>
      <c r="S14" s="102" t="s">
        <v>66</v>
      </c>
      <c r="T14" s="103">
        <f>D50</f>
        <v>30008340.448188175</v>
      </c>
      <c r="U14" s="103">
        <f>E50</f>
        <v>23667509.504132234</v>
      </c>
      <c r="V14" s="103">
        <f>F50</f>
        <v>17170651.859504133</v>
      </c>
      <c r="W14" s="98">
        <f>T9</f>
        <v>70846501.811824545</v>
      </c>
    </row>
    <row r="15" spans="1:23" ht="16.5">
      <c r="A15" s="92" t="s">
        <v>67</v>
      </c>
      <c r="B15" s="92" t="s">
        <v>140</v>
      </c>
      <c r="C15" s="90">
        <f>22500000/3</f>
        <v>7500000</v>
      </c>
      <c r="D15" s="91">
        <f t="shared" si="3"/>
        <v>929752.0661157025</v>
      </c>
      <c r="E15" s="91">
        <f t="shared" si="2"/>
        <v>867768.59504132229</v>
      </c>
      <c r="F15" s="91">
        <f t="shared" si="2"/>
        <v>495867.76859504136</v>
      </c>
      <c r="G15" s="91">
        <f t="shared" si="2"/>
        <v>495867.76859504136</v>
      </c>
      <c r="H15" s="91">
        <f t="shared" si="2"/>
        <v>495867.76859504136</v>
      </c>
      <c r="I15" s="91">
        <f t="shared" si="2"/>
        <v>495867.76859504136</v>
      </c>
      <c r="J15" s="91">
        <f t="shared" si="2"/>
        <v>929752.0661157025</v>
      </c>
      <c r="K15" s="91">
        <f t="shared" si="2"/>
        <v>619834.71074380167</v>
      </c>
      <c r="L15" s="91">
        <f t="shared" si="2"/>
        <v>495867.76859504136</v>
      </c>
      <c r="M15" s="91">
        <f t="shared" si="2"/>
        <v>681818.18181818188</v>
      </c>
      <c r="N15" s="91">
        <f t="shared" si="2"/>
        <v>495867.76859504136</v>
      </c>
      <c r="O15" s="91">
        <f t="shared" si="2"/>
        <v>495867.76859504136</v>
      </c>
      <c r="P15" s="75"/>
      <c r="Q15" s="79"/>
      <c r="R15" s="1"/>
      <c r="S15" s="102" t="s">
        <v>69</v>
      </c>
      <c r="T15" s="104">
        <v>23</v>
      </c>
      <c r="U15" s="104">
        <v>31</v>
      </c>
      <c r="V15" s="104">
        <v>27</v>
      </c>
      <c r="W15" s="99">
        <f>SUM(T15:V15)</f>
        <v>81</v>
      </c>
    </row>
    <row r="16" spans="1:23" ht="16.5">
      <c r="A16" s="92" t="s">
        <v>70</v>
      </c>
      <c r="B16" s="92" t="s">
        <v>141</v>
      </c>
      <c r="C16" s="90">
        <f>5000000/2</f>
        <v>2500000</v>
      </c>
      <c r="D16" s="91">
        <f t="shared" si="3"/>
        <v>309917.35537190083</v>
      </c>
      <c r="E16" s="91">
        <f t="shared" si="2"/>
        <v>289256.19834710745</v>
      </c>
      <c r="F16" s="91">
        <f t="shared" si="2"/>
        <v>165289.25619834711</v>
      </c>
      <c r="G16" s="91">
        <f t="shared" si="2"/>
        <v>165289.25619834711</v>
      </c>
      <c r="H16" s="91">
        <f t="shared" si="2"/>
        <v>165289.25619834711</v>
      </c>
      <c r="I16" s="91">
        <f t="shared" si="2"/>
        <v>165289.25619834711</v>
      </c>
      <c r="J16" s="91">
        <f t="shared" si="2"/>
        <v>309917.35537190083</v>
      </c>
      <c r="K16" s="91">
        <f t="shared" si="2"/>
        <v>206611.57024793388</v>
      </c>
      <c r="L16" s="91">
        <f t="shared" si="2"/>
        <v>165289.25619834711</v>
      </c>
      <c r="M16" s="91">
        <f t="shared" si="2"/>
        <v>227272.72727272726</v>
      </c>
      <c r="N16" s="91">
        <f t="shared" si="2"/>
        <v>165289.25619834711</v>
      </c>
      <c r="O16" s="91">
        <f t="shared" si="2"/>
        <v>165289.25619834711</v>
      </c>
      <c r="P16" s="75"/>
      <c r="Q16" s="79"/>
      <c r="R16" s="1"/>
      <c r="S16" s="102" t="s">
        <v>72</v>
      </c>
      <c r="T16" s="101">
        <f>T14/(T15*1000)</f>
        <v>1304.7104542690511</v>
      </c>
      <c r="U16" s="101">
        <f t="shared" ref="U16:V16" si="4">U14/(U15*1000)</f>
        <v>763.46804852039463</v>
      </c>
      <c r="V16" s="101">
        <f t="shared" si="4"/>
        <v>635.95006887052341</v>
      </c>
      <c r="W16" s="101">
        <f>W14/(W15*1000)</f>
        <v>874.64817051635237</v>
      </c>
    </row>
    <row r="17" spans="1:23" ht="15.75">
      <c r="A17" s="92"/>
      <c r="B17" s="92"/>
      <c r="C17" s="90"/>
      <c r="D17" s="91">
        <f t="shared" si="3"/>
        <v>0</v>
      </c>
      <c r="E17" s="91">
        <f t="shared" si="2"/>
        <v>0</v>
      </c>
      <c r="F17" s="91">
        <f t="shared" si="2"/>
        <v>0</v>
      </c>
      <c r="G17" s="91">
        <f t="shared" si="2"/>
        <v>0</v>
      </c>
      <c r="H17" s="91">
        <f t="shared" si="2"/>
        <v>0</v>
      </c>
      <c r="I17" s="91">
        <f t="shared" si="2"/>
        <v>0</v>
      </c>
      <c r="J17" s="91">
        <f t="shared" si="2"/>
        <v>0</v>
      </c>
      <c r="K17" s="91">
        <f t="shared" si="2"/>
        <v>0</v>
      </c>
      <c r="L17" s="91">
        <f t="shared" si="2"/>
        <v>0</v>
      </c>
      <c r="M17" s="91">
        <f t="shared" si="2"/>
        <v>0</v>
      </c>
      <c r="N17" s="91">
        <f t="shared" si="2"/>
        <v>0</v>
      </c>
      <c r="O17" s="91">
        <f t="shared" si="2"/>
        <v>0</v>
      </c>
      <c r="P17" s="75"/>
      <c r="Q17" s="79"/>
      <c r="R17" s="1"/>
      <c r="S17" s="107" t="s">
        <v>49</v>
      </c>
      <c r="T17" s="108">
        <v>46204</v>
      </c>
      <c r="U17" s="108">
        <v>46235</v>
      </c>
      <c r="V17" s="108">
        <v>46266</v>
      </c>
      <c r="W17" s="109" t="s">
        <v>60</v>
      </c>
    </row>
    <row r="18" spans="1:23" ht="16.5">
      <c r="A18" s="92" t="s">
        <v>75</v>
      </c>
      <c r="B18" s="92" t="s">
        <v>142</v>
      </c>
      <c r="C18" s="90">
        <f>18900000/3</f>
        <v>6300000</v>
      </c>
      <c r="D18" s="91">
        <f t="shared" si="3"/>
        <v>780991.73553719011</v>
      </c>
      <c r="E18" s="91">
        <f t="shared" si="2"/>
        <v>728925.61983471073</v>
      </c>
      <c r="F18" s="91">
        <f t="shared" si="2"/>
        <v>416528.92561983474</v>
      </c>
      <c r="G18" s="91">
        <f t="shared" si="2"/>
        <v>416528.92561983474</v>
      </c>
      <c r="H18" s="91">
        <f t="shared" si="2"/>
        <v>416528.92561983474</v>
      </c>
      <c r="I18" s="91">
        <f t="shared" si="2"/>
        <v>416528.92561983474</v>
      </c>
      <c r="J18" s="91">
        <f t="shared" si="2"/>
        <v>780991.73553719011</v>
      </c>
      <c r="K18" s="91">
        <f t="shared" si="2"/>
        <v>520661.15702479339</v>
      </c>
      <c r="L18" s="91">
        <f t="shared" si="2"/>
        <v>416528.92561983474</v>
      </c>
      <c r="M18" s="91">
        <f t="shared" si="2"/>
        <v>572727.27272727271</v>
      </c>
      <c r="N18" s="91">
        <f t="shared" si="2"/>
        <v>416528.92561983474</v>
      </c>
      <c r="O18" s="91">
        <f t="shared" si="2"/>
        <v>416528.92561983474</v>
      </c>
      <c r="P18" s="75"/>
      <c r="Q18" s="79"/>
      <c r="R18" s="1"/>
      <c r="S18" s="102" t="s">
        <v>63</v>
      </c>
      <c r="T18" s="100">
        <f>T19/$W19</f>
        <v>0.36131840559241446</v>
      </c>
      <c r="U18" s="100">
        <f>U19/$W19</f>
        <v>0.31934079720379277</v>
      </c>
      <c r="V18" s="100">
        <f>V19/$W19</f>
        <v>0.31934079720379277</v>
      </c>
      <c r="W18" s="99"/>
    </row>
    <row r="19" spans="1:23" ht="15.75">
      <c r="A19" s="92"/>
      <c r="B19" s="92"/>
      <c r="C19" s="90"/>
      <c r="D19" s="91">
        <f t="shared" si="3"/>
        <v>0</v>
      </c>
      <c r="E19" s="91">
        <f t="shared" si="2"/>
        <v>0</v>
      </c>
      <c r="F19" s="91">
        <f t="shared" si="2"/>
        <v>0</v>
      </c>
      <c r="G19" s="91">
        <f t="shared" si="2"/>
        <v>0</v>
      </c>
      <c r="H19" s="91">
        <f t="shared" si="2"/>
        <v>0</v>
      </c>
      <c r="I19" s="91">
        <f t="shared" si="2"/>
        <v>0</v>
      </c>
      <c r="J19" s="91">
        <f t="shared" si="2"/>
        <v>0</v>
      </c>
      <c r="K19" s="91">
        <f t="shared" si="2"/>
        <v>0</v>
      </c>
      <c r="L19" s="91">
        <f t="shared" si="2"/>
        <v>0</v>
      </c>
      <c r="M19" s="91">
        <f t="shared" si="2"/>
        <v>0</v>
      </c>
      <c r="N19" s="91">
        <f t="shared" si="2"/>
        <v>0</v>
      </c>
      <c r="O19" s="91">
        <f t="shared" si="2"/>
        <v>0</v>
      </c>
      <c r="P19" s="75"/>
      <c r="Q19" s="79"/>
      <c r="R19" s="1"/>
      <c r="S19" s="102" t="s">
        <v>66</v>
      </c>
      <c r="T19" s="103">
        <f>G50</f>
        <v>15352470.041322315</v>
      </c>
      <c r="U19" s="103">
        <f>H50</f>
        <v>13568835.537190083</v>
      </c>
      <c r="V19" s="103">
        <f>I50</f>
        <v>13568835.537190083</v>
      </c>
      <c r="W19" s="99">
        <f>U9</f>
        <v>42490141.11570248</v>
      </c>
    </row>
    <row r="20" spans="1:23" ht="15.75">
      <c r="A20" s="93"/>
      <c r="B20" s="93"/>
      <c r="C20" s="94"/>
      <c r="D20" s="91">
        <f t="shared" si="3"/>
        <v>0</v>
      </c>
      <c r="E20" s="91">
        <f t="shared" si="2"/>
        <v>0</v>
      </c>
      <c r="F20" s="91">
        <f t="shared" si="2"/>
        <v>0</v>
      </c>
      <c r="G20" s="91">
        <f t="shared" si="2"/>
        <v>0</v>
      </c>
      <c r="H20" s="91">
        <f t="shared" si="2"/>
        <v>0</v>
      </c>
      <c r="I20" s="91">
        <f t="shared" si="2"/>
        <v>0</v>
      </c>
      <c r="J20" s="91">
        <f t="shared" si="2"/>
        <v>0</v>
      </c>
      <c r="K20" s="91">
        <f t="shared" si="2"/>
        <v>0</v>
      </c>
      <c r="L20" s="91">
        <f t="shared" si="2"/>
        <v>0</v>
      </c>
      <c r="M20" s="91">
        <f t="shared" si="2"/>
        <v>0</v>
      </c>
      <c r="N20" s="91">
        <f t="shared" si="2"/>
        <v>0</v>
      </c>
      <c r="O20" s="91">
        <f t="shared" si="2"/>
        <v>0</v>
      </c>
      <c r="P20" s="75"/>
      <c r="Q20" s="79"/>
      <c r="R20" s="1"/>
      <c r="S20" s="102" t="s">
        <v>69</v>
      </c>
      <c r="T20" s="104">
        <v>23</v>
      </c>
      <c r="U20" s="104">
        <v>19</v>
      </c>
      <c r="V20" s="104">
        <v>21</v>
      </c>
      <c r="W20" s="99">
        <f>SUM(T20:V20)</f>
        <v>63</v>
      </c>
    </row>
    <row r="21" spans="1:23" ht="16.5">
      <c r="A21" s="84" t="s">
        <v>81</v>
      </c>
      <c r="B21" s="274" t="s">
        <v>54</v>
      </c>
      <c r="C21" s="85">
        <f>SUM(C23:C39)</f>
        <v>113451137.5</v>
      </c>
      <c r="D21" s="86">
        <f>SUM(D23:D39)</f>
        <v>16058133.836617926</v>
      </c>
      <c r="E21" s="86">
        <f t="shared" ref="E21:O21" si="5">SUM(E23:E39)</f>
        <v>10701807.024793392</v>
      </c>
      <c r="F21" s="86">
        <f t="shared" si="5"/>
        <v>8918172.5206611566</v>
      </c>
      <c r="G21" s="86">
        <f t="shared" si="5"/>
        <v>8918172.5206611566</v>
      </c>
      <c r="H21" s="86">
        <f t="shared" si="5"/>
        <v>7134538.0165289259</v>
      </c>
      <c r="I21" s="86">
        <f t="shared" si="5"/>
        <v>7134538.0165289259</v>
      </c>
      <c r="J21" s="86">
        <f t="shared" si="5"/>
        <v>12716807.024793392</v>
      </c>
      <c r="K21" s="86">
        <f t="shared" si="5"/>
        <v>8918172.5206611566</v>
      </c>
      <c r="L21" s="86">
        <f t="shared" si="5"/>
        <v>7134538.0165289259</v>
      </c>
      <c r="M21" s="86">
        <f t="shared" si="5"/>
        <v>8918172.5206611566</v>
      </c>
      <c r="N21" s="86">
        <f t="shared" si="5"/>
        <v>8918172.5206611566</v>
      </c>
      <c r="O21" s="86">
        <f t="shared" si="5"/>
        <v>8026355.2685950426</v>
      </c>
      <c r="P21" s="75"/>
      <c r="Q21" s="79"/>
      <c r="R21" s="1"/>
      <c r="S21" s="102" t="s">
        <v>72</v>
      </c>
      <c r="T21" s="101">
        <f>T19/(T20*1000)</f>
        <v>667.49869744879629</v>
      </c>
      <c r="U21" s="101">
        <f t="shared" ref="U21:V21" si="6">U19/(U20*1000)</f>
        <v>714.1492387994781</v>
      </c>
      <c r="V21" s="101">
        <f t="shared" si="6"/>
        <v>646.13502558048015</v>
      </c>
      <c r="W21" s="101">
        <f>W19/(W20*1000)</f>
        <v>674.44668437622988</v>
      </c>
    </row>
    <row r="22" spans="1:23" ht="16.5">
      <c r="A22" s="87" t="s">
        <v>82</v>
      </c>
      <c r="B22" s="276"/>
      <c r="C22" s="124"/>
      <c r="D22" s="86">
        <v>14</v>
      </c>
      <c r="E22" s="86">
        <v>12</v>
      </c>
      <c r="F22" s="86">
        <v>10</v>
      </c>
      <c r="G22" s="86">
        <v>10</v>
      </c>
      <c r="H22" s="86">
        <v>8</v>
      </c>
      <c r="I22" s="86">
        <v>8</v>
      </c>
      <c r="J22" s="86">
        <v>12</v>
      </c>
      <c r="K22" s="86">
        <v>10</v>
      </c>
      <c r="L22" s="86">
        <v>8</v>
      </c>
      <c r="M22" s="86">
        <v>10</v>
      </c>
      <c r="N22" s="86">
        <v>10</v>
      </c>
      <c r="O22" s="86">
        <v>9</v>
      </c>
      <c r="P22" s="75"/>
      <c r="Q22" s="77">
        <f>121-SUM(D22:O22)</f>
        <v>0</v>
      </c>
      <c r="R22" s="1"/>
      <c r="S22" s="107" t="s">
        <v>50</v>
      </c>
      <c r="T22" s="108">
        <v>46296</v>
      </c>
      <c r="U22" s="108">
        <v>46327</v>
      </c>
      <c r="V22" s="108">
        <v>46357</v>
      </c>
      <c r="W22" s="109" t="s">
        <v>60</v>
      </c>
    </row>
    <row r="23" spans="1:23" ht="16.5">
      <c r="A23" s="121" t="s">
        <v>83</v>
      </c>
      <c r="B23" s="92" t="s">
        <v>84</v>
      </c>
      <c r="C23" s="90">
        <v>1209000</v>
      </c>
      <c r="D23" s="123">
        <f>(D$22/121)*$C23</f>
        <v>139884.29752066117</v>
      </c>
      <c r="E23" s="91">
        <f t="shared" ref="E23:O38" si="7">(E$22/121)*$C23</f>
        <v>119900.82644628099</v>
      </c>
      <c r="F23" s="91">
        <f t="shared" si="7"/>
        <v>99917.355371900834</v>
      </c>
      <c r="G23" s="91">
        <f t="shared" si="7"/>
        <v>99917.355371900834</v>
      </c>
      <c r="H23" s="91">
        <f t="shared" si="7"/>
        <v>79933.884297520664</v>
      </c>
      <c r="I23" s="91">
        <f t="shared" si="7"/>
        <v>79933.884297520664</v>
      </c>
      <c r="J23" s="91">
        <f t="shared" si="7"/>
        <v>119900.82644628099</v>
      </c>
      <c r="K23" s="91">
        <f t="shared" si="7"/>
        <v>99917.355371900834</v>
      </c>
      <c r="L23" s="91">
        <f t="shared" si="7"/>
        <v>79933.884297520664</v>
      </c>
      <c r="M23" s="91">
        <f t="shared" si="7"/>
        <v>99917.355371900834</v>
      </c>
      <c r="N23" s="91">
        <f t="shared" si="7"/>
        <v>99917.355371900834</v>
      </c>
      <c r="O23" s="91">
        <f t="shared" si="7"/>
        <v>89925.619834710742</v>
      </c>
      <c r="P23" s="75"/>
      <c r="Q23" s="79"/>
      <c r="R23" s="1"/>
      <c r="S23" s="102" t="s">
        <v>63</v>
      </c>
      <c r="T23" s="100">
        <f>T24/$W24</f>
        <v>0.44710457367601603</v>
      </c>
      <c r="U23" s="100">
        <f>U24/$W24</f>
        <v>0.30727723043462435</v>
      </c>
      <c r="V23" s="100">
        <f>V24/$W24</f>
        <v>0.24561819588935957</v>
      </c>
      <c r="W23" s="99"/>
    </row>
    <row r="24" spans="1:23" ht="32.25">
      <c r="A24" s="122" t="s">
        <v>85</v>
      </c>
      <c r="B24" s="92" t="s">
        <v>86</v>
      </c>
      <c r="C24" s="90">
        <v>3309637.5</v>
      </c>
      <c r="D24" s="123">
        <f t="shared" ref="D24:O39" si="8">(D$22/121)*$C24</f>
        <v>382933.26446280995</v>
      </c>
      <c r="E24" s="91">
        <f t="shared" si="7"/>
        <v>328228.51239669422</v>
      </c>
      <c r="F24" s="91">
        <f t="shared" si="7"/>
        <v>273523.76033057855</v>
      </c>
      <c r="G24" s="91">
        <f t="shared" si="7"/>
        <v>273523.76033057855</v>
      </c>
      <c r="H24" s="91">
        <f t="shared" si="7"/>
        <v>218819.00826446281</v>
      </c>
      <c r="I24" s="91">
        <f t="shared" si="7"/>
        <v>218819.00826446281</v>
      </c>
      <c r="J24" s="91">
        <f t="shared" si="7"/>
        <v>328228.51239669422</v>
      </c>
      <c r="K24" s="91">
        <f t="shared" si="7"/>
        <v>273523.76033057855</v>
      </c>
      <c r="L24" s="91">
        <f t="shared" si="7"/>
        <v>218819.00826446281</v>
      </c>
      <c r="M24" s="91">
        <f t="shared" si="7"/>
        <v>273523.76033057855</v>
      </c>
      <c r="N24" s="91">
        <f t="shared" si="7"/>
        <v>273523.76033057855</v>
      </c>
      <c r="O24" s="91">
        <f t="shared" si="7"/>
        <v>246171.38429752068</v>
      </c>
      <c r="P24" s="75"/>
      <c r="Q24" s="79"/>
      <c r="R24" s="1"/>
      <c r="S24" s="102" t="s">
        <v>66</v>
      </c>
      <c r="T24" s="103">
        <f>J50</f>
        <v>24865154.132231407</v>
      </c>
      <c r="U24" s="103">
        <f>K50</f>
        <v>17088833.67768595</v>
      </c>
      <c r="V24" s="103">
        <f>L50</f>
        <v>13659744.628099175</v>
      </c>
      <c r="W24" s="99">
        <f>V9</f>
        <v>55613732.438016534</v>
      </c>
    </row>
    <row r="25" spans="1:23" ht="16.5">
      <c r="A25" s="122" t="s">
        <v>87</v>
      </c>
      <c r="B25" s="92" t="s">
        <v>88</v>
      </c>
      <c r="C25" s="90">
        <v>4030000</v>
      </c>
      <c r="D25" s="123">
        <f t="shared" si="8"/>
        <v>466280.99173553719</v>
      </c>
      <c r="E25" s="91">
        <f t="shared" si="7"/>
        <v>399669.42148760334</v>
      </c>
      <c r="F25" s="91">
        <f t="shared" si="7"/>
        <v>333057.85123966943</v>
      </c>
      <c r="G25" s="91">
        <f t="shared" si="7"/>
        <v>333057.85123966943</v>
      </c>
      <c r="H25" s="91">
        <f t="shared" si="7"/>
        <v>266446.28099173552</v>
      </c>
      <c r="I25" s="91">
        <f t="shared" si="7"/>
        <v>266446.28099173552</v>
      </c>
      <c r="J25" s="91">
        <f t="shared" si="7"/>
        <v>399669.42148760334</v>
      </c>
      <c r="K25" s="91">
        <f t="shared" si="7"/>
        <v>333057.85123966943</v>
      </c>
      <c r="L25" s="91">
        <f t="shared" si="7"/>
        <v>266446.28099173552</v>
      </c>
      <c r="M25" s="91">
        <f t="shared" si="7"/>
        <v>333057.85123966943</v>
      </c>
      <c r="N25" s="91">
        <f t="shared" si="7"/>
        <v>333057.85123966943</v>
      </c>
      <c r="O25" s="91">
        <f t="shared" si="7"/>
        <v>299752.0661157025</v>
      </c>
      <c r="P25" s="75"/>
      <c r="Q25" s="79"/>
      <c r="R25" s="1"/>
      <c r="S25" s="102" t="s">
        <v>69</v>
      </c>
      <c r="T25" s="104">
        <v>27</v>
      </c>
      <c r="U25" s="104">
        <v>33</v>
      </c>
      <c r="V25" s="104">
        <v>35</v>
      </c>
      <c r="W25" s="99">
        <f>SUM(T25:V25)</f>
        <v>95</v>
      </c>
    </row>
    <row r="26" spans="1:23" ht="16.5">
      <c r="A26" s="122" t="s">
        <v>89</v>
      </c>
      <c r="B26" s="92" t="s">
        <v>90</v>
      </c>
      <c r="C26" s="90">
        <v>8060000</v>
      </c>
      <c r="D26" s="123">
        <f t="shared" si="8"/>
        <v>932561.98347107437</v>
      </c>
      <c r="E26" s="91">
        <f t="shared" si="7"/>
        <v>799338.84297520667</v>
      </c>
      <c r="F26" s="91">
        <f t="shared" si="7"/>
        <v>666115.70247933886</v>
      </c>
      <c r="G26" s="91">
        <f t="shared" si="7"/>
        <v>666115.70247933886</v>
      </c>
      <c r="H26" s="91">
        <f t="shared" si="7"/>
        <v>532892.56198347104</v>
      </c>
      <c r="I26" s="91">
        <f t="shared" si="7"/>
        <v>532892.56198347104</v>
      </c>
      <c r="J26" s="91">
        <f t="shared" si="7"/>
        <v>799338.84297520667</v>
      </c>
      <c r="K26" s="91">
        <f t="shared" si="7"/>
        <v>666115.70247933886</v>
      </c>
      <c r="L26" s="91">
        <f t="shared" si="7"/>
        <v>532892.56198347104</v>
      </c>
      <c r="M26" s="91">
        <f t="shared" si="7"/>
        <v>666115.70247933886</v>
      </c>
      <c r="N26" s="91">
        <f t="shared" si="7"/>
        <v>666115.70247933886</v>
      </c>
      <c r="O26" s="91">
        <f t="shared" si="7"/>
        <v>599504.132231405</v>
      </c>
      <c r="P26" s="75"/>
      <c r="Q26" s="79"/>
      <c r="R26" s="1"/>
      <c r="S26" s="102" t="s">
        <v>72</v>
      </c>
      <c r="T26" s="101">
        <f>T24/(T25*1000)</f>
        <v>920.93163452708916</v>
      </c>
      <c r="U26" s="101">
        <f t="shared" ref="U26:V26" si="9">U24/(U25*1000)</f>
        <v>517.84344477836214</v>
      </c>
      <c r="V26" s="101">
        <f t="shared" si="9"/>
        <v>390.27841794569071</v>
      </c>
      <c r="W26" s="101">
        <f>W24/(W25*1000)</f>
        <v>585.40770987385827</v>
      </c>
    </row>
    <row r="27" spans="1:23" ht="16.5">
      <c r="A27" s="122" t="s">
        <v>91</v>
      </c>
      <c r="B27" s="92" t="s">
        <v>92</v>
      </c>
      <c r="C27" s="90">
        <v>29400000</v>
      </c>
      <c r="D27" s="123">
        <f t="shared" si="8"/>
        <v>3401652.8925619838</v>
      </c>
      <c r="E27" s="91">
        <f t="shared" si="7"/>
        <v>2915702.4793388429</v>
      </c>
      <c r="F27" s="91">
        <f t="shared" si="7"/>
        <v>2429752.0661157025</v>
      </c>
      <c r="G27" s="91">
        <f t="shared" si="7"/>
        <v>2429752.0661157025</v>
      </c>
      <c r="H27" s="91">
        <f t="shared" si="7"/>
        <v>1943801.6528925621</v>
      </c>
      <c r="I27" s="91">
        <f t="shared" si="7"/>
        <v>1943801.6528925621</v>
      </c>
      <c r="J27" s="91">
        <f t="shared" si="7"/>
        <v>2915702.4793388429</v>
      </c>
      <c r="K27" s="91">
        <f t="shared" si="7"/>
        <v>2429752.0661157025</v>
      </c>
      <c r="L27" s="91">
        <f t="shared" si="7"/>
        <v>1943801.6528925621</v>
      </c>
      <c r="M27" s="91">
        <f t="shared" si="7"/>
        <v>2429752.0661157025</v>
      </c>
      <c r="N27" s="91">
        <f t="shared" si="7"/>
        <v>2429752.0661157025</v>
      </c>
      <c r="O27" s="91">
        <f t="shared" si="7"/>
        <v>2186776.8595041321</v>
      </c>
      <c r="P27" s="75"/>
      <c r="Q27" s="79"/>
      <c r="R27" s="1"/>
      <c r="S27" s="107" t="s">
        <v>51</v>
      </c>
      <c r="T27" s="108">
        <v>46388</v>
      </c>
      <c r="U27" s="108">
        <v>46419</v>
      </c>
      <c r="V27" s="108">
        <v>46447</v>
      </c>
      <c r="W27" s="109" t="s">
        <v>60</v>
      </c>
    </row>
    <row r="28" spans="1:23" ht="16.5">
      <c r="A28" s="122" t="s">
        <v>93</v>
      </c>
      <c r="B28" s="92" t="s">
        <v>94</v>
      </c>
      <c r="C28" s="90">
        <v>16800000</v>
      </c>
      <c r="D28" s="123">
        <f t="shared" si="8"/>
        <v>1943801.6528925621</v>
      </c>
      <c r="E28" s="91">
        <f t="shared" si="7"/>
        <v>1666115.702479339</v>
      </c>
      <c r="F28" s="91">
        <f t="shared" si="7"/>
        <v>1388429.7520661158</v>
      </c>
      <c r="G28" s="91">
        <f t="shared" si="7"/>
        <v>1388429.7520661158</v>
      </c>
      <c r="H28" s="91">
        <f t="shared" si="7"/>
        <v>1110743.8016528925</v>
      </c>
      <c r="I28" s="91">
        <f t="shared" si="7"/>
        <v>1110743.8016528925</v>
      </c>
      <c r="J28" s="91">
        <f t="shared" si="7"/>
        <v>1666115.702479339</v>
      </c>
      <c r="K28" s="91">
        <f t="shared" si="7"/>
        <v>1388429.7520661158</v>
      </c>
      <c r="L28" s="91">
        <f t="shared" si="7"/>
        <v>1110743.8016528925</v>
      </c>
      <c r="M28" s="91">
        <f t="shared" si="7"/>
        <v>1388429.7520661158</v>
      </c>
      <c r="N28" s="91">
        <f t="shared" si="7"/>
        <v>1388429.7520661158</v>
      </c>
      <c r="O28" s="91">
        <f t="shared" si="7"/>
        <v>1249586.7768595042</v>
      </c>
      <c r="P28" s="75"/>
      <c r="Q28" s="79"/>
      <c r="R28" s="1"/>
      <c r="S28" s="102" t="s">
        <v>63</v>
      </c>
      <c r="T28" s="100">
        <f>T29/$W29</f>
        <v>0.37264857174562321</v>
      </c>
      <c r="U28" s="100">
        <f>U29/$W29</f>
        <v>0.32305887787700743</v>
      </c>
      <c r="V28" s="100">
        <f>V29/$W29</f>
        <v>0.30429255037736941</v>
      </c>
      <c r="W28" s="99"/>
    </row>
    <row r="29" spans="1:23" ht="16.5">
      <c r="A29" s="122" t="s">
        <v>95</v>
      </c>
      <c r="B29" s="92" t="s">
        <v>96</v>
      </c>
      <c r="C29" s="90">
        <v>11790000</v>
      </c>
      <c r="D29" s="123">
        <f t="shared" si="8"/>
        <v>1364132.2314049588</v>
      </c>
      <c r="E29" s="91">
        <f t="shared" si="7"/>
        <v>1169256.1983471075</v>
      </c>
      <c r="F29" s="91">
        <f t="shared" si="7"/>
        <v>974380.16528925626</v>
      </c>
      <c r="G29" s="91">
        <f t="shared" si="7"/>
        <v>974380.16528925626</v>
      </c>
      <c r="H29" s="91">
        <f t="shared" si="7"/>
        <v>779504.132231405</v>
      </c>
      <c r="I29" s="91">
        <f t="shared" si="7"/>
        <v>779504.132231405</v>
      </c>
      <c r="J29" s="91">
        <f t="shared" si="7"/>
        <v>1169256.1983471075</v>
      </c>
      <c r="K29" s="91">
        <f t="shared" si="7"/>
        <v>974380.16528925626</v>
      </c>
      <c r="L29" s="91">
        <f t="shared" si="7"/>
        <v>779504.132231405</v>
      </c>
      <c r="M29" s="91">
        <f t="shared" si="7"/>
        <v>974380.16528925626</v>
      </c>
      <c r="N29" s="91">
        <f t="shared" si="7"/>
        <v>974380.16528925626</v>
      </c>
      <c r="O29" s="91">
        <f t="shared" si="7"/>
        <v>876942.14876033063</v>
      </c>
      <c r="P29" s="75"/>
      <c r="Q29" s="79"/>
      <c r="R29" s="1"/>
      <c r="S29" s="102" t="s">
        <v>66</v>
      </c>
      <c r="T29" s="103">
        <f>M50</f>
        <v>17709081.611570247</v>
      </c>
      <c r="U29" s="103">
        <f>N50</f>
        <v>15352470.041322315</v>
      </c>
      <c r="V29" s="103">
        <f>O50</f>
        <v>14460652.7892562</v>
      </c>
      <c r="W29" s="99">
        <f>W9</f>
        <v>47522204.44214876</v>
      </c>
    </row>
    <row r="30" spans="1:23" ht="16.5">
      <c r="A30" s="122" t="s">
        <v>97</v>
      </c>
      <c r="B30" s="92" t="s">
        <v>98</v>
      </c>
      <c r="C30" s="90">
        <v>806000</v>
      </c>
      <c r="D30" s="123">
        <f t="shared" si="8"/>
        <v>93256.198347107435</v>
      </c>
      <c r="E30" s="91">
        <f t="shared" si="7"/>
        <v>79933.884297520664</v>
      </c>
      <c r="F30" s="91">
        <f t="shared" si="7"/>
        <v>66611.57024793388</v>
      </c>
      <c r="G30" s="91">
        <f t="shared" si="7"/>
        <v>66611.57024793388</v>
      </c>
      <c r="H30" s="91">
        <f t="shared" si="7"/>
        <v>53289.25619834711</v>
      </c>
      <c r="I30" s="91">
        <f t="shared" si="7"/>
        <v>53289.25619834711</v>
      </c>
      <c r="J30" s="91">
        <f t="shared" si="7"/>
        <v>79933.884297520664</v>
      </c>
      <c r="K30" s="91">
        <f t="shared" si="7"/>
        <v>66611.57024793388</v>
      </c>
      <c r="L30" s="91">
        <f t="shared" si="7"/>
        <v>53289.25619834711</v>
      </c>
      <c r="M30" s="91">
        <f t="shared" si="7"/>
        <v>66611.57024793388</v>
      </c>
      <c r="N30" s="91">
        <f t="shared" si="7"/>
        <v>66611.57024793388</v>
      </c>
      <c r="O30" s="91">
        <f t="shared" si="7"/>
        <v>59950.413223140495</v>
      </c>
      <c r="P30" s="75"/>
      <c r="Q30" s="79"/>
      <c r="R30" s="1"/>
      <c r="S30" s="102" t="s">
        <v>69</v>
      </c>
      <c r="T30" s="104">
        <v>44</v>
      </c>
      <c r="U30" s="104">
        <v>49</v>
      </c>
      <c r="V30" s="104">
        <v>58</v>
      </c>
      <c r="W30" s="99">
        <f>SUM(T30:V30)</f>
        <v>151</v>
      </c>
    </row>
    <row r="31" spans="1:23" ht="16.5">
      <c r="A31" s="122" t="s">
        <v>99</v>
      </c>
      <c r="B31" s="92" t="s">
        <v>100</v>
      </c>
      <c r="C31" s="90">
        <v>1575000</v>
      </c>
      <c r="D31" s="123">
        <f t="shared" si="8"/>
        <v>182231.40495867768</v>
      </c>
      <c r="E31" s="91">
        <f t="shared" si="7"/>
        <v>156198.34710743802</v>
      </c>
      <c r="F31" s="91">
        <f t="shared" si="7"/>
        <v>130165.28925619835</v>
      </c>
      <c r="G31" s="91">
        <f t="shared" si="7"/>
        <v>130165.28925619835</v>
      </c>
      <c r="H31" s="91">
        <f t="shared" si="7"/>
        <v>104132.23140495869</v>
      </c>
      <c r="I31" s="91">
        <f t="shared" si="7"/>
        <v>104132.23140495869</v>
      </c>
      <c r="J31" s="91">
        <f t="shared" si="7"/>
        <v>156198.34710743802</v>
      </c>
      <c r="K31" s="91">
        <f t="shared" si="7"/>
        <v>130165.28925619835</v>
      </c>
      <c r="L31" s="91">
        <f t="shared" si="7"/>
        <v>104132.23140495869</v>
      </c>
      <c r="M31" s="91">
        <f t="shared" si="7"/>
        <v>130165.28925619835</v>
      </c>
      <c r="N31" s="91">
        <f t="shared" si="7"/>
        <v>130165.28925619835</v>
      </c>
      <c r="O31" s="91">
        <f t="shared" si="7"/>
        <v>117148.76033057852</v>
      </c>
      <c r="P31" s="75"/>
      <c r="Q31" s="79"/>
      <c r="R31" s="1"/>
      <c r="S31" s="102" t="s">
        <v>72</v>
      </c>
      <c r="T31" s="101">
        <f>T29/(T30*1000)</f>
        <v>402.47912753568744</v>
      </c>
      <c r="U31" s="101">
        <f t="shared" ref="U31:V31" si="10">U29/(U30*1000)</f>
        <v>313.31571512902684</v>
      </c>
      <c r="V31" s="101">
        <f t="shared" si="10"/>
        <v>249.32159981476207</v>
      </c>
      <c r="W31" s="101">
        <f>W29/(W30*1000)</f>
        <v>314.71658570959443</v>
      </c>
    </row>
    <row r="32" spans="1:23" ht="16.5">
      <c r="A32" s="122" t="s">
        <v>101</v>
      </c>
      <c r="B32" s="92" t="s">
        <v>102</v>
      </c>
      <c r="C32" s="90">
        <v>2518750</v>
      </c>
      <c r="D32" s="123">
        <f t="shared" si="8"/>
        <v>291425.61983471073</v>
      </c>
      <c r="E32" s="91">
        <f t="shared" si="7"/>
        <v>249793.38842975209</v>
      </c>
      <c r="F32" s="91">
        <f t="shared" si="7"/>
        <v>208161.15702479339</v>
      </c>
      <c r="G32" s="91">
        <f t="shared" si="7"/>
        <v>208161.15702479339</v>
      </c>
      <c r="H32" s="91">
        <f t="shared" si="7"/>
        <v>166528.92561983471</v>
      </c>
      <c r="I32" s="91">
        <f t="shared" si="7"/>
        <v>166528.92561983471</v>
      </c>
      <c r="J32" s="91">
        <f t="shared" si="7"/>
        <v>249793.38842975209</v>
      </c>
      <c r="K32" s="91">
        <f t="shared" si="7"/>
        <v>208161.15702479339</v>
      </c>
      <c r="L32" s="91">
        <f t="shared" si="7"/>
        <v>166528.92561983471</v>
      </c>
      <c r="M32" s="91">
        <f t="shared" si="7"/>
        <v>208161.15702479339</v>
      </c>
      <c r="N32" s="91">
        <f t="shared" si="7"/>
        <v>208161.15702479339</v>
      </c>
      <c r="O32" s="91">
        <f t="shared" si="7"/>
        <v>187345.04132231406</v>
      </c>
      <c r="P32" s="75"/>
      <c r="Q32" s="79"/>
      <c r="R32" s="1"/>
    </row>
    <row r="33" spans="1:18" ht="16.5">
      <c r="A33" s="122" t="s">
        <v>103</v>
      </c>
      <c r="B33" s="92" t="s">
        <v>104</v>
      </c>
      <c r="C33" s="90">
        <v>6045000</v>
      </c>
      <c r="D33" s="123">
        <f t="shared" si="8"/>
        <v>699421.48760330584</v>
      </c>
      <c r="E33" s="91">
        <f t="shared" si="7"/>
        <v>599504.132231405</v>
      </c>
      <c r="F33" s="91">
        <f t="shared" si="7"/>
        <v>499586.77685950417</v>
      </c>
      <c r="G33" s="91">
        <f t="shared" si="7"/>
        <v>499586.77685950417</v>
      </c>
      <c r="H33" s="91">
        <f t="shared" si="7"/>
        <v>399669.42148760334</v>
      </c>
      <c r="I33" s="91">
        <f t="shared" si="7"/>
        <v>399669.42148760334</v>
      </c>
      <c r="J33" s="91">
        <f t="shared" si="7"/>
        <v>599504.132231405</v>
      </c>
      <c r="K33" s="91">
        <f t="shared" si="7"/>
        <v>499586.77685950417</v>
      </c>
      <c r="L33" s="91">
        <f t="shared" si="7"/>
        <v>399669.42148760334</v>
      </c>
      <c r="M33" s="91">
        <f t="shared" si="7"/>
        <v>499586.77685950417</v>
      </c>
      <c r="N33" s="91">
        <f t="shared" si="7"/>
        <v>499586.77685950417</v>
      </c>
      <c r="O33" s="91">
        <f t="shared" si="7"/>
        <v>449628.09917355375</v>
      </c>
      <c r="P33" s="75"/>
      <c r="Q33" s="79"/>
      <c r="R33" s="1"/>
    </row>
    <row r="34" spans="1:18" ht="16.5">
      <c r="A34" s="122" t="s">
        <v>105</v>
      </c>
      <c r="B34" s="92" t="s">
        <v>106</v>
      </c>
      <c r="C34" s="90">
        <v>1007500</v>
      </c>
      <c r="D34" s="123">
        <f t="shared" si="8"/>
        <v>116570.2479338843</v>
      </c>
      <c r="E34" s="91">
        <f t="shared" si="7"/>
        <v>99917.355371900834</v>
      </c>
      <c r="F34" s="91">
        <f t="shared" si="7"/>
        <v>83264.462809917357</v>
      </c>
      <c r="G34" s="91">
        <f t="shared" si="7"/>
        <v>83264.462809917357</v>
      </c>
      <c r="H34" s="91">
        <f t="shared" si="7"/>
        <v>66611.57024793388</v>
      </c>
      <c r="I34" s="91">
        <f t="shared" si="7"/>
        <v>66611.57024793388</v>
      </c>
      <c r="J34" s="91">
        <f t="shared" si="7"/>
        <v>99917.355371900834</v>
      </c>
      <c r="K34" s="91">
        <f t="shared" si="7"/>
        <v>83264.462809917357</v>
      </c>
      <c r="L34" s="91">
        <f t="shared" si="7"/>
        <v>66611.57024793388</v>
      </c>
      <c r="M34" s="91">
        <f t="shared" si="7"/>
        <v>83264.462809917357</v>
      </c>
      <c r="N34" s="91">
        <f t="shared" si="7"/>
        <v>83264.462809917357</v>
      </c>
      <c r="O34" s="91">
        <f t="shared" si="7"/>
        <v>74938.016528925626</v>
      </c>
      <c r="P34" s="75"/>
      <c r="Q34" s="79"/>
      <c r="R34" s="1"/>
    </row>
    <row r="35" spans="1:18" ht="16.5">
      <c r="A35" s="122" t="s">
        <v>107</v>
      </c>
      <c r="B35" s="92" t="s">
        <v>108</v>
      </c>
      <c r="C35" s="90">
        <v>16120000</v>
      </c>
      <c r="D35" s="123">
        <f t="shared" si="8"/>
        <v>1865123.9669421487</v>
      </c>
      <c r="E35" s="91">
        <f t="shared" si="7"/>
        <v>1598677.6859504133</v>
      </c>
      <c r="F35" s="91">
        <f t="shared" si="7"/>
        <v>1332231.4049586777</v>
      </c>
      <c r="G35" s="91">
        <f t="shared" si="7"/>
        <v>1332231.4049586777</v>
      </c>
      <c r="H35" s="91">
        <f t="shared" si="7"/>
        <v>1065785.1239669421</v>
      </c>
      <c r="I35" s="91">
        <f t="shared" si="7"/>
        <v>1065785.1239669421</v>
      </c>
      <c r="J35" s="91">
        <f t="shared" si="7"/>
        <v>1598677.6859504133</v>
      </c>
      <c r="K35" s="91">
        <f t="shared" si="7"/>
        <v>1332231.4049586777</v>
      </c>
      <c r="L35" s="91">
        <f t="shared" si="7"/>
        <v>1065785.1239669421</v>
      </c>
      <c r="M35" s="91">
        <f t="shared" si="7"/>
        <v>1332231.4049586777</v>
      </c>
      <c r="N35" s="91">
        <f t="shared" si="7"/>
        <v>1332231.4049586777</v>
      </c>
      <c r="O35" s="91">
        <f t="shared" si="7"/>
        <v>1199008.26446281</v>
      </c>
      <c r="P35" s="75"/>
      <c r="Q35" s="79"/>
      <c r="R35" s="1"/>
    </row>
    <row r="36" spans="1:18" ht="16.5">
      <c r="A36" s="122" t="s">
        <v>109</v>
      </c>
      <c r="B36" s="92" t="s">
        <v>110</v>
      </c>
      <c r="C36" s="90">
        <v>1511250</v>
      </c>
      <c r="D36" s="123">
        <v>1557692.3076923075</v>
      </c>
      <c r="E36" s="91">
        <v>0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75"/>
      <c r="Q36" s="79"/>
      <c r="R36" s="1"/>
    </row>
    <row r="37" spans="1:18" ht="16.5">
      <c r="A37" s="122" t="s">
        <v>111</v>
      </c>
      <c r="B37" s="92" t="s">
        <v>112</v>
      </c>
      <c r="C37" s="90">
        <v>4030000</v>
      </c>
      <c r="D37" s="123">
        <f>C37*0.5</f>
        <v>2015000</v>
      </c>
      <c r="E37" s="91">
        <v>0</v>
      </c>
      <c r="F37" s="91">
        <v>0</v>
      </c>
      <c r="G37" s="91">
        <v>0</v>
      </c>
      <c r="H37" s="91">
        <v>0</v>
      </c>
      <c r="I37" s="91">
        <v>0</v>
      </c>
      <c r="J37" s="91">
        <f>C37-D37</f>
        <v>2015000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75"/>
      <c r="Q37" s="79"/>
      <c r="R37" s="1"/>
    </row>
    <row r="38" spans="1:18" ht="16.5">
      <c r="A38" s="122" t="s">
        <v>113</v>
      </c>
      <c r="B38" s="92" t="s">
        <v>114</v>
      </c>
      <c r="C38" s="90">
        <v>3022500</v>
      </c>
      <c r="D38" s="123">
        <f t="shared" si="8"/>
        <v>349710.74380165292</v>
      </c>
      <c r="E38" s="91">
        <f t="shared" si="7"/>
        <v>299752.0661157025</v>
      </c>
      <c r="F38" s="91">
        <f t="shared" si="7"/>
        <v>249793.38842975209</v>
      </c>
      <c r="G38" s="91">
        <f t="shared" si="7"/>
        <v>249793.38842975209</v>
      </c>
      <c r="H38" s="91">
        <f t="shared" si="7"/>
        <v>199834.71074380167</v>
      </c>
      <c r="I38" s="91">
        <f t="shared" si="7"/>
        <v>199834.71074380167</v>
      </c>
      <c r="J38" s="91">
        <f t="shared" si="7"/>
        <v>299752.0661157025</v>
      </c>
      <c r="K38" s="91">
        <f t="shared" si="7"/>
        <v>249793.38842975209</v>
      </c>
      <c r="L38" s="91">
        <f t="shared" si="7"/>
        <v>199834.71074380167</v>
      </c>
      <c r="M38" s="91">
        <f t="shared" si="7"/>
        <v>249793.38842975209</v>
      </c>
      <c r="N38" s="91">
        <f t="shared" si="7"/>
        <v>249793.38842975209</v>
      </c>
      <c r="O38" s="91">
        <f t="shared" si="7"/>
        <v>224814.04958677688</v>
      </c>
      <c r="P38" s="75"/>
      <c r="Q38" s="79"/>
      <c r="R38" s="1"/>
    </row>
    <row r="39" spans="1:18" ht="16.5">
      <c r="A39" s="122" t="s">
        <v>115</v>
      </c>
      <c r="B39" s="92" t="s">
        <v>116</v>
      </c>
      <c r="C39" s="90">
        <v>2216500</v>
      </c>
      <c r="D39" s="123">
        <f t="shared" si="8"/>
        <v>256454.54545454547</v>
      </c>
      <c r="E39" s="91">
        <f t="shared" si="8"/>
        <v>219818.18181818182</v>
      </c>
      <c r="F39" s="91">
        <f t="shared" si="8"/>
        <v>183181.81818181818</v>
      </c>
      <c r="G39" s="91">
        <f t="shared" si="8"/>
        <v>183181.81818181818</v>
      </c>
      <c r="H39" s="91">
        <f t="shared" si="8"/>
        <v>146545.45454545456</v>
      </c>
      <c r="I39" s="91">
        <f t="shared" si="8"/>
        <v>146545.45454545456</v>
      </c>
      <c r="J39" s="91">
        <f t="shared" si="8"/>
        <v>219818.18181818182</v>
      </c>
      <c r="K39" s="91">
        <f t="shared" si="8"/>
        <v>183181.81818181818</v>
      </c>
      <c r="L39" s="91">
        <f t="shared" si="8"/>
        <v>146545.45454545456</v>
      </c>
      <c r="M39" s="91">
        <f t="shared" si="8"/>
        <v>183181.81818181818</v>
      </c>
      <c r="N39" s="91">
        <f t="shared" si="8"/>
        <v>183181.81818181818</v>
      </c>
      <c r="O39" s="91">
        <f t="shared" si="8"/>
        <v>164863.63636363638</v>
      </c>
      <c r="P39" s="75"/>
      <c r="Q39" s="79"/>
      <c r="R39" s="1"/>
    </row>
    <row r="40" spans="1:18" ht="16.5">
      <c r="A40" s="84" t="s">
        <v>117</v>
      </c>
      <c r="B40" s="276" t="s">
        <v>54</v>
      </c>
      <c r="C40" s="125">
        <f>SUM(C42:C44)</f>
        <v>1125000</v>
      </c>
      <c r="D40" s="86">
        <f>SUM(D42:D44)</f>
        <v>322933.88429752068</v>
      </c>
      <c r="E40" s="86">
        <f t="shared" ref="E40:O40" si="11">SUM(E42:E44)</f>
        <v>165289.25619834711</v>
      </c>
      <c r="F40" s="86">
        <f t="shared" si="11"/>
        <v>165289.25619834711</v>
      </c>
      <c r="G40" s="86">
        <f t="shared" si="11"/>
        <v>0</v>
      </c>
      <c r="H40" s="86">
        <f t="shared" si="11"/>
        <v>0</v>
      </c>
      <c r="I40" s="86">
        <f t="shared" si="11"/>
        <v>0</v>
      </c>
      <c r="J40" s="86">
        <f t="shared" si="11"/>
        <v>215289.25619834711</v>
      </c>
      <c r="K40" s="86">
        <f t="shared" si="11"/>
        <v>165289.25619834711</v>
      </c>
      <c r="L40" s="86">
        <f t="shared" si="11"/>
        <v>90909.090909090912</v>
      </c>
      <c r="M40" s="86">
        <f t="shared" si="11"/>
        <v>0</v>
      </c>
      <c r="N40" s="86">
        <f t="shared" si="11"/>
        <v>0</v>
      </c>
      <c r="O40" s="86">
        <f t="shared" si="11"/>
        <v>0</v>
      </c>
      <c r="P40" s="75"/>
      <c r="Q40" s="79"/>
      <c r="R40" s="1"/>
    </row>
    <row r="41" spans="1:18" ht="16.5">
      <c r="A41" s="87" t="s">
        <v>118</v>
      </c>
      <c r="B41" s="275"/>
      <c r="C41" s="88"/>
      <c r="D41" s="86">
        <v>30</v>
      </c>
      <c r="E41" s="86">
        <v>20</v>
      </c>
      <c r="F41" s="86">
        <v>20</v>
      </c>
      <c r="G41" s="86">
        <v>0</v>
      </c>
      <c r="H41" s="86">
        <v>0</v>
      </c>
      <c r="I41" s="86">
        <v>0</v>
      </c>
      <c r="J41" s="86">
        <v>20</v>
      </c>
      <c r="K41" s="86">
        <v>20</v>
      </c>
      <c r="L41" s="86">
        <v>11</v>
      </c>
      <c r="M41" s="86">
        <v>0</v>
      </c>
      <c r="N41" s="86">
        <v>0</v>
      </c>
      <c r="O41" s="86">
        <v>0</v>
      </c>
      <c r="P41" s="75"/>
      <c r="Q41" s="77">
        <f>121-SUM(D41:O41)</f>
        <v>0</v>
      </c>
      <c r="R41" s="1"/>
    </row>
    <row r="42" spans="1:18" ht="16.5">
      <c r="A42" s="89" t="s">
        <v>119</v>
      </c>
      <c r="B42" s="111" t="s">
        <v>120</v>
      </c>
      <c r="C42" s="90">
        <f>'One Helix'!C42</f>
        <v>1000000</v>
      </c>
      <c r="D42" s="91">
        <f>(D$41/121)*$C42</f>
        <v>247933.88429752068</v>
      </c>
      <c r="E42" s="91">
        <f t="shared" ref="E42:O42" si="12">(E$41/121)*$C42</f>
        <v>165289.25619834711</v>
      </c>
      <c r="F42" s="91">
        <f t="shared" si="12"/>
        <v>165289.25619834711</v>
      </c>
      <c r="G42" s="91">
        <f t="shared" si="12"/>
        <v>0</v>
      </c>
      <c r="H42" s="91">
        <f t="shared" si="12"/>
        <v>0</v>
      </c>
      <c r="I42" s="91">
        <f t="shared" si="12"/>
        <v>0</v>
      </c>
      <c r="J42" s="91">
        <f t="shared" si="12"/>
        <v>165289.25619834711</v>
      </c>
      <c r="K42" s="91">
        <f t="shared" si="12"/>
        <v>165289.25619834711</v>
      </c>
      <c r="L42" s="91">
        <f t="shared" si="12"/>
        <v>90909.090909090912</v>
      </c>
      <c r="M42" s="91">
        <f t="shared" si="12"/>
        <v>0</v>
      </c>
      <c r="N42" s="91">
        <f t="shared" si="12"/>
        <v>0</v>
      </c>
      <c r="O42" s="91">
        <f t="shared" si="12"/>
        <v>0</v>
      </c>
      <c r="P42" s="75"/>
      <c r="Q42" s="79"/>
      <c r="R42" s="1"/>
    </row>
    <row r="43" spans="1:18" ht="16.5">
      <c r="A43" s="92" t="s">
        <v>109</v>
      </c>
      <c r="B43" s="111" t="s">
        <v>123</v>
      </c>
      <c r="C43" s="90">
        <v>25000</v>
      </c>
      <c r="D43" s="91">
        <v>25000</v>
      </c>
      <c r="E43" s="91">
        <v>0</v>
      </c>
      <c r="F43" s="91">
        <v>0</v>
      </c>
      <c r="G43" s="91">
        <f>(G$41/121)*$C43</f>
        <v>0</v>
      </c>
      <c r="H43" s="91">
        <f>(H$41/121)*$C43</f>
        <v>0</v>
      </c>
      <c r="I43" s="91">
        <f>(I$41/121)*$C43</f>
        <v>0</v>
      </c>
      <c r="J43" s="91">
        <v>0</v>
      </c>
      <c r="K43" s="91">
        <v>0</v>
      </c>
      <c r="L43" s="91">
        <v>0</v>
      </c>
      <c r="M43" s="91">
        <f>(M$41/121)*$C43</f>
        <v>0</v>
      </c>
      <c r="N43" s="91">
        <f>(N$41/121)*$C43</f>
        <v>0</v>
      </c>
      <c r="O43" s="91">
        <f>(O$41/121)*$C43</f>
        <v>0</v>
      </c>
      <c r="P43" s="75"/>
      <c r="Q43" s="79"/>
      <c r="R43" s="1"/>
    </row>
    <row r="44" spans="1:18" ht="16.5">
      <c r="A44" s="92" t="s">
        <v>111</v>
      </c>
      <c r="B44" s="111" t="s">
        <v>124</v>
      </c>
      <c r="C44" s="90">
        <v>100000</v>
      </c>
      <c r="D44" s="91">
        <f>C44*0.5</f>
        <v>50000</v>
      </c>
      <c r="E44" s="91">
        <v>0</v>
      </c>
      <c r="F44" s="91">
        <v>0</v>
      </c>
      <c r="G44" s="91">
        <f>(G$41/121)*$C44</f>
        <v>0</v>
      </c>
      <c r="H44" s="91">
        <f>(H$41/121)*$C44</f>
        <v>0</v>
      </c>
      <c r="I44" s="91">
        <f>(I$41/121)*$C44</f>
        <v>0</v>
      </c>
      <c r="J44" s="91">
        <f>C44*0.5</f>
        <v>50000</v>
      </c>
      <c r="K44" s="91">
        <v>0</v>
      </c>
      <c r="L44" s="91">
        <v>0</v>
      </c>
      <c r="M44" s="91">
        <f>(M$41/121)*$C44</f>
        <v>0</v>
      </c>
      <c r="N44" s="91">
        <f>(N$41/121)*$C44</f>
        <v>0</v>
      </c>
      <c r="O44" s="91">
        <f>(O$41/121)*$C44</f>
        <v>0</v>
      </c>
      <c r="P44" s="75"/>
      <c r="Q44" s="79"/>
      <c r="R44" s="1"/>
    </row>
    <row r="45" spans="1:18" ht="16.5">
      <c r="A45" s="84" t="s">
        <v>125</v>
      </c>
      <c r="B45" s="274" t="s">
        <v>54</v>
      </c>
      <c r="C45" s="85">
        <f>SUM(C47:C49)</f>
        <v>6800000</v>
      </c>
      <c r="D45" s="95">
        <f>SUM(D47:D49)</f>
        <v>1844214.8760330577</v>
      </c>
      <c r="E45" s="95">
        <f t="shared" ref="E45:O45" si="13">SUM(E47:E49)</f>
        <v>1802892.561983471</v>
      </c>
      <c r="F45" s="95">
        <f t="shared" si="13"/>
        <v>1802892.561983471</v>
      </c>
      <c r="G45" s="95">
        <f t="shared" si="13"/>
        <v>150000</v>
      </c>
      <c r="H45" s="95">
        <f t="shared" si="13"/>
        <v>150000</v>
      </c>
      <c r="I45" s="95">
        <f t="shared" si="13"/>
        <v>150000</v>
      </c>
      <c r="J45" s="95">
        <f t="shared" si="13"/>
        <v>150000</v>
      </c>
      <c r="K45" s="95">
        <f t="shared" si="13"/>
        <v>150000</v>
      </c>
      <c r="L45" s="95">
        <f t="shared" si="13"/>
        <v>150000</v>
      </c>
      <c r="M45" s="95">
        <f t="shared" si="13"/>
        <v>150000</v>
      </c>
      <c r="N45" s="95">
        <f t="shared" si="13"/>
        <v>150000</v>
      </c>
      <c r="O45" s="95">
        <f t="shared" si="13"/>
        <v>150000</v>
      </c>
      <c r="P45" s="75"/>
      <c r="Q45" s="79"/>
      <c r="R45" s="1"/>
    </row>
    <row r="46" spans="1:18" ht="16.5">
      <c r="A46" s="87" t="s">
        <v>126</v>
      </c>
      <c r="B46" s="275"/>
      <c r="C46" s="88"/>
      <c r="D46" s="86">
        <v>41</v>
      </c>
      <c r="E46" s="86">
        <v>40</v>
      </c>
      <c r="F46" s="86">
        <v>40</v>
      </c>
      <c r="G46" s="86"/>
      <c r="H46" s="86">
        <v>0</v>
      </c>
      <c r="I46" s="86">
        <v>0</v>
      </c>
      <c r="J46" s="86">
        <v>0</v>
      </c>
      <c r="K46" s="86">
        <v>0</v>
      </c>
      <c r="L46" s="86">
        <v>0</v>
      </c>
      <c r="M46" s="86">
        <v>0</v>
      </c>
      <c r="N46" s="86">
        <v>0</v>
      </c>
      <c r="O46" s="86">
        <v>0</v>
      </c>
      <c r="P46" s="75"/>
      <c r="Q46" s="77">
        <f>121-SUM(D46:O46)</f>
        <v>0</v>
      </c>
      <c r="R46" s="1"/>
    </row>
    <row r="47" spans="1:18" ht="16.5">
      <c r="A47" s="89" t="s">
        <v>127</v>
      </c>
      <c r="B47" s="111" t="s">
        <v>128</v>
      </c>
      <c r="C47" s="90">
        <v>1800000</v>
      </c>
      <c r="D47" s="91">
        <v>150000</v>
      </c>
      <c r="E47" s="91">
        <v>150000</v>
      </c>
      <c r="F47" s="91">
        <v>150000</v>
      </c>
      <c r="G47" s="91">
        <v>150000</v>
      </c>
      <c r="H47" s="91">
        <v>150000</v>
      </c>
      <c r="I47" s="91">
        <v>150000</v>
      </c>
      <c r="J47" s="91">
        <v>150000</v>
      </c>
      <c r="K47" s="91">
        <v>150000</v>
      </c>
      <c r="L47" s="91">
        <v>150000</v>
      </c>
      <c r="M47" s="91">
        <v>150000</v>
      </c>
      <c r="N47" s="91">
        <v>150000</v>
      </c>
      <c r="O47" s="91">
        <v>150000</v>
      </c>
      <c r="P47" s="75"/>
      <c r="Q47" s="79"/>
      <c r="R47" s="1"/>
    </row>
    <row r="48" spans="1:18" ht="16.5">
      <c r="A48" s="92" t="s">
        <v>130</v>
      </c>
      <c r="B48" s="111" t="s">
        <v>143</v>
      </c>
      <c r="C48" s="90">
        <v>5000000</v>
      </c>
      <c r="D48" s="91">
        <f>(D$46/121)*$C48</f>
        <v>1694214.8760330577</v>
      </c>
      <c r="E48" s="91">
        <f>(E$46/121)*$C48</f>
        <v>1652892.561983471</v>
      </c>
      <c r="F48" s="91">
        <f>(F$46/121)*$C48</f>
        <v>1652892.561983471</v>
      </c>
      <c r="G48" s="91">
        <f>(G$46/121)*$C48</f>
        <v>0</v>
      </c>
      <c r="H48" s="91">
        <f>(H$46/121)*$C48</f>
        <v>0</v>
      </c>
      <c r="I48" s="91">
        <f>(I$46/121)*$C48</f>
        <v>0</v>
      </c>
      <c r="J48" s="91">
        <f>(J$46/121)*$C48</f>
        <v>0</v>
      </c>
      <c r="K48" s="91">
        <f>(K$46/121)*$C48</f>
        <v>0</v>
      </c>
      <c r="L48" s="91">
        <f>(L$46/121)*$C48</f>
        <v>0</v>
      </c>
      <c r="M48" s="91">
        <f>(M$46/121)*$C48</f>
        <v>0</v>
      </c>
      <c r="N48" s="91">
        <f>(N$46/121)*$C48</f>
        <v>0</v>
      </c>
      <c r="O48" s="91">
        <f>(O$46/121)*$C48</f>
        <v>0</v>
      </c>
      <c r="P48" s="75"/>
      <c r="Q48" s="79"/>
      <c r="R48" s="1"/>
    </row>
    <row r="49" spans="1:18" ht="16.5">
      <c r="A49" s="92" t="s">
        <v>132</v>
      </c>
      <c r="B49" s="92"/>
      <c r="C49" s="90"/>
      <c r="D49" s="91">
        <f>(D$46/121)*$C49</f>
        <v>0</v>
      </c>
      <c r="E49" s="91">
        <f>(E$46/121)*$C49</f>
        <v>0</v>
      </c>
      <c r="F49" s="91">
        <f>(F$46/121)*$C49</f>
        <v>0</v>
      </c>
      <c r="G49" s="91">
        <f>(G$46/121)*$C49</f>
        <v>0</v>
      </c>
      <c r="H49" s="91">
        <f>(H$46/121)*$C49</f>
        <v>0</v>
      </c>
      <c r="I49" s="91">
        <f>(I$46/121)*$C49</f>
        <v>0</v>
      </c>
      <c r="J49" s="91">
        <f>(J$46/121)*$C49</f>
        <v>0</v>
      </c>
      <c r="K49" s="91">
        <f>(K$46/121)*$C49</f>
        <v>0</v>
      </c>
      <c r="L49" s="91">
        <f>(L$46/121)*$C49</f>
        <v>0</v>
      </c>
      <c r="M49" s="91">
        <f>(M$46/121)*$C49</f>
        <v>0</v>
      </c>
      <c r="N49" s="91">
        <f>(N$46/121)*$C49</f>
        <v>0</v>
      </c>
      <c r="O49" s="91">
        <f>(O$46/121)*$C49</f>
        <v>0</v>
      </c>
      <c r="P49" s="1"/>
      <c r="Q49" s="79"/>
      <c r="R49" s="1"/>
    </row>
    <row r="50" spans="1:18" ht="16.5">
      <c r="A50" s="96" t="s">
        <v>134</v>
      </c>
      <c r="B50" s="96"/>
      <c r="C50" s="85">
        <f>SUM(C45+C40+C21+C10)</f>
        <v>216426137.5</v>
      </c>
      <c r="D50" s="86">
        <f>SUM(D45+D40+D21+D10)</f>
        <v>30008340.448188175</v>
      </c>
      <c r="E50" s="86">
        <f t="shared" ref="E50:O50" si="14">SUM(E45+E40+E21+E10)</f>
        <v>23667509.504132234</v>
      </c>
      <c r="F50" s="86">
        <f t="shared" si="14"/>
        <v>17170651.859504133</v>
      </c>
      <c r="G50" s="86">
        <f t="shared" si="14"/>
        <v>15352470.041322315</v>
      </c>
      <c r="H50" s="86">
        <f t="shared" si="14"/>
        <v>13568835.537190083</v>
      </c>
      <c r="I50" s="86">
        <f t="shared" si="14"/>
        <v>13568835.537190083</v>
      </c>
      <c r="J50" s="86">
        <f t="shared" si="14"/>
        <v>24865154.132231407</v>
      </c>
      <c r="K50" s="86">
        <f t="shared" si="14"/>
        <v>17088833.67768595</v>
      </c>
      <c r="L50" s="86">
        <f t="shared" si="14"/>
        <v>13659744.628099175</v>
      </c>
      <c r="M50" s="86">
        <f t="shared" si="14"/>
        <v>17709081.611570247</v>
      </c>
      <c r="N50" s="86">
        <f t="shared" si="14"/>
        <v>15352470.041322315</v>
      </c>
      <c r="O50" s="86">
        <f t="shared" si="14"/>
        <v>14460652.7892562</v>
      </c>
      <c r="P50" s="75"/>
      <c r="Q50" s="79"/>
      <c r="R50" s="1"/>
    </row>
    <row r="52" spans="1:18">
      <c r="A52" s="114" t="s">
        <v>135</v>
      </c>
      <c r="B52" s="115" t="s">
        <v>136</v>
      </c>
      <c r="C52" s="115" t="s">
        <v>137</v>
      </c>
    </row>
    <row r="53" spans="1:18" ht="16.5">
      <c r="A53" s="113" t="s">
        <v>53</v>
      </c>
      <c r="B53" s="116">
        <f>C10</f>
        <v>95050000</v>
      </c>
      <c r="C53" s="76">
        <f>B53/$C$50</f>
        <v>0.43917985645333618</v>
      </c>
    </row>
    <row r="54" spans="1:18" ht="16.5">
      <c r="A54" s="113" t="s">
        <v>81</v>
      </c>
      <c r="B54" s="116">
        <f>C21</f>
        <v>113451137.5</v>
      </c>
      <c r="C54" s="76">
        <f t="shared" ref="C54:C56" si="15">B54/$C$50</f>
        <v>0.52420257003385273</v>
      </c>
    </row>
    <row r="55" spans="1:18" ht="16.5">
      <c r="A55" s="113" t="s">
        <v>117</v>
      </c>
      <c r="B55" s="116">
        <f>C40</f>
        <v>1125000</v>
      </c>
      <c r="C55" s="76">
        <f t="shared" si="15"/>
        <v>5.1980782589163936E-3</v>
      </c>
    </row>
    <row r="56" spans="1:18" ht="16.5">
      <c r="A56" s="113" t="s">
        <v>125</v>
      </c>
      <c r="B56" s="116">
        <f>C45</f>
        <v>6800000</v>
      </c>
      <c r="C56" s="76">
        <f t="shared" si="15"/>
        <v>3.1419495253894647E-2</v>
      </c>
    </row>
  </sheetData>
  <mergeCells count="4">
    <mergeCell ref="B10:B11"/>
    <mergeCell ref="B21:B22"/>
    <mergeCell ref="B40:B41"/>
    <mergeCell ref="B45:B4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C89B-1739-4736-A6F5-CF8948565DE7}">
  <dimension ref="A1:X96"/>
  <sheetViews>
    <sheetView tabSelected="1" workbookViewId="0">
      <pane xSplit="1" ySplit="2" topLeftCell="B3" activePane="bottomRight" state="frozen"/>
      <selection pane="bottomRight" activeCell="E66" sqref="E66"/>
      <selection pane="bottomLeft"/>
      <selection pane="topRight"/>
    </sheetView>
  </sheetViews>
  <sheetFormatPr defaultRowHeight="15"/>
  <cols>
    <col min="1" max="1" width="62" style="4" bestFit="1" customWidth="1"/>
    <col min="2" max="2" width="55.7109375" style="4" customWidth="1"/>
    <col min="3" max="3" width="31.140625" style="4" customWidth="1"/>
    <col min="4" max="4" width="10" style="4" customWidth="1"/>
    <col min="5" max="5" width="14.28515625" style="4" customWidth="1"/>
    <col min="6" max="6" width="17.140625" style="4" customWidth="1"/>
    <col min="7" max="20" width="13.140625" style="4" customWidth="1"/>
    <col min="21" max="16384" width="9.140625" style="4"/>
  </cols>
  <sheetData>
    <row r="1" spans="1:24" ht="24.75" customHeight="1">
      <c r="A1" s="278" t="s">
        <v>135</v>
      </c>
      <c r="B1" s="278" t="s">
        <v>54</v>
      </c>
      <c r="C1" s="278" t="s">
        <v>144</v>
      </c>
      <c r="D1" s="278" t="s">
        <v>145</v>
      </c>
      <c r="E1" s="280" t="s">
        <v>146</v>
      </c>
      <c r="F1" s="280"/>
      <c r="G1" s="280"/>
      <c r="H1" s="280"/>
      <c r="I1" s="281" t="s">
        <v>147</v>
      </c>
      <c r="J1" s="281"/>
      <c r="K1" s="281"/>
      <c r="L1" s="281"/>
      <c r="M1" s="280" t="s">
        <v>148</v>
      </c>
      <c r="N1" s="280"/>
      <c r="O1" s="280"/>
      <c r="P1" s="282"/>
      <c r="Q1" s="277" t="s">
        <v>149</v>
      </c>
      <c r="R1" s="277"/>
      <c r="S1" s="277"/>
      <c r="T1" s="277"/>
      <c r="U1" s="283"/>
      <c r="V1" s="283"/>
      <c r="W1" s="283"/>
      <c r="X1" s="283"/>
    </row>
    <row r="2" spans="1:24">
      <c r="A2" s="279"/>
      <c r="B2" s="279"/>
      <c r="C2" s="279"/>
      <c r="D2" s="279"/>
      <c r="E2" s="11" t="s">
        <v>150</v>
      </c>
      <c r="F2" s="11" t="s">
        <v>151</v>
      </c>
      <c r="G2" s="11" t="s">
        <v>152</v>
      </c>
      <c r="H2" s="11" t="s">
        <v>153</v>
      </c>
      <c r="I2" s="10" t="s">
        <v>154</v>
      </c>
      <c r="J2" s="10" t="s">
        <v>155</v>
      </c>
      <c r="K2" s="10" t="s">
        <v>156</v>
      </c>
      <c r="L2" s="10" t="s">
        <v>157</v>
      </c>
      <c r="M2" s="11" t="s">
        <v>158</v>
      </c>
      <c r="N2" s="11" t="s">
        <v>159</v>
      </c>
      <c r="O2" s="11" t="s">
        <v>160</v>
      </c>
      <c r="P2" s="72" t="s">
        <v>161</v>
      </c>
      <c r="Q2" s="74" t="s">
        <v>162</v>
      </c>
      <c r="R2" s="74" t="s">
        <v>163</v>
      </c>
      <c r="S2" s="74" t="s">
        <v>164</v>
      </c>
      <c r="T2" s="74" t="s">
        <v>165</v>
      </c>
      <c r="U2" s="283"/>
      <c r="V2" s="283"/>
      <c r="W2" s="283"/>
      <c r="X2" s="283"/>
    </row>
    <row r="3" spans="1:24">
      <c r="A3" s="12" t="s">
        <v>166</v>
      </c>
      <c r="B3" s="12"/>
      <c r="C3" s="22"/>
      <c r="D3" s="22"/>
      <c r="E3" s="23"/>
      <c r="F3" s="23"/>
      <c r="G3" s="23"/>
      <c r="H3" s="23"/>
      <c r="I3" s="24"/>
      <c r="J3" s="24"/>
      <c r="K3" s="24"/>
      <c r="L3" s="24"/>
      <c r="M3" s="23"/>
      <c r="N3" s="23"/>
      <c r="O3" s="23"/>
      <c r="P3" s="23"/>
      <c r="Q3" s="73"/>
      <c r="R3" s="73"/>
      <c r="S3" s="73"/>
      <c r="T3" s="73"/>
      <c r="U3" s="283"/>
      <c r="V3" s="283"/>
      <c r="W3" s="283"/>
      <c r="X3" s="283"/>
    </row>
    <row r="4" spans="1:24">
      <c r="A4" s="13" t="s">
        <v>36</v>
      </c>
      <c r="B4" s="71">
        <v>42</v>
      </c>
      <c r="C4" s="25"/>
      <c r="D4" s="25"/>
      <c r="E4" s="17"/>
      <c r="F4" s="17"/>
      <c r="G4" s="17"/>
      <c r="H4" s="26"/>
      <c r="I4" s="27"/>
      <c r="J4" s="27"/>
      <c r="K4" s="27"/>
      <c r="L4" s="28"/>
      <c r="M4" s="17"/>
      <c r="N4" s="17"/>
      <c r="O4" s="17"/>
      <c r="P4" s="26"/>
      <c r="Q4" s="27"/>
      <c r="R4" s="27"/>
      <c r="S4" s="27"/>
      <c r="T4" s="28"/>
      <c r="U4" s="283"/>
      <c r="V4" s="283"/>
      <c r="W4" s="283"/>
      <c r="X4" s="283"/>
    </row>
    <row r="5" spans="1:24">
      <c r="A5" s="13" t="s">
        <v>37</v>
      </c>
      <c r="B5" s="21">
        <v>27000</v>
      </c>
      <c r="C5" s="21"/>
      <c r="D5" s="21"/>
      <c r="E5" s="17"/>
      <c r="F5" s="17"/>
      <c r="G5" s="17"/>
      <c r="H5" s="26"/>
      <c r="I5" s="27"/>
      <c r="J5" s="27"/>
      <c r="K5" s="27"/>
      <c r="L5" s="28"/>
      <c r="M5" s="17"/>
      <c r="N5" s="17"/>
      <c r="O5" s="17"/>
      <c r="P5" s="26"/>
      <c r="Q5" s="27"/>
      <c r="R5" s="27"/>
      <c r="S5" s="27"/>
      <c r="T5" s="28"/>
      <c r="U5" s="283"/>
      <c r="V5" s="283"/>
      <c r="W5" s="283"/>
      <c r="X5" s="283"/>
    </row>
    <row r="6" spans="1:24">
      <c r="A6" s="13" t="s">
        <v>38</v>
      </c>
      <c r="B6" s="21">
        <v>30</v>
      </c>
      <c r="C6" s="21"/>
      <c r="D6" s="21"/>
      <c r="E6" s="17"/>
      <c r="F6" s="17"/>
      <c r="G6" s="17"/>
      <c r="H6" s="26"/>
      <c r="I6" s="27"/>
      <c r="J6" s="27"/>
      <c r="K6" s="27"/>
      <c r="L6" s="28"/>
      <c r="M6" s="17"/>
      <c r="N6" s="17"/>
      <c r="O6" s="17"/>
      <c r="P6" s="26"/>
      <c r="Q6" s="27"/>
      <c r="R6" s="27"/>
      <c r="S6" s="27"/>
      <c r="T6" s="28"/>
      <c r="U6" s="283"/>
      <c r="V6" s="283"/>
      <c r="W6" s="283"/>
      <c r="X6" s="283"/>
    </row>
    <row r="7" spans="1:24">
      <c r="A7" s="13" t="s">
        <v>39</v>
      </c>
      <c r="B7" s="21">
        <f>B8*3</f>
        <v>4153.8461538461534</v>
      </c>
      <c r="C7" s="21"/>
      <c r="D7" s="21"/>
      <c r="E7" s="17"/>
      <c r="F7" s="17"/>
      <c r="G7" s="17"/>
      <c r="H7" s="26"/>
      <c r="I7" s="27"/>
      <c r="J7" s="27"/>
      <c r="K7" s="27"/>
      <c r="L7" s="28"/>
      <c r="M7" s="17"/>
      <c r="N7" s="17"/>
      <c r="O7" s="17"/>
      <c r="P7" s="26"/>
      <c r="Q7" s="27"/>
      <c r="R7" s="27"/>
      <c r="S7" s="27"/>
      <c r="T7" s="28"/>
      <c r="U7" s="283"/>
      <c r="V7" s="283"/>
      <c r="W7" s="283"/>
      <c r="X7" s="283"/>
    </row>
    <row r="8" spans="1:24">
      <c r="A8" s="13" t="s">
        <v>40</v>
      </c>
      <c r="B8" s="21">
        <f>B9/65%</f>
        <v>1384.6153846153845</v>
      </c>
      <c r="C8" s="21"/>
      <c r="D8" s="21"/>
      <c r="E8" s="17"/>
      <c r="F8" s="17"/>
      <c r="G8" s="17"/>
      <c r="H8" s="26"/>
      <c r="I8" s="27"/>
      <c r="J8" s="27"/>
      <c r="K8" s="27"/>
      <c r="L8" s="28"/>
      <c r="M8" s="17"/>
      <c r="N8" s="17"/>
      <c r="O8" s="17"/>
      <c r="P8" s="26"/>
      <c r="Q8" s="27"/>
      <c r="R8" s="27"/>
      <c r="S8" s="27"/>
      <c r="T8" s="28"/>
      <c r="U8" s="283"/>
      <c r="V8" s="283"/>
      <c r="W8" s="283"/>
      <c r="X8" s="283"/>
    </row>
    <row r="9" spans="1:24">
      <c r="A9" s="13" t="s">
        <v>42</v>
      </c>
      <c r="B9" s="126">
        <f>B5/B6</f>
        <v>900</v>
      </c>
      <c r="C9" s="21"/>
      <c r="D9" s="21"/>
      <c r="E9" s="17"/>
      <c r="F9" s="17"/>
      <c r="G9" s="17"/>
      <c r="H9" s="26"/>
      <c r="I9" s="27"/>
      <c r="J9" s="27"/>
      <c r="K9" s="27"/>
      <c r="L9" s="28"/>
      <c r="M9" s="17"/>
      <c r="N9" s="17"/>
      <c r="O9" s="17"/>
      <c r="P9" s="26"/>
      <c r="Q9" s="27"/>
      <c r="R9" s="27"/>
      <c r="S9" s="27"/>
      <c r="T9" s="28"/>
      <c r="U9" s="283"/>
      <c r="V9" s="283"/>
      <c r="W9" s="283"/>
      <c r="X9" s="283"/>
    </row>
    <row r="10" spans="1:24">
      <c r="A10" s="13" t="s">
        <v>44</v>
      </c>
      <c r="B10" s="71">
        <v>150</v>
      </c>
      <c r="C10" s="25"/>
      <c r="D10" s="25"/>
      <c r="E10" s="17"/>
      <c r="F10" s="17"/>
      <c r="G10" s="17"/>
      <c r="H10" s="26"/>
      <c r="I10" s="27"/>
      <c r="J10" s="27"/>
      <c r="K10" s="27"/>
      <c r="L10" s="28"/>
      <c r="M10" s="17"/>
      <c r="N10" s="17"/>
      <c r="O10" s="17"/>
      <c r="P10" s="26"/>
      <c r="Q10" s="27"/>
      <c r="R10" s="27"/>
      <c r="S10" s="27"/>
      <c r="T10" s="28"/>
      <c r="U10" s="283"/>
      <c r="V10" s="283"/>
      <c r="W10" s="283"/>
      <c r="X10" s="283"/>
    </row>
    <row r="11" spans="1:24">
      <c r="A11" s="12" t="s">
        <v>53</v>
      </c>
      <c r="B11" s="12"/>
      <c r="C11" s="22">
        <f>SUM(C12:C21)</f>
        <v>140600000</v>
      </c>
      <c r="D11" s="22"/>
      <c r="E11" s="29">
        <f>SUM(E12:E21)</f>
        <v>10970250</v>
      </c>
      <c r="F11" s="29">
        <f t="shared" ref="F11:T11" si="0">SUM(F12:F21)</f>
        <v>14926250</v>
      </c>
      <c r="G11" s="29">
        <f t="shared" si="0"/>
        <v>10986000</v>
      </c>
      <c r="H11" s="29">
        <f t="shared" si="0"/>
        <v>36882500</v>
      </c>
      <c r="I11" s="29">
        <f t="shared" si="0"/>
        <v>4720499.9999999991</v>
      </c>
      <c r="J11" s="29">
        <f t="shared" si="0"/>
        <v>5507250</v>
      </c>
      <c r="K11" s="29">
        <f t="shared" si="0"/>
        <v>7381499.9999999991</v>
      </c>
      <c r="L11" s="29">
        <f t="shared" si="0"/>
        <v>17609249.999999996</v>
      </c>
      <c r="M11" s="29">
        <f t="shared" si="0"/>
        <v>18097624.999999996</v>
      </c>
      <c r="N11" s="29">
        <f t="shared" si="0"/>
        <v>15637125</v>
      </c>
      <c r="O11" s="29">
        <f t="shared" si="0"/>
        <v>17223499.999999996</v>
      </c>
      <c r="P11" s="29">
        <f t="shared" si="0"/>
        <v>50958250</v>
      </c>
      <c r="Q11" s="29">
        <f t="shared" si="0"/>
        <v>14060000</v>
      </c>
      <c r="R11" s="29">
        <f t="shared" si="0"/>
        <v>10545000</v>
      </c>
      <c r="S11" s="29">
        <f t="shared" si="0"/>
        <v>10545000</v>
      </c>
      <c r="T11" s="29">
        <f t="shared" si="0"/>
        <v>35150000</v>
      </c>
      <c r="U11" s="283"/>
      <c r="V11" s="283"/>
      <c r="W11" s="283"/>
      <c r="X11" s="283"/>
    </row>
    <row r="12" spans="1:24">
      <c r="A12" s="14" t="s">
        <v>58</v>
      </c>
      <c r="B12" s="14" t="s">
        <v>167</v>
      </c>
      <c r="C12" s="30">
        <f>60*20000*14</f>
        <v>16800000</v>
      </c>
      <c r="D12" s="188">
        <f>C12/$C$11</f>
        <v>0.11948790896159317</v>
      </c>
      <c r="E12" s="17">
        <f>($D12*QuarterBreakup!C$10*'One Helix'!$C$56)</f>
        <v>1260000</v>
      </c>
      <c r="F12" s="17">
        <f>$D12*QuarterBreakup!D$10*'One Helix'!$C$56+882000/2</f>
        <v>2121000</v>
      </c>
      <c r="G12" s="17">
        <f>$D12*QuarterBreakup!E$10*'One Helix'!$C$56+882000/2</f>
        <v>1701000</v>
      </c>
      <c r="H12" s="190">
        <f>E12+F12+G12</f>
        <v>5082000</v>
      </c>
      <c r="I12" s="251"/>
      <c r="J12" s="251"/>
      <c r="K12" s="17">
        <f>$D12*QuarterBreakup!E$16*'One Helix'!$C$56</f>
        <v>881999.99999999988</v>
      </c>
      <c r="L12" s="196">
        <f>I12+J12+K12</f>
        <v>881999.99999999988</v>
      </c>
      <c r="M12" s="17">
        <f>$D12*QuarterBreakup!C$22*'One Helix'!$C$56+756000/2</f>
        <v>2435999.9999999995</v>
      </c>
      <c r="N12" s="17">
        <f>$D12*QuarterBreakup!D$22*'One Helix'!$C$56+756000/2</f>
        <v>2142000</v>
      </c>
      <c r="O12" s="17">
        <f>$D12*QuarterBreakup!E$22*'One Helix'!$C$56</f>
        <v>2057999.9999999995</v>
      </c>
      <c r="P12" s="191">
        <f>M12+N12+O12</f>
        <v>6636000</v>
      </c>
      <c r="Q12" s="17">
        <f>$D12*QuarterBreakup!C$28*'One Helix'!$C$56</f>
        <v>1680000</v>
      </c>
      <c r="R12" s="17">
        <f>$D12*QuarterBreakup!D$28*'One Helix'!$C$56</f>
        <v>1260000</v>
      </c>
      <c r="S12" s="17">
        <f>$D12*QuarterBreakup!E$28*'One Helix'!$C$56</f>
        <v>1260000</v>
      </c>
      <c r="T12" s="191">
        <f>Q12+R12+S12</f>
        <v>4200000</v>
      </c>
      <c r="U12" s="283"/>
      <c r="V12" s="283"/>
      <c r="W12" s="283"/>
      <c r="X12" s="283"/>
    </row>
    <row r="13" spans="1:24" ht="24.75">
      <c r="A13" s="14" t="s">
        <v>61</v>
      </c>
      <c r="B13" s="43" t="s">
        <v>168</v>
      </c>
      <c r="C13" s="30">
        <f>4*3*250000*2</f>
        <v>6000000</v>
      </c>
      <c r="D13" s="188">
        <f t="shared" ref="D13:D21" si="1">C13/$C$11</f>
        <v>4.2674253200568987E-2</v>
      </c>
      <c r="E13" s="17">
        <f>$D13*QuarterBreakup!C$10*'One Helix'!$C$56</f>
        <v>449999.99999999994</v>
      </c>
      <c r="F13" s="17">
        <f>$D13*QuarterBreakup!D$10*'One Helix'!$C$56</f>
        <v>600000</v>
      </c>
      <c r="G13" s="17">
        <f>$D13*QuarterBreakup!E$10*'One Helix'!$C$56</f>
        <v>449999.99999999994</v>
      </c>
      <c r="H13" s="190">
        <f>E13+F13+G13</f>
        <v>1500000</v>
      </c>
      <c r="I13" s="17">
        <f>$D13*QuarterBreakup!C$16*'One Helix'!$C$56</f>
        <v>269999.99999999994</v>
      </c>
      <c r="J13" s="17">
        <f>$D13*QuarterBreakup!D$16*'One Helix'!$C$56</f>
        <v>314999.99999999994</v>
      </c>
      <c r="K13" s="17">
        <f>$D13*QuarterBreakup!E$16*'One Helix'!$C$56</f>
        <v>314999.99999999994</v>
      </c>
      <c r="L13" s="196">
        <f t="shared" ref="L13:L52" si="2">I13+J13+K13</f>
        <v>899999.99999999977</v>
      </c>
      <c r="M13" s="17">
        <f>$D13*QuarterBreakup!C$22*'One Helix'!$C$56</f>
        <v>734999.99999999977</v>
      </c>
      <c r="N13" s="17">
        <f>$D13*QuarterBreakup!D$22*'One Helix'!$C$56</f>
        <v>629999.99999999988</v>
      </c>
      <c r="O13" s="17">
        <f>$D13*QuarterBreakup!E$22*'One Helix'!$C$56</f>
        <v>734999.99999999977</v>
      </c>
      <c r="P13" s="191">
        <f>M13+N13+O13</f>
        <v>2099999.9999999991</v>
      </c>
      <c r="Q13" s="17">
        <f>$D13*QuarterBreakup!C$28*'One Helix'!$C$56</f>
        <v>600000</v>
      </c>
      <c r="R13" s="17">
        <f>$D13*QuarterBreakup!D$28*'One Helix'!$C$56</f>
        <v>449999.99999999994</v>
      </c>
      <c r="S13" s="17">
        <f>$D13*QuarterBreakup!E$28*'One Helix'!$C$56</f>
        <v>449999.99999999994</v>
      </c>
      <c r="T13" s="191">
        <f t="shared" ref="T13:T45" si="3">Q13+R13+S13</f>
        <v>1500000</v>
      </c>
      <c r="U13" s="283"/>
      <c r="V13" s="283"/>
      <c r="W13" s="283"/>
      <c r="X13" s="283"/>
    </row>
    <row r="14" spans="1:24">
      <c r="A14" s="14" t="s">
        <v>64</v>
      </c>
      <c r="B14" s="14" t="s">
        <v>169</v>
      </c>
      <c r="C14" s="30">
        <f>60*5*50000</f>
        <v>15000000</v>
      </c>
      <c r="D14" s="188">
        <f t="shared" si="1"/>
        <v>0.10668563300142248</v>
      </c>
      <c r="E14" s="17">
        <f>$D14*QuarterBreakup!C$10*'One Helix'!$C$56</f>
        <v>1124999.9999999998</v>
      </c>
      <c r="F14" s="17">
        <f>$D14*QuarterBreakup!D$10*'One Helix'!$C$56</f>
        <v>1500000</v>
      </c>
      <c r="G14" s="17">
        <f>$D14*QuarterBreakup!E$10*'One Helix'!$C$56</f>
        <v>1124999.9999999998</v>
      </c>
      <c r="H14" s="190">
        <f>E14+F14+G14</f>
        <v>3750000</v>
      </c>
      <c r="I14" s="17">
        <f>$D14*QuarterBreakup!C$16*'One Helix'!$C$56</f>
        <v>674999.99999999988</v>
      </c>
      <c r="J14" s="17">
        <f>$D14*QuarterBreakup!D$16*'One Helix'!$C$56</f>
        <v>787499.99999999988</v>
      </c>
      <c r="K14" s="17">
        <f>$D14*QuarterBreakup!E$16*'One Helix'!$C$56</f>
        <v>787499.99999999988</v>
      </c>
      <c r="L14" s="196">
        <f t="shared" si="2"/>
        <v>2249999.9999999995</v>
      </c>
      <c r="M14" s="17">
        <f>$D14*QuarterBreakup!C$22*'One Helix'!$C$56</f>
        <v>1837499.9999999998</v>
      </c>
      <c r="N14" s="17">
        <f>$D14*QuarterBreakup!D$22*'One Helix'!$C$56</f>
        <v>1574999.9999999998</v>
      </c>
      <c r="O14" s="17">
        <f>$D14*QuarterBreakup!E$22*'One Helix'!$C$56</f>
        <v>1837499.9999999998</v>
      </c>
      <c r="P14" s="191">
        <f>M14+N14+O14</f>
        <v>5249999.9999999991</v>
      </c>
      <c r="Q14" s="17">
        <f>$D14*QuarterBreakup!C$28*'One Helix'!$C$56</f>
        <v>1500000</v>
      </c>
      <c r="R14" s="17">
        <f>$D14*QuarterBreakup!D$28*'One Helix'!$C$56</f>
        <v>1124999.9999999998</v>
      </c>
      <c r="S14" s="17">
        <f>$D14*QuarterBreakup!E$28*'One Helix'!$C$56</f>
        <v>1124999.9999999998</v>
      </c>
      <c r="T14" s="191">
        <f t="shared" si="3"/>
        <v>3750000</v>
      </c>
      <c r="U14" s="283"/>
      <c r="V14" s="283"/>
      <c r="W14" s="283"/>
      <c r="X14" s="283"/>
    </row>
    <row r="15" spans="1:24" ht="24.75">
      <c r="A15" s="14" t="s">
        <v>67</v>
      </c>
      <c r="B15" s="43" t="s">
        <v>170</v>
      </c>
      <c r="C15" s="30">
        <f>4*3*600000*2</f>
        <v>14400000</v>
      </c>
      <c r="D15" s="188">
        <f t="shared" si="1"/>
        <v>0.10241820768136557</v>
      </c>
      <c r="E15" s="17">
        <f>$D15*QuarterBreakup!C$10*'One Helix'!$C$56</f>
        <v>1079999.9999999998</v>
      </c>
      <c r="F15" s="17">
        <f>$D15*QuarterBreakup!D$10*'One Helix'!$C$56</f>
        <v>1440000</v>
      </c>
      <c r="G15" s="17">
        <f>$D15*QuarterBreakup!E$10*'One Helix'!$C$56</f>
        <v>1079999.9999999998</v>
      </c>
      <c r="H15" s="191">
        <f>E15+F15+G15</f>
        <v>3600000</v>
      </c>
      <c r="I15" s="17">
        <f>$D15*QuarterBreakup!C$16*'One Helix'!$C$56</f>
        <v>647999.99999999988</v>
      </c>
      <c r="J15" s="17">
        <f>$D15*QuarterBreakup!D$16*'One Helix'!$C$56</f>
        <v>755999.99999999988</v>
      </c>
      <c r="K15" s="17">
        <f>$D15*QuarterBreakup!E$16*'One Helix'!$C$56</f>
        <v>755999.99999999988</v>
      </c>
      <c r="L15" s="196">
        <f t="shared" si="2"/>
        <v>2159999.9999999995</v>
      </c>
      <c r="M15" s="31">
        <f>$D15*QuarterBreakup!C$22*'One Helix'!$C$56</f>
        <v>1763999.9999999995</v>
      </c>
      <c r="N15" s="31">
        <f>$D15*QuarterBreakup!D$22*'One Helix'!$C$56</f>
        <v>1511999.9999999998</v>
      </c>
      <c r="O15" s="31">
        <f>$D15*QuarterBreakup!E$22*'One Helix'!$C$56</f>
        <v>1763999.9999999995</v>
      </c>
      <c r="P15" s="191">
        <f>M15+N15+O15</f>
        <v>5039999.9999999981</v>
      </c>
      <c r="Q15" s="17">
        <f>$D15*QuarterBreakup!C$28*'One Helix'!$C$56</f>
        <v>1440000</v>
      </c>
      <c r="R15" s="17">
        <f>$D15*QuarterBreakup!D$28*'One Helix'!$C$56</f>
        <v>1079999.9999999998</v>
      </c>
      <c r="S15" s="17">
        <f>$D15*QuarterBreakup!E$28*'One Helix'!$C$56</f>
        <v>1079999.9999999998</v>
      </c>
      <c r="T15" s="191">
        <f t="shared" si="3"/>
        <v>3600000</v>
      </c>
      <c r="U15" s="283"/>
      <c r="V15" s="283"/>
      <c r="W15" s="283"/>
      <c r="X15" s="283"/>
    </row>
    <row r="16" spans="1:24" ht="24.75">
      <c r="A16" s="15" t="s">
        <v>70</v>
      </c>
      <c r="B16" s="15" t="s">
        <v>71</v>
      </c>
      <c r="C16" s="33">
        <v>5000000</v>
      </c>
      <c r="D16" s="188">
        <f t="shared" si="1"/>
        <v>3.5561877667140827E-2</v>
      </c>
      <c r="E16" s="17">
        <f>$D16*QuarterBreakup!C$10*'One Helix'!$C$56</f>
        <v>375000</v>
      </c>
      <c r="F16" s="17">
        <f>$D16*QuarterBreakup!D$10*'One Helix'!$C$56</f>
        <v>500000.00000000006</v>
      </c>
      <c r="G16" s="17">
        <f>$D16*QuarterBreakup!E$10*'One Helix'!$C$56</f>
        <v>375000</v>
      </c>
      <c r="H16" s="191">
        <f>E16+F16+G16</f>
        <v>1250000</v>
      </c>
      <c r="I16" s="17">
        <f>$D16*QuarterBreakup!C$16*'One Helix'!$C$56</f>
        <v>224999.99999999997</v>
      </c>
      <c r="J16" s="17">
        <f>$D16*QuarterBreakup!D$16*'One Helix'!$C$56</f>
        <v>262499.99999999994</v>
      </c>
      <c r="K16" s="17">
        <f>$D16*QuarterBreakup!E$16*'One Helix'!$C$56</f>
        <v>262499.99999999994</v>
      </c>
      <c r="L16" s="196">
        <f t="shared" si="2"/>
        <v>749999.99999999977</v>
      </c>
      <c r="M16" s="31">
        <f>$D16*QuarterBreakup!C$22*'One Helix'!$C$56</f>
        <v>612500</v>
      </c>
      <c r="N16" s="31">
        <f>$D16*QuarterBreakup!D$22*'One Helix'!$C$56</f>
        <v>524999.99999999988</v>
      </c>
      <c r="O16" s="31">
        <f>$D16*QuarterBreakup!E$22*'One Helix'!$C$56</f>
        <v>612500</v>
      </c>
      <c r="P16" s="191">
        <f>M16+N16+O16</f>
        <v>1750000</v>
      </c>
      <c r="Q16" s="17">
        <f>$D16*QuarterBreakup!C$28*'One Helix'!$C$56</f>
        <v>500000.00000000006</v>
      </c>
      <c r="R16" s="17">
        <f>$D16*QuarterBreakup!D$28*'One Helix'!$C$56</f>
        <v>375000</v>
      </c>
      <c r="S16" s="17">
        <f>$D16*QuarterBreakup!E$28*'One Helix'!$C$56</f>
        <v>375000</v>
      </c>
      <c r="T16" s="191">
        <f t="shared" si="3"/>
        <v>1250000</v>
      </c>
      <c r="U16" s="283"/>
      <c r="V16" s="283"/>
      <c r="W16" s="283"/>
      <c r="X16" s="283"/>
    </row>
    <row r="17" spans="1:24">
      <c r="A17" s="15" t="s">
        <v>73</v>
      </c>
      <c r="B17" s="15" t="s">
        <v>74</v>
      </c>
      <c r="C17" s="33">
        <v>0</v>
      </c>
      <c r="D17" s="188">
        <f t="shared" si="1"/>
        <v>0</v>
      </c>
      <c r="E17" s="17">
        <f>$D17*QuarterBreakup!C$10*'One Helix'!$C$56</f>
        <v>0</v>
      </c>
      <c r="F17" s="17">
        <f>$D17*QuarterBreakup!D$10*'One Helix'!$C$56</f>
        <v>0</v>
      </c>
      <c r="G17" s="17">
        <f>$D17*QuarterBreakup!E$10*'One Helix'!$C$56</f>
        <v>0</v>
      </c>
      <c r="H17" s="191">
        <f>E17+F17+G17</f>
        <v>0</v>
      </c>
      <c r="I17" s="17">
        <f>$D17*QuarterBreakup!C$16*'One Helix'!$C$56</f>
        <v>0</v>
      </c>
      <c r="J17" s="17">
        <f>$D17*QuarterBreakup!D$16*'One Helix'!$C$56</f>
        <v>0</v>
      </c>
      <c r="K17" s="17">
        <f>$D17*QuarterBreakup!E$16*'One Helix'!$C$56</f>
        <v>0</v>
      </c>
      <c r="L17" s="196">
        <f t="shared" si="2"/>
        <v>0</v>
      </c>
      <c r="M17" s="31">
        <f>$D17*QuarterBreakup!C$22*'One Helix'!$C$56</f>
        <v>0</v>
      </c>
      <c r="N17" s="31">
        <f>$D17*QuarterBreakup!D$22*'One Helix'!$C$56</f>
        <v>0</v>
      </c>
      <c r="O17" s="31">
        <f>$D17*QuarterBreakup!E$22*'One Helix'!$C$56</f>
        <v>0</v>
      </c>
      <c r="P17" s="191">
        <f>M17+N17+O17</f>
        <v>0</v>
      </c>
      <c r="Q17" s="17">
        <f>$D17*QuarterBreakup!C$28*'One Helix'!$C$56</f>
        <v>0</v>
      </c>
      <c r="R17" s="17">
        <f>$D17*QuarterBreakup!D$28*'One Helix'!$C$56</f>
        <v>0</v>
      </c>
      <c r="S17" s="17">
        <f>$D17*QuarterBreakup!E$28*'One Helix'!$C$56</f>
        <v>0</v>
      </c>
      <c r="T17" s="191">
        <f t="shared" si="3"/>
        <v>0</v>
      </c>
      <c r="U17" s="283"/>
      <c r="V17" s="283"/>
      <c r="W17" s="283"/>
      <c r="X17" s="283"/>
    </row>
    <row r="18" spans="1:24" ht="24.75">
      <c r="A18" s="15" t="s">
        <v>75</v>
      </c>
      <c r="B18" s="43" t="s">
        <v>76</v>
      </c>
      <c r="C18" s="33">
        <f>15*3*7000*60</f>
        <v>18900000</v>
      </c>
      <c r="D18" s="188">
        <f t="shared" si="1"/>
        <v>0.13442389758179232</v>
      </c>
      <c r="E18" s="17">
        <f>($D18*QuarterBreakup!C$10*'One Helix'!$C$56)+(850500/2)</f>
        <v>1842750</v>
      </c>
      <c r="F18" s="17">
        <f>($D18*QuarterBreakup!D$10*'One Helix'!$C$56) + (850500/2)</f>
        <v>2315250</v>
      </c>
      <c r="G18" s="17">
        <f>$D18*QuarterBreakup!E$10*'One Helix'!$C$56</f>
        <v>1417500</v>
      </c>
      <c r="H18" s="191">
        <f>E18+F18+G18</f>
        <v>5575500</v>
      </c>
      <c r="I18" s="197">
        <v>0</v>
      </c>
      <c r="J18" s="17">
        <v>0</v>
      </c>
      <c r="K18" s="17">
        <f>$D18*QuarterBreakup!E$16*'One Helix'!$C$56</f>
        <v>992249.99999999988</v>
      </c>
      <c r="L18" s="196">
        <f t="shared" si="2"/>
        <v>992249.99999999988</v>
      </c>
      <c r="M18" s="31">
        <f>$D18*QuarterBreakup!C$22*'One Helix'!$C$56+(992250/2)</f>
        <v>2811375</v>
      </c>
      <c r="N18" s="31">
        <f>$D18*QuarterBreakup!D$22*'One Helix'!$C$56+(992250/2)</f>
        <v>2480625</v>
      </c>
      <c r="O18" s="31">
        <f>$D18*QuarterBreakup!E$22*'One Helix'!$C$56</f>
        <v>2315250</v>
      </c>
      <c r="P18" s="191">
        <f>M18+N18+O18</f>
        <v>7607250</v>
      </c>
      <c r="Q18" s="17">
        <f>$D18*QuarterBreakup!C$28*'One Helix'!$C$56</f>
        <v>1890000</v>
      </c>
      <c r="R18" s="17">
        <f>$D18*QuarterBreakup!D$28*'One Helix'!$C$56</f>
        <v>1417500</v>
      </c>
      <c r="S18" s="17">
        <f>$D18*QuarterBreakup!E$28*'One Helix'!$C$56</f>
        <v>1417500</v>
      </c>
      <c r="T18" s="191">
        <f t="shared" si="3"/>
        <v>4725000</v>
      </c>
      <c r="U18" s="283"/>
      <c r="V18" s="283"/>
      <c r="W18" s="283"/>
      <c r="X18" s="283"/>
    </row>
    <row r="19" spans="1:24" ht="24.75">
      <c r="A19" s="15" t="s">
        <v>77</v>
      </c>
      <c r="B19" s="43" t="s">
        <v>78</v>
      </c>
      <c r="C19" s="33">
        <f>15*500000</f>
        <v>7500000</v>
      </c>
      <c r="D19" s="188">
        <f t="shared" si="1"/>
        <v>5.3342816500711238E-2</v>
      </c>
      <c r="E19" s="17">
        <f>$D19*QuarterBreakup!C$10*'One Helix'!$C$56</f>
        <v>562499.99999999988</v>
      </c>
      <c r="F19" s="17">
        <f>$D19*QuarterBreakup!D$10*'One Helix'!$C$56</f>
        <v>750000</v>
      </c>
      <c r="G19" s="17">
        <f>$D19*QuarterBreakup!E$10*'One Helix'!$C$56</f>
        <v>562499.99999999988</v>
      </c>
      <c r="H19" s="191">
        <f>E19+F19+G19</f>
        <v>1875000</v>
      </c>
      <c r="I19" s="17">
        <f>$D19*QuarterBreakup!C$16*'One Helix'!$C$56</f>
        <v>337499.99999999994</v>
      </c>
      <c r="J19" s="17">
        <f>$D19*QuarterBreakup!D$16*'One Helix'!$C$56</f>
        <v>393749.99999999994</v>
      </c>
      <c r="K19" s="17">
        <f>$D19*QuarterBreakup!E$16*'One Helix'!$C$56</f>
        <v>393749.99999999994</v>
      </c>
      <c r="L19" s="196">
        <f t="shared" si="2"/>
        <v>1124999.9999999998</v>
      </c>
      <c r="M19" s="31">
        <f>$D19*QuarterBreakup!C$22*'One Helix'!$C$56</f>
        <v>918749.99999999988</v>
      </c>
      <c r="N19" s="31">
        <f>$D19*QuarterBreakup!D$22*'One Helix'!$C$56</f>
        <v>787499.99999999988</v>
      </c>
      <c r="O19" s="31">
        <f>$D19*QuarterBreakup!E$22*'One Helix'!$C$56</f>
        <v>918749.99999999988</v>
      </c>
      <c r="P19" s="191">
        <f>M19+N19+O19</f>
        <v>2624999.9999999995</v>
      </c>
      <c r="Q19" s="17">
        <f>$D19*QuarterBreakup!C$28*'One Helix'!$C$56</f>
        <v>750000</v>
      </c>
      <c r="R19" s="17">
        <f>$D19*QuarterBreakup!D$28*'One Helix'!$C$56</f>
        <v>562499.99999999988</v>
      </c>
      <c r="S19" s="17">
        <f>$D19*QuarterBreakup!E$28*'One Helix'!$C$56</f>
        <v>562499.99999999988</v>
      </c>
      <c r="T19" s="191">
        <f t="shared" si="3"/>
        <v>1875000</v>
      </c>
      <c r="U19" s="283"/>
      <c r="V19" s="283"/>
      <c r="W19" s="283"/>
      <c r="X19" s="283"/>
    </row>
    <row r="20" spans="1:24" ht="24.75">
      <c r="A20" s="16" t="s">
        <v>79</v>
      </c>
      <c r="B20" s="43" t="s">
        <v>171</v>
      </c>
      <c r="C20" s="34">
        <f>60*1000*700</f>
        <v>42000000</v>
      </c>
      <c r="D20" s="188">
        <f t="shared" si="1"/>
        <v>0.29871977240398295</v>
      </c>
      <c r="E20" s="17">
        <f>$D20*QuarterBreakup!C$10*'One Helix'!$C$56</f>
        <v>3149999.9999999995</v>
      </c>
      <c r="F20" s="17">
        <f>$D20*QuarterBreakup!D$10*'One Helix'!$C$56</f>
        <v>4200000</v>
      </c>
      <c r="G20" s="17">
        <f>$D20*QuarterBreakup!E$10*'One Helix'!$C$56</f>
        <v>3149999.9999999995</v>
      </c>
      <c r="H20" s="191">
        <f>E20+F20+G20</f>
        <v>10500000</v>
      </c>
      <c r="I20" s="17">
        <f>$D20*QuarterBreakup!C$16*'One Helix'!$C$56</f>
        <v>1889999.9999999998</v>
      </c>
      <c r="J20" s="17">
        <f>$D20*QuarterBreakup!D$16*'One Helix'!$C$56</f>
        <v>2205000</v>
      </c>
      <c r="K20" s="17">
        <f>$D20*QuarterBreakup!E$16*'One Helix'!$C$56</f>
        <v>2205000</v>
      </c>
      <c r="L20" s="196">
        <f t="shared" si="2"/>
        <v>6300000</v>
      </c>
      <c r="M20" s="31">
        <f>$D20*QuarterBreakup!C$22*'One Helix'!$C$56</f>
        <v>5145000</v>
      </c>
      <c r="N20" s="31">
        <f>$D20*QuarterBreakup!D$22*'One Helix'!$C$56</f>
        <v>4410000</v>
      </c>
      <c r="O20" s="31">
        <f>$D20*QuarterBreakup!E$22*'One Helix'!$C$56</f>
        <v>5145000</v>
      </c>
      <c r="P20" s="191">
        <f>M20+N20+O20</f>
        <v>14700000</v>
      </c>
      <c r="Q20" s="17">
        <f>$D20*QuarterBreakup!C$28*'One Helix'!$C$56</f>
        <v>4200000</v>
      </c>
      <c r="R20" s="17">
        <f>$D20*QuarterBreakup!D$28*'One Helix'!$C$56</f>
        <v>3149999.9999999995</v>
      </c>
      <c r="S20" s="17">
        <f>$D20*QuarterBreakup!E$28*'One Helix'!$C$56</f>
        <v>3149999.9999999995</v>
      </c>
      <c r="T20" s="191">
        <f t="shared" si="3"/>
        <v>10500000</v>
      </c>
      <c r="U20" s="283"/>
      <c r="V20" s="283"/>
      <c r="W20" s="283"/>
      <c r="X20" s="283"/>
    </row>
    <row r="21" spans="1:24">
      <c r="A21" s="16" t="s">
        <v>172</v>
      </c>
      <c r="B21" s="213" t="s">
        <v>173</v>
      </c>
      <c r="C21" s="34">
        <f>B10*25*4000</f>
        <v>15000000</v>
      </c>
      <c r="D21" s="188">
        <f t="shared" si="1"/>
        <v>0.10668563300142248</v>
      </c>
      <c r="E21" s="17">
        <f>$D21*QuarterBreakup!C$10*'One Helix'!$C$56</f>
        <v>1124999.9999999998</v>
      </c>
      <c r="F21" s="17">
        <f>$D21*QuarterBreakup!D$10*'One Helix'!$C$56</f>
        <v>1500000</v>
      </c>
      <c r="G21" s="17">
        <f>$D21*QuarterBreakup!E$10*'One Helix'!$C$56</f>
        <v>1124999.9999999998</v>
      </c>
      <c r="H21" s="191">
        <f>E21+F21+G21</f>
        <v>3750000</v>
      </c>
      <c r="I21" s="17">
        <f>$D21*QuarterBreakup!C$16*'One Helix'!$C$56</f>
        <v>674999.99999999988</v>
      </c>
      <c r="J21" s="17">
        <f>$D21*QuarterBreakup!D$16*'One Helix'!$C$56</f>
        <v>787499.99999999988</v>
      </c>
      <c r="K21" s="17">
        <f>$D21*QuarterBreakup!E$16*'One Helix'!$C$56</f>
        <v>787499.99999999988</v>
      </c>
      <c r="L21" s="196">
        <f t="shared" si="2"/>
        <v>2249999.9999999995</v>
      </c>
      <c r="M21" s="31">
        <f>$D21*QuarterBreakup!C$22*'One Helix'!$C$56</f>
        <v>1837499.9999999998</v>
      </c>
      <c r="N21" s="31">
        <f>$D21*QuarterBreakup!D$22*'One Helix'!$C$56</f>
        <v>1574999.9999999998</v>
      </c>
      <c r="O21" s="31">
        <f>$D21*QuarterBreakup!E$22*'One Helix'!$C$56</f>
        <v>1837499.9999999998</v>
      </c>
      <c r="P21" s="191">
        <f>M21+N21+O21</f>
        <v>5249999.9999999991</v>
      </c>
      <c r="Q21" s="17">
        <f>$D21*QuarterBreakup!C$28*'One Helix'!$C$56</f>
        <v>1500000</v>
      </c>
      <c r="R21" s="17">
        <f>$D21*QuarterBreakup!D$28*'One Helix'!$C$56</f>
        <v>1124999.9999999998</v>
      </c>
      <c r="S21" s="17">
        <f>$D21*QuarterBreakup!E$28*'One Helix'!$C$56</f>
        <v>1124999.9999999998</v>
      </c>
      <c r="T21" s="191">
        <f t="shared" si="3"/>
        <v>3750000</v>
      </c>
      <c r="U21" s="283"/>
      <c r="V21" s="283"/>
      <c r="W21" s="283"/>
      <c r="X21" s="283"/>
    </row>
    <row r="22" spans="1:24">
      <c r="A22" s="12" t="s">
        <v>81</v>
      </c>
      <c r="B22" s="12"/>
      <c r="C22" s="22">
        <f>SUM(C23:C40)</f>
        <v>100864615.38461539</v>
      </c>
      <c r="D22" s="22"/>
      <c r="E22" s="29">
        <f>SUM(E23:E40)</f>
        <v>7279269.2307692301</v>
      </c>
      <c r="F22" s="29">
        <f t="shared" ref="F22:T22" si="4">SUM(F23:F40)</f>
        <v>9705692.307692308</v>
      </c>
      <c r="G22" s="29">
        <f t="shared" si="4"/>
        <v>7279269.2307692301</v>
      </c>
      <c r="H22" s="29">
        <f t="shared" si="4"/>
        <v>24264230.769230772</v>
      </c>
      <c r="I22" s="29">
        <f t="shared" si="4"/>
        <v>4367561.538461538</v>
      </c>
      <c r="J22" s="29">
        <f t="shared" si="4"/>
        <v>5095488.4615384601</v>
      </c>
      <c r="K22" s="29">
        <f t="shared" si="4"/>
        <v>5095488.4615384601</v>
      </c>
      <c r="L22" s="29">
        <f t="shared" si="4"/>
        <v>14558538.461538458</v>
      </c>
      <c r="M22" s="29">
        <f t="shared" si="4"/>
        <v>13793319.230769228</v>
      </c>
      <c r="N22" s="29">
        <f t="shared" si="4"/>
        <v>10190976.92307692</v>
      </c>
      <c r="O22" s="29">
        <f t="shared" si="4"/>
        <v>11889473.076923074</v>
      </c>
      <c r="P22" s="29">
        <f t="shared" si="4"/>
        <v>35873769.230769224</v>
      </c>
      <c r="Q22" s="29">
        <f t="shared" si="4"/>
        <v>11609538.461538462</v>
      </c>
      <c r="R22" s="29">
        <f t="shared" si="4"/>
        <v>7279269.2307692301</v>
      </c>
      <c r="S22" s="29">
        <f t="shared" si="4"/>
        <v>7279269.2307692301</v>
      </c>
      <c r="T22" s="29">
        <f t="shared" si="4"/>
        <v>26168076.923076924</v>
      </c>
      <c r="U22" s="283"/>
      <c r="V22" s="283"/>
      <c r="W22" s="283"/>
      <c r="X22" s="283"/>
    </row>
    <row r="23" spans="1:24" ht="24.75">
      <c r="A23" s="256" t="s">
        <v>83</v>
      </c>
      <c r="B23" s="14" t="s">
        <v>84</v>
      </c>
      <c r="C23" s="30">
        <f>(B8*0.5)*40*30</f>
        <v>830769.23076923075</v>
      </c>
      <c r="D23" s="188">
        <f>C23/$C$22</f>
        <v>8.2364784478813936E-3</v>
      </c>
      <c r="E23" s="17">
        <f>QuarterBreakup!C$10*'One Helix'!$C$57*'One Helix'!$D23</f>
        <v>62307.692307692298</v>
      </c>
      <c r="F23" s="17">
        <f>QuarterBreakup!D$10*'One Helix'!$C$57*'One Helix'!$D23</f>
        <v>83076.923076923078</v>
      </c>
      <c r="G23" s="17">
        <f>QuarterBreakup!E$10*'One Helix'!$C$57*'One Helix'!$D23</f>
        <v>62307.692307692298</v>
      </c>
      <c r="H23" s="31">
        <f>QuarterBreakup!F$10*'One Helix'!$C$57*'One Helix'!$D23</f>
        <v>207692.30769230769</v>
      </c>
      <c r="I23" s="17">
        <f>QuarterBreakup!C$16*'One Helix'!$C$57*'One Helix'!$D23</f>
        <v>37384.615384615376</v>
      </c>
      <c r="J23" s="17">
        <f>QuarterBreakup!D$16*'One Helix'!$C$57*'One Helix'!$D23</f>
        <v>43615.384615384603</v>
      </c>
      <c r="K23" s="17">
        <f>QuarterBreakup!E$16*'One Helix'!$C$57*'One Helix'!$D23</f>
        <v>43615.384615384603</v>
      </c>
      <c r="L23" s="28">
        <f t="shared" si="2"/>
        <v>124615.38461538457</v>
      </c>
      <c r="M23" s="17">
        <f>QuarterBreakup!C$22*'One Helix'!$C$57*'One Helix'!$D23</f>
        <v>101769.23076923075</v>
      </c>
      <c r="N23" s="17">
        <f>QuarterBreakup!D$22*'One Helix'!$C$57*'One Helix'!$D23</f>
        <v>87230.769230769205</v>
      </c>
      <c r="O23" s="17">
        <f>QuarterBreakup!E$22*'One Helix'!$C$57*'One Helix'!$D23</f>
        <v>101769.23076923075</v>
      </c>
      <c r="P23" s="26">
        <f>SUM(M23:O23)</f>
        <v>290769.23076923069</v>
      </c>
      <c r="Q23" s="17">
        <f>QuarterBreakup!C$28*'One Helix'!$C$57*'One Helix'!$D23</f>
        <v>83076.923076923078</v>
      </c>
      <c r="R23" s="17">
        <f>QuarterBreakup!D$28*'One Helix'!$C$57*'One Helix'!$D23</f>
        <v>62307.692307692298</v>
      </c>
      <c r="S23" s="17">
        <f>QuarterBreakup!E$28*'One Helix'!$C$57*'One Helix'!$D23</f>
        <v>62307.692307692298</v>
      </c>
      <c r="T23" s="191">
        <f t="shared" si="3"/>
        <v>207692.30769230769</v>
      </c>
      <c r="U23" s="283"/>
      <c r="V23" s="283"/>
      <c r="W23" s="283"/>
      <c r="X23" s="283"/>
    </row>
    <row r="24" spans="1:24" ht="24.75">
      <c r="A24" s="256" t="s">
        <v>85</v>
      </c>
      <c r="B24" s="14" t="s">
        <v>86</v>
      </c>
      <c r="C24" s="30">
        <f>(B8*0.25)*(180*30+65*18)</f>
        <v>2274230.769230769</v>
      </c>
      <c r="D24" s="188">
        <f t="shared" ref="D24:D40" si="5">C24/$C$22</f>
        <v>2.2547359751075316E-2</v>
      </c>
      <c r="E24" s="17">
        <f>QuarterBreakup!C$10*'One Helix'!$C$57*'One Helix'!$D24</f>
        <v>170567.30769230769</v>
      </c>
      <c r="F24" s="17">
        <f>QuarterBreakup!D$10*'One Helix'!$C$57*'One Helix'!$D24</f>
        <v>227423.07692307694</v>
      </c>
      <c r="G24" s="17">
        <f>QuarterBreakup!E$10*'One Helix'!$C$57*'One Helix'!$D24</f>
        <v>170567.30769230769</v>
      </c>
      <c r="H24" s="26">
        <f t="shared" ref="H24:H40" si="6">SUM(E24:G24)</f>
        <v>568557.69230769225</v>
      </c>
      <c r="I24" s="17">
        <f>QuarterBreakup!C$16*'One Helix'!$C$57*'One Helix'!$D24</f>
        <v>102340.3846153846</v>
      </c>
      <c r="J24" s="17">
        <f>QuarterBreakup!D$16*'One Helix'!$C$57*'One Helix'!$D24</f>
        <v>119397.11538461536</v>
      </c>
      <c r="K24" s="17">
        <f>QuarterBreakup!E$16*'One Helix'!$C$57*'One Helix'!$D24</f>
        <v>119397.11538461536</v>
      </c>
      <c r="L24" s="28">
        <f t="shared" si="2"/>
        <v>341134.61538461532</v>
      </c>
      <c r="M24" s="17">
        <f>QuarterBreakup!C$22*'One Helix'!$C$57*'One Helix'!$D24</f>
        <v>278593.26923076919</v>
      </c>
      <c r="N24" s="17">
        <f>QuarterBreakup!D$22*'One Helix'!$C$57*'One Helix'!$D24</f>
        <v>238794.23076923072</v>
      </c>
      <c r="O24" s="17">
        <f>QuarterBreakup!E$22*'One Helix'!$C$57*'One Helix'!$D24</f>
        <v>278593.26923076919</v>
      </c>
      <c r="P24" s="26">
        <f>SUM(M24:O24)</f>
        <v>795980.76923076902</v>
      </c>
      <c r="Q24" s="17">
        <f>QuarterBreakup!C$28*'One Helix'!$C$57*'One Helix'!$D24</f>
        <v>227423.07692307694</v>
      </c>
      <c r="R24" s="17">
        <f>QuarterBreakup!D$28*'One Helix'!$C$57*'One Helix'!$D24</f>
        <v>170567.30769230769</v>
      </c>
      <c r="S24" s="17">
        <f>QuarterBreakup!E$28*'One Helix'!$C$57*'One Helix'!$D24</f>
        <v>170567.30769230769</v>
      </c>
      <c r="T24" s="191">
        <f t="shared" si="3"/>
        <v>568557.69230769225</v>
      </c>
      <c r="U24" s="283"/>
      <c r="V24" s="283"/>
      <c r="W24" s="283"/>
      <c r="X24" s="283"/>
    </row>
    <row r="25" spans="1:24">
      <c r="A25" s="256" t="s">
        <v>87</v>
      </c>
      <c r="B25" s="14" t="s">
        <v>88</v>
      </c>
      <c r="C25" s="30">
        <f>(B8*0.2)*10000</f>
        <v>2769230.769230769</v>
      </c>
      <c r="D25" s="188">
        <f t="shared" si="5"/>
        <v>2.7454928159604645E-2</v>
      </c>
      <c r="E25" s="17">
        <f>QuarterBreakup!C$10*'One Helix'!$C$57*'One Helix'!$D25</f>
        <v>207692.30769230766</v>
      </c>
      <c r="F25" s="17">
        <f>QuarterBreakup!D$10*'One Helix'!$C$57*'One Helix'!$D25</f>
        <v>276923.07692307694</v>
      </c>
      <c r="G25" s="17">
        <f>QuarterBreakup!E$10*'One Helix'!$C$57*'One Helix'!$D25</f>
        <v>207692.30769230766</v>
      </c>
      <c r="H25" s="26">
        <f t="shared" si="6"/>
        <v>692307.69230769225</v>
      </c>
      <c r="I25" s="17">
        <f>QuarterBreakup!C$16*'One Helix'!$C$57*'One Helix'!$D25</f>
        <v>124615.3846153846</v>
      </c>
      <c r="J25" s="17">
        <f>QuarterBreakup!D$16*'One Helix'!$C$57*'One Helix'!$D25</f>
        <v>145384.61538461535</v>
      </c>
      <c r="K25" s="17">
        <f>QuarterBreakup!E$16*'One Helix'!$C$57*'One Helix'!$D25</f>
        <v>145384.61538461535</v>
      </c>
      <c r="L25" s="28">
        <f t="shared" si="2"/>
        <v>415384.61538461526</v>
      </c>
      <c r="M25" s="17">
        <f>QuarterBreakup!C$22*'One Helix'!$C$57*'One Helix'!$D25</f>
        <v>339230.76923076919</v>
      </c>
      <c r="N25" s="17">
        <f>QuarterBreakup!D$22*'One Helix'!$C$57*'One Helix'!$D25</f>
        <v>290769.23076923069</v>
      </c>
      <c r="O25" s="17">
        <f>QuarterBreakup!E$22*'One Helix'!$C$57*'One Helix'!$D25</f>
        <v>339230.76923076919</v>
      </c>
      <c r="P25" s="26">
        <f>SUM(M25:O25)</f>
        <v>969230.76923076902</v>
      </c>
      <c r="Q25" s="17">
        <f>QuarterBreakup!C$28*'One Helix'!$C$57*'One Helix'!$D25</f>
        <v>276923.07692307694</v>
      </c>
      <c r="R25" s="17">
        <f>QuarterBreakup!D$28*'One Helix'!$C$57*'One Helix'!$D25</f>
        <v>207692.30769230766</v>
      </c>
      <c r="S25" s="17">
        <f>QuarterBreakup!E$28*'One Helix'!$C$57*'One Helix'!$D25</f>
        <v>207692.30769230766</v>
      </c>
      <c r="T25" s="191">
        <f t="shared" si="3"/>
        <v>692307.69230769225</v>
      </c>
      <c r="U25" s="283"/>
      <c r="V25" s="283"/>
      <c r="W25" s="283"/>
      <c r="X25" s="283"/>
    </row>
    <row r="26" spans="1:24">
      <c r="A26" s="256" t="s">
        <v>89</v>
      </c>
      <c r="B26" s="14" t="s">
        <v>90</v>
      </c>
      <c r="C26" s="30">
        <f>(B8*0.1)*40000</f>
        <v>5538461.538461538</v>
      </c>
      <c r="D26" s="188">
        <f t="shared" si="5"/>
        <v>5.4909856319209291E-2</v>
      </c>
      <c r="E26" s="17">
        <f>QuarterBreakup!C$10*'One Helix'!$C$57*'One Helix'!$D26</f>
        <v>415384.61538461532</v>
      </c>
      <c r="F26" s="17">
        <f>QuarterBreakup!D$10*'One Helix'!$C$57*'One Helix'!$D26</f>
        <v>553846.15384615387</v>
      </c>
      <c r="G26" s="17">
        <f>QuarterBreakup!E$10*'One Helix'!$C$57*'One Helix'!$D26</f>
        <v>415384.61538461532</v>
      </c>
      <c r="H26" s="26">
        <f t="shared" si="6"/>
        <v>1384615.3846153845</v>
      </c>
      <c r="I26" s="17">
        <f>QuarterBreakup!C$16*'One Helix'!$C$57*'One Helix'!$D26</f>
        <v>249230.76923076919</v>
      </c>
      <c r="J26" s="17">
        <f>QuarterBreakup!D$16*'One Helix'!$C$57*'One Helix'!$D26</f>
        <v>290769.23076923069</v>
      </c>
      <c r="K26" s="17">
        <f>QuarterBreakup!E$16*'One Helix'!$C$57*'One Helix'!$D26</f>
        <v>290769.23076923069</v>
      </c>
      <c r="L26" s="28">
        <f t="shared" si="2"/>
        <v>830769.23076923052</v>
      </c>
      <c r="M26" s="17">
        <f>QuarterBreakup!C$22*'One Helix'!$C$57*'One Helix'!$D26</f>
        <v>678461.53846153838</v>
      </c>
      <c r="N26" s="17">
        <f>QuarterBreakup!D$22*'One Helix'!$C$57*'One Helix'!$D26</f>
        <v>581538.46153846139</v>
      </c>
      <c r="O26" s="17">
        <f>QuarterBreakup!E$22*'One Helix'!$C$57*'One Helix'!$D26</f>
        <v>678461.53846153838</v>
      </c>
      <c r="P26" s="26">
        <f>SUM(M26:O26)</f>
        <v>1938461.538461538</v>
      </c>
      <c r="Q26" s="17">
        <f>QuarterBreakup!C$28*'One Helix'!$C$57*'One Helix'!$D26</f>
        <v>553846.15384615387</v>
      </c>
      <c r="R26" s="17">
        <f>QuarterBreakup!D$28*'One Helix'!$C$57*'One Helix'!$D26</f>
        <v>415384.61538461532</v>
      </c>
      <c r="S26" s="17">
        <f>QuarterBreakup!E$28*'One Helix'!$C$57*'One Helix'!$D26</f>
        <v>415384.61538461532</v>
      </c>
      <c r="T26" s="191">
        <f t="shared" si="3"/>
        <v>1384615.3846153845</v>
      </c>
      <c r="U26" s="283"/>
      <c r="V26" s="283"/>
      <c r="W26" s="283"/>
      <c r="X26" s="283"/>
    </row>
    <row r="27" spans="1:24" ht="24.75">
      <c r="A27" s="256" t="s">
        <v>91</v>
      </c>
      <c r="B27" s="14" t="s">
        <v>92</v>
      </c>
      <c r="C27" s="30">
        <f>B4*1*4*50*3500</f>
        <v>29400000</v>
      </c>
      <c r="D27" s="188">
        <f t="shared" si="5"/>
        <v>0.29147982062780264</v>
      </c>
      <c r="E27" s="17">
        <f>QuarterBreakup!C$10*'One Helix'!$C$57*'One Helix'!$D27</f>
        <v>2204999.9999999995</v>
      </c>
      <c r="F27" s="17">
        <f>QuarterBreakup!D$10*'One Helix'!$C$57*'One Helix'!$D27</f>
        <v>2940000</v>
      </c>
      <c r="G27" s="17">
        <f>QuarterBreakup!E$10*'One Helix'!$C$57*'One Helix'!$D27</f>
        <v>2204999.9999999995</v>
      </c>
      <c r="H27" s="26">
        <f t="shared" si="6"/>
        <v>7350000</v>
      </c>
      <c r="I27" s="17">
        <f>QuarterBreakup!C$16*'One Helix'!$C$57*'One Helix'!$D27</f>
        <v>1322999.9999999998</v>
      </c>
      <c r="J27" s="17">
        <f>QuarterBreakup!D$16*'One Helix'!$C$57*'One Helix'!$D27</f>
        <v>1543499.9999999995</v>
      </c>
      <c r="K27" s="17">
        <f>QuarterBreakup!E$16*'One Helix'!$C$57*'One Helix'!$D27</f>
        <v>1543499.9999999995</v>
      </c>
      <c r="L27" s="28">
        <f t="shared" si="2"/>
        <v>4409999.9999999981</v>
      </c>
      <c r="M27" s="17">
        <f>QuarterBreakup!C$22*'One Helix'!$C$57*'One Helix'!$D27</f>
        <v>3601499.9999999991</v>
      </c>
      <c r="N27" s="17">
        <f>QuarterBreakup!D$22*'One Helix'!$C$57*'One Helix'!$D27</f>
        <v>3086999.9999999991</v>
      </c>
      <c r="O27" s="17">
        <f>QuarterBreakup!E$22*'One Helix'!$C$57*'One Helix'!$D27</f>
        <v>3601499.9999999991</v>
      </c>
      <c r="P27" s="26">
        <f>SUM(M27:O27)</f>
        <v>10289999.999999996</v>
      </c>
      <c r="Q27" s="17">
        <f>QuarterBreakup!C$28*'One Helix'!$C$57*'One Helix'!$D27</f>
        <v>2940000</v>
      </c>
      <c r="R27" s="17">
        <f>QuarterBreakup!D$28*'One Helix'!$C$57*'One Helix'!$D27</f>
        <v>2204999.9999999995</v>
      </c>
      <c r="S27" s="17">
        <f>QuarterBreakup!E$28*'One Helix'!$C$57*'One Helix'!$D27</f>
        <v>2204999.9999999995</v>
      </c>
      <c r="T27" s="191">
        <f t="shared" si="3"/>
        <v>7350000</v>
      </c>
      <c r="U27" s="283"/>
      <c r="V27" s="283"/>
      <c r="W27" s="283"/>
      <c r="X27" s="283"/>
    </row>
    <row r="28" spans="1:24" ht="24.75">
      <c r="A28" s="256" t="s">
        <v>93</v>
      </c>
      <c r="B28" s="14" t="s">
        <v>94</v>
      </c>
      <c r="C28" s="30">
        <f>B4*2*4*50*1000</f>
        <v>16800000</v>
      </c>
      <c r="D28" s="188">
        <f t="shared" si="5"/>
        <v>0.16655989750160152</v>
      </c>
      <c r="E28" s="17">
        <f>QuarterBreakup!C$10*'One Helix'!$C$57*'One Helix'!$D28</f>
        <v>1260000</v>
      </c>
      <c r="F28" s="17">
        <f>QuarterBreakup!D$10*'One Helix'!$C$57*'One Helix'!$D28</f>
        <v>1680000</v>
      </c>
      <c r="G28" s="17">
        <f>QuarterBreakup!E$10*'One Helix'!$C$57*'One Helix'!$D28</f>
        <v>1260000</v>
      </c>
      <c r="H28" s="26">
        <f t="shared" si="6"/>
        <v>4200000</v>
      </c>
      <c r="I28" s="17">
        <f>QuarterBreakup!C$16*'One Helix'!$C$57*'One Helix'!$D28</f>
        <v>755999.99999999988</v>
      </c>
      <c r="J28" s="17">
        <f>QuarterBreakup!D$16*'One Helix'!$C$57*'One Helix'!$D28</f>
        <v>881999.99999999977</v>
      </c>
      <c r="K28" s="17">
        <f>QuarterBreakup!E$16*'One Helix'!$C$57*'One Helix'!$D28</f>
        <v>881999.99999999977</v>
      </c>
      <c r="L28" s="28">
        <f t="shared" si="2"/>
        <v>2519999.9999999991</v>
      </c>
      <c r="M28" s="17">
        <f>QuarterBreakup!C$22*'One Helix'!$C$57*'One Helix'!$D28</f>
        <v>2057999.9999999998</v>
      </c>
      <c r="N28" s="17">
        <f>QuarterBreakup!D$22*'One Helix'!$C$57*'One Helix'!$D28</f>
        <v>1763999.9999999995</v>
      </c>
      <c r="O28" s="17">
        <f>QuarterBreakup!E$22*'One Helix'!$C$57*'One Helix'!$D28</f>
        <v>2057999.9999999998</v>
      </c>
      <c r="P28" s="26">
        <f>SUM(M28:O28)</f>
        <v>5879999.9999999991</v>
      </c>
      <c r="Q28" s="17">
        <f>QuarterBreakup!C$28*'One Helix'!$C$57*'One Helix'!$D28</f>
        <v>1680000</v>
      </c>
      <c r="R28" s="17">
        <f>QuarterBreakup!D$28*'One Helix'!$C$57*'One Helix'!$D28</f>
        <v>1260000</v>
      </c>
      <c r="S28" s="17">
        <f>QuarterBreakup!E$28*'One Helix'!$C$57*'One Helix'!$D28</f>
        <v>1260000</v>
      </c>
      <c r="T28" s="191">
        <f t="shared" si="3"/>
        <v>4200000</v>
      </c>
      <c r="U28" s="283"/>
      <c r="V28" s="283"/>
      <c r="W28" s="283"/>
      <c r="X28" s="283"/>
    </row>
    <row r="29" spans="1:24" ht="24.75">
      <c r="A29" s="256" t="s">
        <v>95</v>
      </c>
      <c r="B29" s="14" t="s">
        <v>96</v>
      </c>
      <c r="C29" s="30">
        <f>B9*1*30*300</f>
        <v>8100000</v>
      </c>
      <c r="D29" s="188">
        <f t="shared" si="5"/>
        <v>8.0305664866843596E-2</v>
      </c>
      <c r="E29" s="17">
        <f>QuarterBreakup!C$10*'One Helix'!$C$57*'One Helix'!$D29</f>
        <v>607500</v>
      </c>
      <c r="F29" s="17">
        <f>QuarterBreakup!D$10*'One Helix'!$C$57*'One Helix'!$D29</f>
        <v>810000.00000000012</v>
      </c>
      <c r="G29" s="17">
        <f>QuarterBreakup!E$10*'One Helix'!$C$57*'One Helix'!$D29</f>
        <v>607500</v>
      </c>
      <c r="H29" s="26">
        <f t="shared" si="6"/>
        <v>2025000</v>
      </c>
      <c r="I29" s="17">
        <f>QuarterBreakup!C$16*'One Helix'!$C$57*'One Helix'!$D29</f>
        <v>364499.99999999994</v>
      </c>
      <c r="J29" s="17">
        <f>QuarterBreakup!D$16*'One Helix'!$C$57*'One Helix'!$D29</f>
        <v>425249.99999999994</v>
      </c>
      <c r="K29" s="17">
        <f>QuarterBreakup!E$16*'One Helix'!$C$57*'One Helix'!$D29</f>
        <v>425249.99999999994</v>
      </c>
      <c r="L29" s="28">
        <f t="shared" si="2"/>
        <v>1214999.9999999998</v>
      </c>
      <c r="M29" s="17">
        <f>QuarterBreakup!C$22*'One Helix'!$C$57*'One Helix'!$D29</f>
        <v>992249.99999999988</v>
      </c>
      <c r="N29" s="17">
        <f>QuarterBreakup!D$22*'One Helix'!$C$57*'One Helix'!$D29</f>
        <v>850499.99999999988</v>
      </c>
      <c r="O29" s="17">
        <f>QuarterBreakup!E$22*'One Helix'!$C$57*'One Helix'!$D29</f>
        <v>992249.99999999988</v>
      </c>
      <c r="P29" s="26">
        <f>SUM(M29:O29)</f>
        <v>2834999.9999999995</v>
      </c>
      <c r="Q29" s="17">
        <f>QuarterBreakup!C$28*'One Helix'!$C$57*'One Helix'!$D29</f>
        <v>810000.00000000012</v>
      </c>
      <c r="R29" s="17">
        <f>QuarterBreakup!D$28*'One Helix'!$C$57*'One Helix'!$D29</f>
        <v>607500</v>
      </c>
      <c r="S29" s="17">
        <f>QuarterBreakup!E$28*'One Helix'!$C$57*'One Helix'!$D29</f>
        <v>607500</v>
      </c>
      <c r="T29" s="191">
        <f t="shared" si="3"/>
        <v>2025000</v>
      </c>
      <c r="U29" s="283"/>
      <c r="V29" s="283"/>
      <c r="W29" s="283"/>
      <c r="X29" s="283"/>
    </row>
    <row r="30" spans="1:24">
      <c r="A30" s="256" t="s">
        <v>97</v>
      </c>
      <c r="B30" s="14" t="s">
        <v>98</v>
      </c>
      <c r="C30" s="30">
        <f>B8*400</f>
        <v>553846.15384615376</v>
      </c>
      <c r="D30" s="188">
        <f t="shared" si="5"/>
        <v>5.4909856319209282E-3</v>
      </c>
      <c r="E30" s="17">
        <f>QuarterBreakup!C$10*'One Helix'!$C$57*'One Helix'!$D30</f>
        <v>41538.461538461524</v>
      </c>
      <c r="F30" s="17">
        <f>QuarterBreakup!D$10*'One Helix'!$C$57*'One Helix'!$D30</f>
        <v>55384.615384615376</v>
      </c>
      <c r="G30" s="17">
        <f>QuarterBreakup!E$10*'One Helix'!$C$57*'One Helix'!$D30</f>
        <v>41538.461538461524</v>
      </c>
      <c r="H30" s="26">
        <f t="shared" si="6"/>
        <v>138461.53846153844</v>
      </c>
      <c r="I30" s="17">
        <f>QuarterBreakup!C$16*'One Helix'!$C$57*'One Helix'!$D30</f>
        <v>24923.076923076915</v>
      </c>
      <c r="J30" s="17">
        <f>QuarterBreakup!D$16*'One Helix'!$C$57*'One Helix'!$D30</f>
        <v>29076.923076923063</v>
      </c>
      <c r="K30" s="17">
        <f>QuarterBreakup!E$16*'One Helix'!$C$57*'One Helix'!$D30</f>
        <v>29076.923076923063</v>
      </c>
      <c r="L30" s="28">
        <f t="shared" si="2"/>
        <v>83076.923076923034</v>
      </c>
      <c r="M30" s="17">
        <f>QuarterBreakup!C$22*'One Helix'!$C$57*'One Helix'!$D30</f>
        <v>67846.153846153829</v>
      </c>
      <c r="N30" s="17">
        <f>QuarterBreakup!D$22*'One Helix'!$C$57*'One Helix'!$D30</f>
        <v>58153.846153846127</v>
      </c>
      <c r="O30" s="17">
        <f>QuarterBreakup!E$22*'One Helix'!$C$57*'One Helix'!$D30</f>
        <v>67846.153846153829</v>
      </c>
      <c r="P30" s="26">
        <f>SUM(M30:O30)</f>
        <v>193846.15384615379</v>
      </c>
      <c r="Q30" s="17">
        <f>QuarterBreakup!C$28*'One Helix'!$C$57*'One Helix'!$D30</f>
        <v>55384.615384615376</v>
      </c>
      <c r="R30" s="17">
        <f>QuarterBreakup!D$28*'One Helix'!$C$57*'One Helix'!$D30</f>
        <v>41538.461538461524</v>
      </c>
      <c r="S30" s="17">
        <f>QuarterBreakup!E$28*'One Helix'!$C$57*'One Helix'!$D30</f>
        <v>41538.461538461524</v>
      </c>
      <c r="T30" s="191">
        <f t="shared" si="3"/>
        <v>138461.53846153844</v>
      </c>
      <c r="U30" s="283"/>
      <c r="V30" s="283"/>
      <c r="W30" s="283"/>
      <c r="X30" s="283"/>
    </row>
    <row r="31" spans="1:24">
      <c r="A31" s="256" t="s">
        <v>99</v>
      </c>
      <c r="B31" s="14" t="s">
        <v>100</v>
      </c>
      <c r="C31" s="30">
        <f>B4*75*500</f>
        <v>1575000</v>
      </c>
      <c r="D31" s="188">
        <f t="shared" si="5"/>
        <v>1.5614990390775144E-2</v>
      </c>
      <c r="E31" s="17">
        <f>QuarterBreakup!C$10*'One Helix'!$C$57*'One Helix'!$D31</f>
        <v>118125</v>
      </c>
      <c r="F31" s="17">
        <f>QuarterBreakup!D$10*'One Helix'!$C$57*'One Helix'!$D31</f>
        <v>157500.00000000003</v>
      </c>
      <c r="G31" s="17">
        <f>QuarterBreakup!E$10*'One Helix'!$C$57*'One Helix'!$D31</f>
        <v>118125</v>
      </c>
      <c r="H31" s="26">
        <f t="shared" si="6"/>
        <v>393750</v>
      </c>
      <c r="I31" s="17">
        <f>QuarterBreakup!C$16*'One Helix'!$C$57*'One Helix'!$D31</f>
        <v>70875</v>
      </c>
      <c r="J31" s="17">
        <f>QuarterBreakup!D$16*'One Helix'!$C$57*'One Helix'!$D31</f>
        <v>82687.499999999985</v>
      </c>
      <c r="K31" s="17">
        <f>QuarterBreakup!E$16*'One Helix'!$C$57*'One Helix'!$D31</f>
        <v>82687.499999999985</v>
      </c>
      <c r="L31" s="28">
        <f t="shared" si="2"/>
        <v>236250</v>
      </c>
      <c r="M31" s="17">
        <f>QuarterBreakup!C$22*'One Helix'!$C$57*'One Helix'!$D31</f>
        <v>192937.49999999997</v>
      </c>
      <c r="N31" s="17">
        <f>QuarterBreakup!D$22*'One Helix'!$C$57*'One Helix'!$D31</f>
        <v>165374.99999999997</v>
      </c>
      <c r="O31" s="17">
        <f>QuarterBreakup!E$22*'One Helix'!$C$57*'One Helix'!$D31</f>
        <v>192937.49999999997</v>
      </c>
      <c r="P31" s="26">
        <f>SUM(M31:O31)</f>
        <v>551249.99999999988</v>
      </c>
      <c r="Q31" s="17">
        <f>QuarterBreakup!C$28*'One Helix'!$C$57*'One Helix'!$D31</f>
        <v>157500.00000000003</v>
      </c>
      <c r="R31" s="17">
        <f>QuarterBreakup!D$28*'One Helix'!$C$57*'One Helix'!$D31</f>
        <v>118125</v>
      </c>
      <c r="S31" s="17">
        <f>QuarterBreakup!E$28*'One Helix'!$C$57*'One Helix'!$D31</f>
        <v>118125</v>
      </c>
      <c r="T31" s="191">
        <f t="shared" si="3"/>
        <v>393750</v>
      </c>
      <c r="U31" s="283"/>
      <c r="V31" s="283"/>
      <c r="W31" s="283"/>
      <c r="X31" s="283"/>
    </row>
    <row r="32" spans="1:24">
      <c r="A32" s="256" t="s">
        <v>174</v>
      </c>
      <c r="B32" s="14" t="s">
        <v>175</v>
      </c>
      <c r="C32" s="30">
        <f>B10*5*12*1500</f>
        <v>13500000</v>
      </c>
      <c r="D32" s="188">
        <f t="shared" si="5"/>
        <v>0.13384277477807266</v>
      </c>
      <c r="E32" s="17">
        <f>QuarterBreakup!C$10*'One Helix'!$C$57*'One Helix'!$D32</f>
        <v>1012500</v>
      </c>
      <c r="F32" s="17">
        <f>QuarterBreakup!D$10*'One Helix'!$C$57*'One Helix'!$D32</f>
        <v>1350000.0000000002</v>
      </c>
      <c r="G32" s="17">
        <f>QuarterBreakup!E$10*'One Helix'!$C$57*'One Helix'!$D32</f>
        <v>1012500</v>
      </c>
      <c r="H32" s="26">
        <f t="shared" si="6"/>
        <v>3375000</v>
      </c>
      <c r="I32" s="17">
        <f>QuarterBreakup!C$16*'One Helix'!$C$57*'One Helix'!$D32</f>
        <v>607499.99999999988</v>
      </c>
      <c r="J32" s="17">
        <f>QuarterBreakup!D$16*'One Helix'!$C$57*'One Helix'!$D32</f>
        <v>708749.99999999988</v>
      </c>
      <c r="K32" s="17">
        <f>QuarterBreakup!E$16*'One Helix'!$C$57*'One Helix'!$D32</f>
        <v>708749.99999999988</v>
      </c>
      <c r="L32" s="28">
        <f t="shared" si="2"/>
        <v>2024999.9999999995</v>
      </c>
      <c r="M32" s="17">
        <f>QuarterBreakup!C$22*'One Helix'!$C$57*'One Helix'!$D32</f>
        <v>1653749.9999999998</v>
      </c>
      <c r="N32" s="17">
        <f>QuarterBreakup!D$22*'One Helix'!$C$57*'One Helix'!$D32</f>
        <v>1417499.9999999998</v>
      </c>
      <c r="O32" s="17">
        <f>QuarterBreakup!E$22*'One Helix'!$C$57*'One Helix'!$D32</f>
        <v>1653749.9999999998</v>
      </c>
      <c r="P32" s="26">
        <f>SUM(M32:O32)</f>
        <v>4724999.9999999991</v>
      </c>
      <c r="Q32" s="17">
        <f>QuarterBreakup!C$28*'One Helix'!$C$57*'One Helix'!$D32</f>
        <v>1350000.0000000002</v>
      </c>
      <c r="R32" s="17">
        <f>QuarterBreakup!D$28*'One Helix'!$C$57*'One Helix'!$D32</f>
        <v>1012500</v>
      </c>
      <c r="S32" s="17">
        <f>QuarterBreakup!E$28*'One Helix'!$C$57*'One Helix'!$D32</f>
        <v>1012500</v>
      </c>
      <c r="T32" s="191">
        <f t="shared" si="3"/>
        <v>3375000</v>
      </c>
      <c r="U32" s="283"/>
      <c r="V32" s="283"/>
      <c r="W32" s="283"/>
      <c r="X32" s="283"/>
    </row>
    <row r="33" spans="1:24">
      <c r="A33" s="256" t="s">
        <v>101</v>
      </c>
      <c r="B33" s="14" t="s">
        <v>102</v>
      </c>
      <c r="C33" s="30">
        <f>B8*0.25*5000</f>
        <v>1730769.2307692308</v>
      </c>
      <c r="D33" s="188">
        <f t="shared" si="5"/>
        <v>1.7159330099752904E-2</v>
      </c>
      <c r="E33" s="17">
        <f>QuarterBreakup!C$10*'One Helix'!$C$57*'One Helix'!$D33</f>
        <v>129807.6923076923</v>
      </c>
      <c r="F33" s="17">
        <f>QuarterBreakup!D$10*'One Helix'!$C$57*'One Helix'!$D33</f>
        <v>173076.92307692309</v>
      </c>
      <c r="G33" s="17">
        <f>QuarterBreakup!E$10*'One Helix'!$C$57*'One Helix'!$D33</f>
        <v>129807.6923076923</v>
      </c>
      <c r="H33" s="26">
        <f t="shared" si="6"/>
        <v>432692.30769230769</v>
      </c>
      <c r="I33" s="17">
        <f>QuarterBreakup!C$16*'One Helix'!$C$57*'One Helix'!$D33</f>
        <v>77884.615384615376</v>
      </c>
      <c r="J33" s="17">
        <f>QuarterBreakup!D$16*'One Helix'!$C$57*'One Helix'!$D33</f>
        <v>90865.384615384595</v>
      </c>
      <c r="K33" s="17">
        <f>QuarterBreakup!E$16*'One Helix'!$C$57*'One Helix'!$D33</f>
        <v>90865.384615384595</v>
      </c>
      <c r="L33" s="28">
        <f t="shared" si="2"/>
        <v>259615.38461538457</v>
      </c>
      <c r="M33" s="17">
        <f>QuarterBreakup!C$22*'One Helix'!$C$57*'One Helix'!$D33</f>
        <v>212019.23076923075</v>
      </c>
      <c r="N33" s="17">
        <f>QuarterBreakup!D$22*'One Helix'!$C$57*'One Helix'!$D33</f>
        <v>181730.76923076919</v>
      </c>
      <c r="O33" s="17">
        <f>QuarterBreakup!E$22*'One Helix'!$C$57*'One Helix'!$D33</f>
        <v>212019.23076923075</v>
      </c>
      <c r="P33" s="26">
        <f>SUM(M33:O33)</f>
        <v>605769.23076923075</v>
      </c>
      <c r="Q33" s="17">
        <f>QuarterBreakup!C$28*'One Helix'!$C$57*'One Helix'!$D33</f>
        <v>173076.92307692309</v>
      </c>
      <c r="R33" s="17">
        <f>QuarterBreakup!D$28*'One Helix'!$C$57*'One Helix'!$D33</f>
        <v>129807.6923076923</v>
      </c>
      <c r="S33" s="17">
        <f>QuarterBreakup!E$28*'One Helix'!$C$57*'One Helix'!$D33</f>
        <v>129807.6923076923</v>
      </c>
      <c r="T33" s="191">
        <f t="shared" si="3"/>
        <v>432692.30769230769</v>
      </c>
      <c r="U33" s="283"/>
      <c r="V33" s="283"/>
      <c r="W33" s="283"/>
      <c r="X33" s="283"/>
    </row>
    <row r="34" spans="1:24">
      <c r="A34" s="256" t="s">
        <v>103</v>
      </c>
      <c r="B34" s="14" t="s">
        <v>104</v>
      </c>
      <c r="C34" s="30">
        <f>B8*3000</f>
        <v>4153846.1538461535</v>
      </c>
      <c r="D34" s="188">
        <f t="shared" si="5"/>
        <v>4.1182392239406965E-2</v>
      </c>
      <c r="E34" s="17">
        <f>QuarterBreakup!C$10*'One Helix'!$C$57*'One Helix'!$D34</f>
        <v>311538.4615384615</v>
      </c>
      <c r="F34" s="17">
        <f>QuarterBreakup!D$10*'One Helix'!$C$57*'One Helix'!$D34</f>
        <v>415384.61538461538</v>
      </c>
      <c r="G34" s="17">
        <f>QuarterBreakup!E$10*'One Helix'!$C$57*'One Helix'!$D34</f>
        <v>311538.4615384615</v>
      </c>
      <c r="H34" s="26">
        <f t="shared" si="6"/>
        <v>1038461.5384615384</v>
      </c>
      <c r="I34" s="17">
        <f>QuarterBreakup!C$16*'One Helix'!$C$57*'One Helix'!$D34</f>
        <v>186923.07692307688</v>
      </c>
      <c r="J34" s="17">
        <f>QuarterBreakup!D$16*'One Helix'!$C$57*'One Helix'!$D34</f>
        <v>218076.92307692301</v>
      </c>
      <c r="K34" s="17">
        <f>QuarterBreakup!E$16*'One Helix'!$C$57*'One Helix'!$D34</f>
        <v>218076.92307692301</v>
      </c>
      <c r="L34" s="28">
        <f t="shared" si="2"/>
        <v>623076.92307692289</v>
      </c>
      <c r="M34" s="17">
        <f>QuarterBreakup!C$22*'One Helix'!$C$57*'One Helix'!$D34</f>
        <v>508846.1538461537</v>
      </c>
      <c r="N34" s="17">
        <f>QuarterBreakup!D$22*'One Helix'!$C$57*'One Helix'!$D34</f>
        <v>436153.84615384601</v>
      </c>
      <c r="O34" s="17">
        <f>QuarterBreakup!E$22*'One Helix'!$C$57*'One Helix'!$D34</f>
        <v>508846.1538461537</v>
      </c>
      <c r="P34" s="26">
        <f>SUM(M34:O34)</f>
        <v>1453846.1538461535</v>
      </c>
      <c r="Q34" s="17">
        <f>QuarterBreakup!C$28*'One Helix'!$C$57*'One Helix'!$D34</f>
        <v>415384.61538461538</v>
      </c>
      <c r="R34" s="17">
        <f>QuarterBreakup!D$28*'One Helix'!$C$57*'One Helix'!$D34</f>
        <v>311538.4615384615</v>
      </c>
      <c r="S34" s="17">
        <f>QuarterBreakup!E$28*'One Helix'!$C$57*'One Helix'!$D34</f>
        <v>311538.4615384615</v>
      </c>
      <c r="T34" s="191">
        <f t="shared" si="3"/>
        <v>1038461.5384615384</v>
      </c>
      <c r="U34" s="283"/>
      <c r="V34" s="283"/>
      <c r="W34" s="283"/>
      <c r="X34" s="283"/>
    </row>
    <row r="35" spans="1:24">
      <c r="A35" s="256" t="s">
        <v>176</v>
      </c>
      <c r="B35" s="14" t="s">
        <v>106</v>
      </c>
      <c r="C35" s="30">
        <f>(B8*0.1)*5000</f>
        <v>692307.69230769225</v>
      </c>
      <c r="D35" s="188">
        <f t="shared" si="5"/>
        <v>6.8637320399011614E-3</v>
      </c>
      <c r="E35" s="17">
        <f>QuarterBreakup!C$10*'One Helix'!$C$57*'One Helix'!$D35</f>
        <v>51923.076923076915</v>
      </c>
      <c r="F35" s="17">
        <f>QuarterBreakup!D$10*'One Helix'!$C$57*'One Helix'!$D35</f>
        <v>69230.769230769234</v>
      </c>
      <c r="G35" s="17">
        <f>QuarterBreakup!E$10*'One Helix'!$C$57*'One Helix'!$D35</f>
        <v>51923.076923076915</v>
      </c>
      <c r="H35" s="26">
        <f t="shared" si="6"/>
        <v>173076.92307692306</v>
      </c>
      <c r="I35" s="17">
        <f>QuarterBreakup!C$16*'One Helix'!$C$57*'One Helix'!$D35</f>
        <v>31153.846153846149</v>
      </c>
      <c r="J35" s="17">
        <f>QuarterBreakup!D$16*'One Helix'!$C$57*'One Helix'!$D35</f>
        <v>36346.153846153837</v>
      </c>
      <c r="K35" s="17">
        <f>QuarterBreakup!E$16*'One Helix'!$C$57*'One Helix'!$D35</f>
        <v>36346.153846153837</v>
      </c>
      <c r="L35" s="28">
        <f t="shared" si="2"/>
        <v>103846.15384615381</v>
      </c>
      <c r="M35" s="17">
        <f>QuarterBreakup!C$22*'One Helix'!$C$57*'One Helix'!$D35</f>
        <v>84807.692307692298</v>
      </c>
      <c r="N35" s="17">
        <f>QuarterBreakup!D$22*'One Helix'!$C$57*'One Helix'!$D35</f>
        <v>72692.307692307673</v>
      </c>
      <c r="O35" s="17">
        <f>QuarterBreakup!E$22*'One Helix'!$C$57*'One Helix'!$D35</f>
        <v>84807.692307692298</v>
      </c>
      <c r="P35" s="26">
        <f>SUM(M35:O35)</f>
        <v>242307.69230769225</v>
      </c>
      <c r="Q35" s="17">
        <f>QuarterBreakup!C$28*'One Helix'!$C$57*'One Helix'!$D35</f>
        <v>69230.769230769234</v>
      </c>
      <c r="R35" s="17">
        <f>QuarterBreakup!D$28*'One Helix'!$C$57*'One Helix'!$D35</f>
        <v>51923.076923076915</v>
      </c>
      <c r="S35" s="17">
        <f>QuarterBreakup!E$28*'One Helix'!$C$57*'One Helix'!$D35</f>
        <v>51923.076923076915</v>
      </c>
      <c r="T35" s="191">
        <f t="shared" si="3"/>
        <v>173076.92307692306</v>
      </c>
      <c r="U35" s="283"/>
      <c r="V35" s="283"/>
      <c r="W35" s="283"/>
      <c r="X35" s="283"/>
    </row>
    <row r="36" spans="1:24">
      <c r="A36" s="256" t="s">
        <v>107</v>
      </c>
      <c r="B36" s="14" t="s">
        <v>177</v>
      </c>
      <c r="C36" s="30">
        <f>B8*1000*4</f>
        <v>5538461.538461538</v>
      </c>
      <c r="D36" s="188">
        <f t="shared" si="5"/>
        <v>5.4909856319209291E-2</v>
      </c>
      <c r="E36" s="17">
        <f>QuarterBreakup!C$10*'One Helix'!$C$57*'One Helix'!$D36</f>
        <v>415384.61538461532</v>
      </c>
      <c r="F36" s="17">
        <f>QuarterBreakup!D$10*'One Helix'!$C$57*'One Helix'!$D36</f>
        <v>553846.15384615387</v>
      </c>
      <c r="G36" s="17">
        <f>QuarterBreakup!E$10*'One Helix'!$C$57*'One Helix'!$D36</f>
        <v>415384.61538461532</v>
      </c>
      <c r="H36" s="26">
        <f t="shared" si="6"/>
        <v>1384615.3846153845</v>
      </c>
      <c r="I36" s="17">
        <f>QuarterBreakup!C$16*'One Helix'!$C$57*'One Helix'!$D36</f>
        <v>249230.76923076919</v>
      </c>
      <c r="J36" s="17">
        <f>QuarterBreakup!D$16*'One Helix'!$C$57*'One Helix'!$D36</f>
        <v>290769.23076923069</v>
      </c>
      <c r="K36" s="17">
        <f>QuarterBreakup!E$16*'One Helix'!$C$57*'One Helix'!$D36</f>
        <v>290769.23076923069</v>
      </c>
      <c r="L36" s="28">
        <f t="shared" si="2"/>
        <v>830769.23076923052</v>
      </c>
      <c r="M36" s="17">
        <f>QuarterBreakup!C$22*'One Helix'!$C$57*'One Helix'!$D36</f>
        <v>678461.53846153838</v>
      </c>
      <c r="N36" s="17">
        <f>QuarterBreakup!D$22*'One Helix'!$C$57*'One Helix'!$D36</f>
        <v>581538.46153846139</v>
      </c>
      <c r="O36" s="17">
        <f>QuarterBreakup!E$22*'One Helix'!$C$57*'One Helix'!$D36</f>
        <v>678461.53846153838</v>
      </c>
      <c r="P36" s="26">
        <f>SUM(M36:O36)</f>
        <v>1938461.538461538</v>
      </c>
      <c r="Q36" s="17">
        <f>QuarterBreakup!C$28*'One Helix'!$C$57*'One Helix'!$D36</f>
        <v>553846.15384615387</v>
      </c>
      <c r="R36" s="17">
        <f>QuarterBreakup!D$28*'One Helix'!$C$57*'One Helix'!$D36</f>
        <v>415384.61538461532</v>
      </c>
      <c r="S36" s="17">
        <f>QuarterBreakup!E$28*'One Helix'!$C$57*'One Helix'!$D36</f>
        <v>415384.61538461532</v>
      </c>
      <c r="T36" s="191">
        <f t="shared" si="3"/>
        <v>1384615.3846153845</v>
      </c>
      <c r="U36" s="283"/>
      <c r="V36" s="283"/>
      <c r="W36" s="283"/>
      <c r="X36" s="283"/>
    </row>
    <row r="37" spans="1:24">
      <c r="A37" s="14" t="s">
        <v>109</v>
      </c>
      <c r="B37" s="14" t="s">
        <v>110</v>
      </c>
      <c r="C37" s="30">
        <f>B8*3*250</f>
        <v>1038461.5384615384</v>
      </c>
      <c r="D37" s="188">
        <f t="shared" si="5"/>
        <v>1.0295598059851741E-2</v>
      </c>
      <c r="E37" s="17"/>
      <c r="F37" s="17"/>
      <c r="G37" s="17"/>
      <c r="H37" s="26">
        <f t="shared" si="6"/>
        <v>0</v>
      </c>
      <c r="I37" s="17"/>
      <c r="J37" s="17"/>
      <c r="K37" s="17"/>
      <c r="L37" s="28">
        <f t="shared" si="2"/>
        <v>0</v>
      </c>
      <c r="M37" s="17">
        <f>C37/2</f>
        <v>519230.76923076919</v>
      </c>
      <c r="N37" s="17"/>
      <c r="O37" s="17"/>
      <c r="P37" s="26">
        <f>SUM(M37:O37)</f>
        <v>519230.76923076919</v>
      </c>
      <c r="Q37" s="17">
        <f>C37/2</f>
        <v>519230.76923076919</v>
      </c>
      <c r="R37" s="17"/>
      <c r="S37" s="17"/>
      <c r="T37" s="191">
        <f t="shared" si="3"/>
        <v>519230.76923076919</v>
      </c>
      <c r="U37" s="283"/>
      <c r="V37" s="283"/>
      <c r="W37" s="283"/>
      <c r="X37" s="283"/>
    </row>
    <row r="38" spans="1:24">
      <c r="A38" s="15" t="s">
        <v>111</v>
      </c>
      <c r="B38" s="14" t="s">
        <v>112</v>
      </c>
      <c r="C38" s="30">
        <f>(B8+B8*3)*500</f>
        <v>2769230.769230769</v>
      </c>
      <c r="D38" s="188">
        <f t="shared" si="5"/>
        <v>2.7454928159604645E-2</v>
      </c>
      <c r="E38" s="17"/>
      <c r="F38" s="17"/>
      <c r="G38" s="17"/>
      <c r="H38" s="26">
        <f t="shared" si="6"/>
        <v>0</v>
      </c>
      <c r="I38" s="17"/>
      <c r="J38" s="17"/>
      <c r="K38" s="17"/>
      <c r="L38" s="28">
        <f t="shared" si="2"/>
        <v>0</v>
      </c>
      <c r="M38" s="31">
        <f>C38/2</f>
        <v>1384615.3846153845</v>
      </c>
      <c r="N38" s="17"/>
      <c r="O38" s="17"/>
      <c r="P38" s="26">
        <f>SUM(M38:O38)</f>
        <v>1384615.3846153845</v>
      </c>
      <c r="Q38" s="17">
        <f>C38/2</f>
        <v>1384615.3846153845</v>
      </c>
      <c r="R38" s="17"/>
      <c r="S38" s="17"/>
      <c r="T38" s="191">
        <f t="shared" si="3"/>
        <v>1384615.3846153845</v>
      </c>
      <c r="U38" s="283"/>
      <c r="V38" s="283"/>
      <c r="W38" s="283"/>
      <c r="X38" s="283"/>
    </row>
    <row r="39" spans="1:24">
      <c r="A39" s="14" t="s">
        <v>113</v>
      </c>
      <c r="B39" s="14" t="s">
        <v>114</v>
      </c>
      <c r="C39" s="30">
        <f>B8*1500*1</f>
        <v>2076923.0769230768</v>
      </c>
      <c r="D39" s="188">
        <f t="shared" si="5"/>
        <v>2.0591196119703482E-2</v>
      </c>
      <c r="E39" s="17">
        <f>QuarterBreakup!C$10*'One Helix'!$C$57*'One Helix'!$D39</f>
        <v>155769.23076923075</v>
      </c>
      <c r="F39" s="17">
        <f>QuarterBreakup!D$10*'One Helix'!$C$57*'One Helix'!$D39</f>
        <v>207692.30769230769</v>
      </c>
      <c r="G39" s="17">
        <f>QuarterBreakup!E$10*'One Helix'!$C$57*'One Helix'!$D39</f>
        <v>155769.23076923075</v>
      </c>
      <c r="H39" s="26">
        <f t="shared" si="6"/>
        <v>519230.76923076919</v>
      </c>
      <c r="I39" s="17">
        <f>QuarterBreakup!C$16*'One Helix'!$C$57*'One Helix'!$D39</f>
        <v>93461.538461538439</v>
      </c>
      <c r="J39" s="17">
        <f>QuarterBreakup!D$16*'One Helix'!$C$57*'One Helix'!$D39</f>
        <v>109038.4615384615</v>
      </c>
      <c r="K39" s="17">
        <f>QuarterBreakup!E$16*'One Helix'!$C$57*'One Helix'!$D39</f>
        <v>109038.4615384615</v>
      </c>
      <c r="L39" s="28">
        <f t="shared" si="2"/>
        <v>311538.46153846144</v>
      </c>
      <c r="M39" s="17">
        <f>QuarterBreakup!C$22*'One Helix'!$C$57*'One Helix'!$D39</f>
        <v>254423.07692307685</v>
      </c>
      <c r="N39" s="17">
        <f>QuarterBreakup!D$22*'One Helix'!$C$57*'One Helix'!$D39</f>
        <v>218076.92307692301</v>
      </c>
      <c r="O39" s="17">
        <f>QuarterBreakup!E$22*'One Helix'!$C$57*'One Helix'!$D39</f>
        <v>254423.07692307685</v>
      </c>
      <c r="P39" s="26">
        <f>SUM(M39:O39)</f>
        <v>726923.07692307676</v>
      </c>
      <c r="Q39" s="17">
        <f>QuarterBreakup!C$28*'One Helix'!$C$57*'One Helix'!$D39</f>
        <v>207692.30769230769</v>
      </c>
      <c r="R39" s="17">
        <f>QuarterBreakup!D$28*'One Helix'!$C$57*'One Helix'!$D39</f>
        <v>155769.23076923075</v>
      </c>
      <c r="S39" s="17">
        <f>QuarterBreakup!E$28*'One Helix'!$C$57*'One Helix'!$D39</f>
        <v>155769.23076923075</v>
      </c>
      <c r="T39" s="191">
        <f t="shared" si="3"/>
        <v>519230.76923076919</v>
      </c>
      <c r="U39" s="283"/>
      <c r="V39" s="283"/>
      <c r="W39" s="283"/>
      <c r="X39" s="283"/>
    </row>
    <row r="40" spans="1:24">
      <c r="A40" s="14" t="s">
        <v>115</v>
      </c>
      <c r="B40" s="14" t="s">
        <v>116</v>
      </c>
      <c r="C40" s="30">
        <f>(B8*0.5)*2200</f>
        <v>1523076.923076923</v>
      </c>
      <c r="D40" s="188">
        <f t="shared" si="5"/>
        <v>1.5100210487782555E-2</v>
      </c>
      <c r="E40" s="17">
        <f>QuarterBreakup!C$10*'One Helix'!$C$57*'One Helix'!$D40</f>
        <v>114230.76923076922</v>
      </c>
      <c r="F40" s="17">
        <f>QuarterBreakup!D$10*'One Helix'!$C$57*'One Helix'!$D40</f>
        <v>152307.69230769231</v>
      </c>
      <c r="G40" s="17">
        <f>QuarterBreakup!E$10*'One Helix'!$C$57*'One Helix'!$D40</f>
        <v>114230.76923076922</v>
      </c>
      <c r="H40" s="26">
        <f t="shared" si="6"/>
        <v>380769.23076923075</v>
      </c>
      <c r="I40" s="17">
        <f>QuarterBreakup!C$16*'One Helix'!$C$57*'One Helix'!$D40</f>
        <v>68538.461538461532</v>
      </c>
      <c r="J40" s="17">
        <f>QuarterBreakup!D$16*'One Helix'!$C$57*'One Helix'!$D40</f>
        <v>79961.538461538439</v>
      </c>
      <c r="K40" s="17">
        <f>QuarterBreakup!E$16*'One Helix'!$C$57*'One Helix'!$D40</f>
        <v>79961.538461538439</v>
      </c>
      <c r="L40" s="28">
        <f t="shared" si="2"/>
        <v>228461.53846153841</v>
      </c>
      <c r="M40" s="17">
        <f>QuarterBreakup!C$22*'One Helix'!$C$57*'One Helix'!$D40</f>
        <v>186576.92307692303</v>
      </c>
      <c r="N40" s="17">
        <f>QuarterBreakup!D$22*'One Helix'!$C$57*'One Helix'!$D40</f>
        <v>159923.07692307688</v>
      </c>
      <c r="O40" s="17">
        <f>QuarterBreakup!E$22*'One Helix'!$C$57*'One Helix'!$D40</f>
        <v>186576.92307692303</v>
      </c>
      <c r="P40" s="26">
        <f>SUM(M40:O40)</f>
        <v>533076.92307692289</v>
      </c>
      <c r="Q40" s="17">
        <f>QuarterBreakup!C$28*'One Helix'!$C$57*'One Helix'!$D40</f>
        <v>152307.69230769231</v>
      </c>
      <c r="R40" s="17">
        <f>QuarterBreakup!D$28*'One Helix'!$C$57*'One Helix'!$D40</f>
        <v>114230.76923076922</v>
      </c>
      <c r="S40" s="17">
        <f>QuarterBreakup!E$28*'One Helix'!$C$57*'One Helix'!$D40</f>
        <v>114230.76923076922</v>
      </c>
      <c r="T40" s="191">
        <f t="shared" si="3"/>
        <v>380769.23076923075</v>
      </c>
      <c r="U40" s="283"/>
      <c r="V40" s="283"/>
      <c r="W40" s="283"/>
      <c r="X40" s="283"/>
    </row>
    <row r="41" spans="1:24">
      <c r="A41" s="40" t="s">
        <v>117</v>
      </c>
      <c r="B41" s="40"/>
      <c r="C41" s="41">
        <f>SUM(C42:C45)</f>
        <v>3625000</v>
      </c>
      <c r="D41" s="41"/>
      <c r="E41" s="42">
        <f>SUM(E42:E45)</f>
        <v>262499.99999999994</v>
      </c>
      <c r="F41" s="42">
        <f t="shared" ref="F41:T41" si="7">SUM(F42:F45)</f>
        <v>350000</v>
      </c>
      <c r="G41" s="42">
        <f t="shared" si="7"/>
        <v>262499.99999999994</v>
      </c>
      <c r="H41" s="42">
        <f t="shared" si="7"/>
        <v>875000</v>
      </c>
      <c r="I41" s="42">
        <f t="shared" si="7"/>
        <v>157499.99999999997</v>
      </c>
      <c r="J41" s="42">
        <f t="shared" si="7"/>
        <v>183750</v>
      </c>
      <c r="K41" s="42">
        <f t="shared" si="7"/>
        <v>183750</v>
      </c>
      <c r="L41" s="42">
        <f t="shared" si="7"/>
        <v>525000</v>
      </c>
      <c r="M41" s="42">
        <f t="shared" si="7"/>
        <v>478749.99999999994</v>
      </c>
      <c r="N41" s="42">
        <f t="shared" si="7"/>
        <v>367500</v>
      </c>
      <c r="O41" s="42">
        <f t="shared" si="7"/>
        <v>428749.99999999994</v>
      </c>
      <c r="P41" s="42">
        <f t="shared" si="7"/>
        <v>1275000</v>
      </c>
      <c r="Q41" s="42">
        <f t="shared" si="7"/>
        <v>425000</v>
      </c>
      <c r="R41" s="42">
        <f t="shared" si="7"/>
        <v>262499.99999999994</v>
      </c>
      <c r="S41" s="42">
        <f t="shared" si="7"/>
        <v>262499.99999999994</v>
      </c>
      <c r="T41" s="42">
        <f t="shared" si="7"/>
        <v>950000</v>
      </c>
      <c r="U41" s="283"/>
      <c r="V41" s="283"/>
      <c r="W41" s="283"/>
      <c r="X41" s="283"/>
    </row>
    <row r="42" spans="1:24">
      <c r="A42" s="15" t="s">
        <v>119</v>
      </c>
      <c r="B42" s="14" t="s">
        <v>120</v>
      </c>
      <c r="C42" s="30">
        <f>2000*500</f>
        <v>1000000</v>
      </c>
      <c r="D42" s="188">
        <f>C42/$C$41</f>
        <v>0.27586206896551724</v>
      </c>
      <c r="E42" s="17">
        <f>$D42*$C$58*QuarterBreakup!C$10</f>
        <v>74999.999999999985</v>
      </c>
      <c r="F42" s="17">
        <f>$D42*$C$58*QuarterBreakup!D$10</f>
        <v>100000</v>
      </c>
      <c r="G42" s="17">
        <f>$D42*$C$58*QuarterBreakup!E$10</f>
        <v>74999.999999999985</v>
      </c>
      <c r="H42" s="192">
        <f>SUM(E42:G42)</f>
        <v>250000</v>
      </c>
      <c r="I42" s="17">
        <f>$D42*$C$58*QuarterBreakup!C$16</f>
        <v>44999.999999999993</v>
      </c>
      <c r="J42" s="17">
        <f>$D42*$C$58*QuarterBreakup!D$16</f>
        <v>52499.999999999993</v>
      </c>
      <c r="K42" s="17">
        <f>$D42*$C$58*QuarterBreakup!E$16</f>
        <v>52499.999999999993</v>
      </c>
      <c r="L42" s="28">
        <f t="shared" si="2"/>
        <v>149999.99999999997</v>
      </c>
      <c r="M42" s="31">
        <f>$D42*$C$58*QuarterBreakup!C$22</f>
        <v>122499.99999999999</v>
      </c>
      <c r="N42" s="31">
        <f>$D42*$C$58*QuarterBreakup!D$22</f>
        <v>104999.99999999999</v>
      </c>
      <c r="O42" s="31">
        <f>$D42*$C$58*QuarterBreakup!E$22</f>
        <v>122499.99999999999</v>
      </c>
      <c r="P42" s="26">
        <f>SUM(M42:O42)</f>
        <v>349999.99999999994</v>
      </c>
      <c r="Q42" s="31">
        <f>$D42*$C$58*QuarterBreakup!C$28</f>
        <v>100000</v>
      </c>
      <c r="R42" s="31">
        <f>$D42*$C$58*QuarterBreakup!D$28</f>
        <v>74999.999999999985</v>
      </c>
      <c r="S42" s="31">
        <f>$D42*$C$58*QuarterBreakup!E$28</f>
        <v>74999.999999999985</v>
      </c>
      <c r="T42" s="191">
        <f t="shared" si="3"/>
        <v>250000</v>
      </c>
      <c r="U42" s="283"/>
      <c r="V42" s="283"/>
      <c r="W42" s="283"/>
      <c r="X42" s="283"/>
    </row>
    <row r="43" spans="1:24">
      <c r="A43" s="15" t="s">
        <v>121</v>
      </c>
      <c r="B43" s="14" t="s">
        <v>122</v>
      </c>
      <c r="C43" s="30">
        <f>10*250000</f>
        <v>2500000</v>
      </c>
      <c r="D43" s="188">
        <f t="shared" ref="D43:D45" si="8">C43/$C$41</f>
        <v>0.68965517241379315</v>
      </c>
      <c r="E43" s="17">
        <f>$D43*$C$58*QuarterBreakup!C$10</f>
        <v>187499.99999999997</v>
      </c>
      <c r="F43" s="17">
        <f>$D43*$C$58*QuarterBreakup!D$10</f>
        <v>250000.00000000003</v>
      </c>
      <c r="G43" s="17">
        <f>$D43*$C$58*QuarterBreakup!E$10</f>
        <v>187499.99999999997</v>
      </c>
      <c r="H43" s="193">
        <f>SUM(E43:G43)</f>
        <v>625000</v>
      </c>
      <c r="I43" s="17">
        <f>$D43*$C$58*QuarterBreakup!C$16</f>
        <v>112499.99999999999</v>
      </c>
      <c r="J43" s="17">
        <f>$D43*$C$58*QuarterBreakup!D$16</f>
        <v>131250</v>
      </c>
      <c r="K43" s="17">
        <f>$D43*$C$58*QuarterBreakup!E$16</f>
        <v>131250</v>
      </c>
      <c r="L43" s="28">
        <f t="shared" si="2"/>
        <v>375000</v>
      </c>
      <c r="M43" s="31">
        <f>$D43*$C$58*QuarterBreakup!C$22</f>
        <v>306249.99999999994</v>
      </c>
      <c r="N43" s="31">
        <f>$D43*$C$58*QuarterBreakup!D$22</f>
        <v>262500</v>
      </c>
      <c r="O43" s="31">
        <f>$D43*$C$58*QuarterBreakup!E$22</f>
        <v>306249.99999999994</v>
      </c>
      <c r="P43" s="26">
        <f>SUM(M43:O43)</f>
        <v>875000</v>
      </c>
      <c r="Q43" s="31">
        <f>$D43*$C$58*QuarterBreakup!C$28</f>
        <v>250000.00000000003</v>
      </c>
      <c r="R43" s="31">
        <f>$D43*$C$58*QuarterBreakup!D$28</f>
        <v>187499.99999999997</v>
      </c>
      <c r="S43" s="31">
        <f>$D43*$C$58*QuarterBreakup!E$28</f>
        <v>187499.99999999997</v>
      </c>
      <c r="T43" s="191">
        <f t="shared" si="3"/>
        <v>625000</v>
      </c>
      <c r="U43" s="283"/>
      <c r="V43" s="283"/>
      <c r="W43" s="283"/>
      <c r="X43" s="283"/>
    </row>
    <row r="44" spans="1:24">
      <c r="A44" s="15" t="s">
        <v>109</v>
      </c>
      <c r="B44" s="14" t="s">
        <v>123</v>
      </c>
      <c r="C44" s="30">
        <f>100*250</f>
        <v>25000</v>
      </c>
      <c r="D44" s="188">
        <f t="shared" si="8"/>
        <v>6.8965517241379309E-3</v>
      </c>
      <c r="E44" s="17"/>
      <c r="F44" s="17"/>
      <c r="G44" s="17"/>
      <c r="H44" s="193">
        <f>SUM(E44:G44)</f>
        <v>0</v>
      </c>
      <c r="I44" s="17"/>
      <c r="J44" s="17"/>
      <c r="K44" s="17"/>
      <c r="L44" s="28">
        <f t="shared" si="2"/>
        <v>0</v>
      </c>
      <c r="M44" s="31"/>
      <c r="N44" s="31"/>
      <c r="O44" s="31"/>
      <c r="P44" s="26">
        <f>SUM(M44:O44)</f>
        <v>0</v>
      </c>
      <c r="Q44" s="31">
        <v>25000</v>
      </c>
      <c r="R44" s="31"/>
      <c r="S44" s="31"/>
      <c r="T44" s="191">
        <f t="shared" si="3"/>
        <v>25000</v>
      </c>
      <c r="U44" s="283"/>
      <c r="V44" s="283"/>
      <c r="W44" s="283"/>
      <c r="X44" s="283"/>
    </row>
    <row r="45" spans="1:24">
      <c r="A45" s="15" t="s">
        <v>111</v>
      </c>
      <c r="B45" s="14" t="s">
        <v>124</v>
      </c>
      <c r="C45" s="30">
        <f>100*2*500</f>
        <v>100000</v>
      </c>
      <c r="D45" s="188">
        <f t="shared" si="8"/>
        <v>2.7586206896551724E-2</v>
      </c>
      <c r="E45" s="17"/>
      <c r="F45" s="17"/>
      <c r="G45" s="17"/>
      <c r="H45" s="193">
        <f>SUM(E45:G45)</f>
        <v>0</v>
      </c>
      <c r="I45" s="17"/>
      <c r="J45" s="17"/>
      <c r="K45" s="17"/>
      <c r="L45" s="28">
        <f t="shared" si="2"/>
        <v>0</v>
      </c>
      <c r="M45" s="31">
        <v>50000</v>
      </c>
      <c r="N45" s="31"/>
      <c r="O45" s="31"/>
      <c r="P45" s="26">
        <f>SUM(M45:O45)</f>
        <v>50000</v>
      </c>
      <c r="Q45" s="31">
        <v>50000</v>
      </c>
      <c r="R45" s="31"/>
      <c r="S45" s="31"/>
      <c r="T45" s="191">
        <f t="shared" si="3"/>
        <v>50000</v>
      </c>
      <c r="U45" s="283"/>
      <c r="V45" s="283"/>
      <c r="W45" s="283"/>
      <c r="X45" s="283"/>
    </row>
    <row r="46" spans="1:24">
      <c r="A46" s="12" t="s">
        <v>125</v>
      </c>
      <c r="B46" s="12"/>
      <c r="C46" s="22">
        <f>SUM(C47:C50)</f>
        <v>12800000</v>
      </c>
      <c r="D46" s="22"/>
      <c r="E46" s="29">
        <f>SUM(E47:E50)</f>
        <v>584999.99999999988</v>
      </c>
      <c r="F46" s="29">
        <f t="shared" ref="F46:T46" si="9">SUM(F47:F50)</f>
        <v>780000</v>
      </c>
      <c r="G46" s="29">
        <f t="shared" si="9"/>
        <v>5585000</v>
      </c>
      <c r="H46" s="29">
        <f t="shared" si="9"/>
        <v>6950000</v>
      </c>
      <c r="I46" s="29">
        <f t="shared" si="9"/>
        <v>350999.99999999994</v>
      </c>
      <c r="J46" s="29">
        <f t="shared" si="9"/>
        <v>409500</v>
      </c>
      <c r="K46" s="29">
        <f t="shared" si="9"/>
        <v>409500</v>
      </c>
      <c r="L46" s="29">
        <f t="shared" si="9"/>
        <v>1170000</v>
      </c>
      <c r="M46" s="29">
        <f t="shared" si="9"/>
        <v>955499.99999999977</v>
      </c>
      <c r="N46" s="29">
        <f t="shared" si="9"/>
        <v>819000</v>
      </c>
      <c r="O46" s="29">
        <f t="shared" si="9"/>
        <v>955499.99999999977</v>
      </c>
      <c r="P46" s="29">
        <f t="shared" si="9"/>
        <v>2730000</v>
      </c>
      <c r="Q46" s="29">
        <f t="shared" si="9"/>
        <v>780000</v>
      </c>
      <c r="R46" s="29">
        <f t="shared" si="9"/>
        <v>584999.99999999988</v>
      </c>
      <c r="S46" s="29">
        <f t="shared" si="9"/>
        <v>584999.99999999988</v>
      </c>
      <c r="T46" s="29">
        <f t="shared" si="9"/>
        <v>1950000</v>
      </c>
      <c r="U46" s="283"/>
      <c r="V46" s="283"/>
      <c r="W46" s="283"/>
      <c r="X46" s="283"/>
    </row>
    <row r="47" spans="1:24">
      <c r="A47" s="14" t="s">
        <v>127</v>
      </c>
      <c r="B47" s="14" t="s">
        <v>128</v>
      </c>
      <c r="C47" s="30">
        <f>150000*12</f>
        <v>1800000</v>
      </c>
      <c r="D47" s="188">
        <f>C47/$C$46</f>
        <v>0.140625</v>
      </c>
      <c r="E47" s="17">
        <f>$D47*$C$59*QuarterBreakup!C$10</f>
        <v>134999.99999999997</v>
      </c>
      <c r="F47" s="17">
        <f>$D47*$C$59*QuarterBreakup!D$10</f>
        <v>180000</v>
      </c>
      <c r="G47" s="17">
        <f>$D47*$C$59*QuarterBreakup!E$10</f>
        <v>134999.99999999997</v>
      </c>
      <c r="H47" s="26">
        <f>SUM(E47:G47)</f>
        <v>450000</v>
      </c>
      <c r="I47" s="17">
        <f>$D47*$C$59*QuarterBreakup!C$16</f>
        <v>80999.999999999971</v>
      </c>
      <c r="J47" s="17">
        <f>$D47*$C$59*QuarterBreakup!D$16</f>
        <v>94499.999999999985</v>
      </c>
      <c r="K47" s="17">
        <f>$D47*$C$59*QuarterBreakup!E$16</f>
        <v>94499.999999999985</v>
      </c>
      <c r="L47" s="28">
        <f t="shared" si="2"/>
        <v>269999.99999999994</v>
      </c>
      <c r="M47" s="17">
        <f>$D47*$C$59*QuarterBreakup!C$22</f>
        <v>220499.99999999994</v>
      </c>
      <c r="N47" s="17">
        <f>$D47*$C$59*QuarterBreakup!D$22</f>
        <v>188999.99999999997</v>
      </c>
      <c r="O47" s="17">
        <f>$D47*$C$59*QuarterBreakup!E$22</f>
        <v>220499.99999999994</v>
      </c>
      <c r="P47" s="26">
        <f>SUM(M47:O47)</f>
        <v>629999.99999999977</v>
      </c>
      <c r="Q47" s="31">
        <f>$D47*$C$59*QuarterBreakup!C$28</f>
        <v>180000</v>
      </c>
      <c r="R47" s="31">
        <f>$D47*$C$59*QuarterBreakup!D$28</f>
        <v>134999.99999999997</v>
      </c>
      <c r="S47" s="31">
        <f>$D47*$C$59*QuarterBreakup!E$28</f>
        <v>134999.99999999997</v>
      </c>
      <c r="T47" s="32">
        <f>SUM(Q47:S47)</f>
        <v>450000</v>
      </c>
      <c r="U47" s="283"/>
      <c r="V47" s="283"/>
      <c r="W47" s="283"/>
      <c r="X47" s="283"/>
    </row>
    <row r="48" spans="1:24">
      <c r="A48" s="14" t="s">
        <v>129</v>
      </c>
      <c r="B48" s="14"/>
      <c r="C48" s="30">
        <v>5000000</v>
      </c>
      <c r="D48" s="188">
        <f t="shared" ref="D48:D50" si="10">C48/$C$46</f>
        <v>0.390625</v>
      </c>
      <c r="E48" s="17">
        <f>$D48*$C$59*QuarterBreakup!C$10</f>
        <v>374999.99999999994</v>
      </c>
      <c r="F48" s="17">
        <f>$D48*$C$59*QuarterBreakup!D$10</f>
        <v>500000.00000000006</v>
      </c>
      <c r="G48" s="17">
        <f>$D48*$C$59*QuarterBreakup!E$10</f>
        <v>374999.99999999994</v>
      </c>
      <c r="H48" s="26">
        <f>SUM(E48:G48)</f>
        <v>1250000</v>
      </c>
      <c r="I48" s="17">
        <f>$D48*$C$59*QuarterBreakup!C$16</f>
        <v>224999.99999999997</v>
      </c>
      <c r="J48" s="17">
        <f>$D48*$C$59*QuarterBreakup!D$16</f>
        <v>262500</v>
      </c>
      <c r="K48" s="17">
        <f>$D48*$C$59*QuarterBreakup!E$16</f>
        <v>262500</v>
      </c>
      <c r="L48" s="28">
        <f t="shared" si="2"/>
        <v>750000</v>
      </c>
      <c r="M48" s="17">
        <f>$D48*$C$59*QuarterBreakup!C$22</f>
        <v>612499.99999999988</v>
      </c>
      <c r="N48" s="17">
        <f>$D48*$C$59*QuarterBreakup!D$22</f>
        <v>525000</v>
      </c>
      <c r="O48" s="17">
        <f>$D48*$C$59*QuarterBreakup!E$22</f>
        <v>612499.99999999988</v>
      </c>
      <c r="P48" s="26">
        <f>SUM(M48:O48)</f>
        <v>1750000</v>
      </c>
      <c r="Q48" s="31">
        <f>$D48*$C$59*QuarterBreakup!C$28</f>
        <v>500000.00000000006</v>
      </c>
      <c r="R48" s="31">
        <f>$D48*$C$59*QuarterBreakup!D$28</f>
        <v>374999.99999999994</v>
      </c>
      <c r="S48" s="31">
        <f>$D48*$C$59*QuarterBreakup!E$28</f>
        <v>374999.99999999994</v>
      </c>
      <c r="T48" s="32">
        <f>SUM(Q48:S48)</f>
        <v>1250000</v>
      </c>
      <c r="U48" s="283"/>
      <c r="V48" s="283"/>
      <c r="W48" s="283"/>
      <c r="X48" s="283"/>
    </row>
    <row r="49" spans="1:24">
      <c r="A49" s="5" t="s">
        <v>130</v>
      </c>
      <c r="B49" s="14" t="s">
        <v>131</v>
      </c>
      <c r="C49" s="30">
        <v>5000000</v>
      </c>
      <c r="D49" s="188">
        <f t="shared" si="10"/>
        <v>0.390625</v>
      </c>
      <c r="E49" s="31"/>
      <c r="F49" s="31"/>
      <c r="G49" s="31">
        <f>C49</f>
        <v>5000000</v>
      </c>
      <c r="H49" s="32">
        <f>SUM(E49:G49)</f>
        <v>5000000</v>
      </c>
      <c r="I49" s="17"/>
      <c r="J49" s="17"/>
      <c r="K49" s="17"/>
      <c r="L49" s="28">
        <f t="shared" si="2"/>
        <v>0</v>
      </c>
      <c r="M49" s="31"/>
      <c r="N49" s="31"/>
      <c r="O49" s="31"/>
      <c r="P49" s="32">
        <f>SUM(M49:O49)</f>
        <v>0</v>
      </c>
      <c r="Q49" s="31"/>
      <c r="R49" s="31"/>
      <c r="S49" s="31"/>
      <c r="T49" s="32">
        <f>SUM(Q49:S49)</f>
        <v>0</v>
      </c>
      <c r="U49" s="283"/>
      <c r="V49" s="283"/>
      <c r="W49" s="283"/>
      <c r="X49" s="283"/>
    </row>
    <row r="50" spans="1:24">
      <c r="A50" s="5" t="s">
        <v>132</v>
      </c>
      <c r="B50" s="14" t="s">
        <v>138</v>
      </c>
      <c r="C50" s="30">
        <v>1000000</v>
      </c>
      <c r="D50" s="188">
        <f t="shared" si="10"/>
        <v>7.8125E-2</v>
      </c>
      <c r="E50" s="31">
        <f>$D50*$C$59*QuarterBreakup!C$10</f>
        <v>74999.999999999985</v>
      </c>
      <c r="F50" s="31">
        <f>$D50*$C$59*QuarterBreakup!D$10</f>
        <v>100000</v>
      </c>
      <c r="G50" s="31">
        <f>$D50*$C$59*QuarterBreakup!E$10</f>
        <v>74999.999999999985</v>
      </c>
      <c r="H50" s="32">
        <f>SUM(E50:G50)</f>
        <v>250000</v>
      </c>
      <c r="I50" s="17">
        <f>$D50*$C$59*QuarterBreakup!C$16</f>
        <v>44999.999999999993</v>
      </c>
      <c r="J50" s="17">
        <f>$D50*$C$59*QuarterBreakup!D$16</f>
        <v>52499.999999999993</v>
      </c>
      <c r="K50" s="17">
        <f>$D50*$C$59*QuarterBreakup!E$16</f>
        <v>52499.999999999993</v>
      </c>
      <c r="L50" s="28">
        <f t="shared" si="2"/>
        <v>149999.99999999997</v>
      </c>
      <c r="M50" s="31">
        <f>$D50*$C$59*QuarterBreakup!C$22</f>
        <v>122499.99999999999</v>
      </c>
      <c r="N50" s="31">
        <f>$D50*$C$59*QuarterBreakup!D$22</f>
        <v>104999.99999999999</v>
      </c>
      <c r="O50" s="31">
        <f>$D50*$C$59*QuarterBreakup!E$22</f>
        <v>122499.99999999999</v>
      </c>
      <c r="P50" s="32">
        <f>SUM(M50:O50)</f>
        <v>349999.99999999994</v>
      </c>
      <c r="Q50" s="31">
        <f>$D50*$C$59*QuarterBreakup!C$28</f>
        <v>100000</v>
      </c>
      <c r="R50" s="31">
        <f>$D50*$C$59*QuarterBreakup!D$28</f>
        <v>74999.999999999985</v>
      </c>
      <c r="S50" s="31">
        <f>$D50*$C$59*QuarterBreakup!E$28</f>
        <v>74999.999999999985</v>
      </c>
      <c r="T50" s="32">
        <f>SUM(Q50:S50)</f>
        <v>250000</v>
      </c>
      <c r="U50" s="283"/>
      <c r="V50" s="283"/>
      <c r="W50" s="283"/>
      <c r="X50" s="283"/>
    </row>
    <row r="51" spans="1:24">
      <c r="A51" s="12" t="s">
        <v>178</v>
      </c>
      <c r="B51" s="12"/>
      <c r="C51" s="22">
        <f>SUM(C52)</f>
        <v>5000000</v>
      </c>
      <c r="D51" s="22"/>
      <c r="E51" s="29">
        <f>SUM(E52)</f>
        <v>374999.99999999994</v>
      </c>
      <c r="F51" s="29">
        <f t="shared" ref="F51:T51" si="11">SUM(F52)</f>
        <v>500000.00000000006</v>
      </c>
      <c r="G51" s="29">
        <f t="shared" si="11"/>
        <v>374999.99999999994</v>
      </c>
      <c r="H51" s="29">
        <f t="shared" si="11"/>
        <v>1250000</v>
      </c>
      <c r="I51" s="29">
        <f t="shared" si="11"/>
        <v>224999.99999999997</v>
      </c>
      <c r="J51" s="29">
        <f t="shared" si="11"/>
        <v>262500</v>
      </c>
      <c r="K51" s="29">
        <f t="shared" si="11"/>
        <v>262500</v>
      </c>
      <c r="L51" s="29">
        <f t="shared" si="11"/>
        <v>750000</v>
      </c>
      <c r="M51" s="29">
        <f t="shared" si="11"/>
        <v>612499.99999999988</v>
      </c>
      <c r="N51" s="29">
        <f t="shared" si="11"/>
        <v>525000</v>
      </c>
      <c r="O51" s="29">
        <f t="shared" si="11"/>
        <v>612499.99999999988</v>
      </c>
      <c r="P51" s="29">
        <f t="shared" si="11"/>
        <v>1750000</v>
      </c>
      <c r="Q51" s="29">
        <f t="shared" si="11"/>
        <v>500000.00000000006</v>
      </c>
      <c r="R51" s="29">
        <f t="shared" si="11"/>
        <v>374999.99999999994</v>
      </c>
      <c r="S51" s="29">
        <f t="shared" si="11"/>
        <v>374999.99999999994</v>
      </c>
      <c r="T51" s="29">
        <f t="shared" si="11"/>
        <v>1250000</v>
      </c>
      <c r="U51" s="283"/>
      <c r="V51" s="283"/>
      <c r="W51" s="283"/>
      <c r="X51" s="283"/>
    </row>
    <row r="52" spans="1:24">
      <c r="A52" s="176" t="s">
        <v>179</v>
      </c>
      <c r="B52" s="177"/>
      <c r="C52" s="178">
        <v>5000000</v>
      </c>
      <c r="D52" s="189">
        <f>C52/$C$51</f>
        <v>1</v>
      </c>
      <c r="E52" s="179">
        <f>$D52*$C$60*QuarterBreakup!C$10</f>
        <v>374999.99999999994</v>
      </c>
      <c r="F52" s="179">
        <f>$D52*$C$60*QuarterBreakup!D$10</f>
        <v>500000.00000000006</v>
      </c>
      <c r="G52" s="179">
        <f>$D52*$C$60*QuarterBreakup!E$10</f>
        <v>374999.99999999994</v>
      </c>
      <c r="H52" s="180">
        <f>SUM(E52:G52)</f>
        <v>1250000</v>
      </c>
      <c r="I52" s="179">
        <f>$D52*$C$60*QuarterBreakup!C$16</f>
        <v>224999.99999999997</v>
      </c>
      <c r="J52" s="179">
        <f>$D52*$C$60*QuarterBreakup!D$16</f>
        <v>262500</v>
      </c>
      <c r="K52" s="179">
        <f>$D52*$C$60*QuarterBreakup!E$16</f>
        <v>262500</v>
      </c>
      <c r="L52" s="28">
        <f t="shared" si="2"/>
        <v>750000</v>
      </c>
      <c r="M52" s="195">
        <f>$D52*$C$60*QuarterBreakup!C$22</f>
        <v>612499.99999999988</v>
      </c>
      <c r="N52" s="195">
        <f>$D52*$C$60*QuarterBreakup!D$22</f>
        <v>525000</v>
      </c>
      <c r="O52" s="195">
        <f>$D52*$C$60*QuarterBreakup!E$22</f>
        <v>612499.99999999988</v>
      </c>
      <c r="P52" s="32">
        <f>SUM(M52:O52)</f>
        <v>1750000</v>
      </c>
      <c r="Q52" s="195">
        <f>$D52*$C$60*QuarterBreakup!C$28</f>
        <v>500000.00000000006</v>
      </c>
      <c r="R52" s="195">
        <f>$D52*$C$60*QuarterBreakup!D$28</f>
        <v>374999.99999999994</v>
      </c>
      <c r="S52" s="195">
        <f>$D52*$C$60*QuarterBreakup!E$28</f>
        <v>374999.99999999994</v>
      </c>
      <c r="T52" s="32">
        <f>SUM(Q52:S52)</f>
        <v>1250000</v>
      </c>
      <c r="U52" s="283"/>
      <c r="V52" s="283"/>
      <c r="W52" s="283"/>
      <c r="X52" s="283"/>
    </row>
    <row r="53" spans="1:24">
      <c r="A53" s="6" t="s">
        <v>134</v>
      </c>
      <c r="B53" s="6"/>
      <c r="C53" s="35">
        <f>SUM(C11,C22,C41,C46,C51)</f>
        <v>262889615.38461539</v>
      </c>
      <c r="D53" s="35"/>
      <c r="E53" s="35">
        <f>SUM(E11,E22,E41,E46,E51)</f>
        <v>19472019.230769232</v>
      </c>
      <c r="F53" s="35">
        <f t="shared" ref="E53:T53" si="12">SUM(F11,F22,F41,F46,F51)</f>
        <v>26261942.307692308</v>
      </c>
      <c r="G53" s="35">
        <f t="shared" si="12"/>
        <v>24487769.230769232</v>
      </c>
      <c r="H53" s="35">
        <f>SUM(H11,H22,H41,H46,H51)</f>
        <v>70221730.769230768</v>
      </c>
      <c r="I53" s="35">
        <f t="shared" si="12"/>
        <v>9821561.5384615362</v>
      </c>
      <c r="J53" s="35">
        <f t="shared" si="12"/>
        <v>11458488.46153846</v>
      </c>
      <c r="K53" s="35">
        <f t="shared" si="12"/>
        <v>13332738.46153846</v>
      </c>
      <c r="L53" s="35">
        <f t="shared" si="12"/>
        <v>34612788.461538456</v>
      </c>
      <c r="M53" s="35">
        <f t="shared" si="12"/>
        <v>33937694.230769224</v>
      </c>
      <c r="N53" s="35">
        <f t="shared" si="12"/>
        <v>27539601.92307692</v>
      </c>
      <c r="O53" s="35">
        <f t="shared" si="12"/>
        <v>31109723.076923072</v>
      </c>
      <c r="P53" s="35">
        <f t="shared" si="12"/>
        <v>92587019.230769217</v>
      </c>
      <c r="Q53" s="35">
        <f t="shared" si="12"/>
        <v>27374538.461538464</v>
      </c>
      <c r="R53" s="35">
        <f t="shared" si="12"/>
        <v>19046769.230769232</v>
      </c>
      <c r="S53" s="35">
        <f t="shared" si="12"/>
        <v>19046769.230769232</v>
      </c>
      <c r="T53" s="35">
        <f t="shared" si="12"/>
        <v>65468076.923076928</v>
      </c>
      <c r="U53" s="283"/>
      <c r="V53" s="283"/>
      <c r="W53" s="283"/>
      <c r="X53" s="283"/>
    </row>
    <row r="54" spans="1:24" ht="15.75">
      <c r="A54" s="7"/>
      <c r="B54" s="7"/>
      <c r="C54" s="3"/>
      <c r="D54" s="3"/>
      <c r="E54" s="3"/>
      <c r="F54" s="3"/>
      <c r="G54" s="18"/>
      <c r="H54" s="215"/>
      <c r="I54" s="18"/>
      <c r="J54" s="18"/>
      <c r="K54" s="18"/>
      <c r="L54" s="18"/>
      <c r="M54" s="18"/>
      <c r="N54" s="18"/>
      <c r="O54" s="18"/>
      <c r="P54" s="18"/>
      <c r="Q54" s="18"/>
      <c r="R54" s="3"/>
      <c r="S54" s="3"/>
      <c r="T54" s="3"/>
      <c r="U54" s="283"/>
      <c r="V54" s="283"/>
      <c r="W54" s="283"/>
      <c r="X54" s="283"/>
    </row>
    <row r="55" spans="1:24" s="200" customFormat="1" ht="15.75">
      <c r="A55" s="205" t="s">
        <v>135</v>
      </c>
      <c r="B55" s="204" t="s">
        <v>180</v>
      </c>
      <c r="C55" s="9" t="s">
        <v>181</v>
      </c>
      <c r="D55" s="210"/>
      <c r="F55" s="203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1"/>
      <c r="S55" s="201"/>
      <c r="T55" s="201"/>
    </row>
    <row r="56" spans="1:24" ht="15.75">
      <c r="A56" s="44" t="str">
        <f>A11</f>
        <v>ATL Activities</v>
      </c>
      <c r="B56" s="37">
        <f>C11</f>
        <v>140600000</v>
      </c>
      <c r="C56" s="211">
        <f>B56/$B$61</f>
        <v>0.53482523375561253</v>
      </c>
      <c r="D56" s="208"/>
      <c r="E56" s="283"/>
      <c r="F56" s="1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3"/>
      <c r="S56" s="3"/>
      <c r="T56" s="3"/>
      <c r="U56" s="283"/>
      <c r="V56" s="283"/>
      <c r="W56" s="283"/>
      <c r="X56" s="283"/>
    </row>
    <row r="57" spans="1:24" ht="15.75">
      <c r="A57" s="45" t="str">
        <f>A22</f>
        <v>BTL Activities</v>
      </c>
      <c r="B57" s="38">
        <f>C22</f>
        <v>100864615.38461539</v>
      </c>
      <c r="C57" s="212">
        <f t="shared" ref="C57:C60" si="13">B57/$B$61</f>
        <v>0.38367668208212574</v>
      </c>
      <c r="D57" s="208"/>
      <c r="E57" s="283"/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3"/>
      <c r="S57" s="3"/>
      <c r="T57" s="3"/>
      <c r="U57" s="283"/>
      <c r="V57" s="283"/>
      <c r="W57" s="283"/>
      <c r="X57" s="283"/>
    </row>
    <row r="58" spans="1:24" ht="15.75">
      <c r="A58" s="45" t="str">
        <f>A41</f>
        <v>Project BTL Activities</v>
      </c>
      <c r="B58" s="38">
        <f>C41</f>
        <v>3625000</v>
      </c>
      <c r="C58" s="212">
        <f>B58/$B$61</f>
        <v>1.3789057413684889E-2</v>
      </c>
      <c r="D58" s="208"/>
      <c r="E58" s="283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3"/>
      <c r="S58" s="3"/>
      <c r="T58" s="3"/>
      <c r="U58" s="283"/>
      <c r="V58" s="283"/>
      <c r="W58" s="283"/>
      <c r="X58" s="283"/>
    </row>
    <row r="59" spans="1:24" ht="15.75">
      <c r="A59" s="44" t="str">
        <f>A46</f>
        <v>Digital Marketing Collaterals</v>
      </c>
      <c r="B59" s="37">
        <f>C46</f>
        <v>12800000</v>
      </c>
      <c r="C59" s="211">
        <f t="shared" si="13"/>
        <v>4.8689637212459745E-2</v>
      </c>
      <c r="D59" s="208"/>
      <c r="E59" s="283"/>
      <c r="F59" s="1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3"/>
      <c r="S59" s="3"/>
      <c r="T59" s="3"/>
      <c r="U59" s="283"/>
      <c r="V59" s="283"/>
      <c r="W59" s="283"/>
      <c r="X59" s="283"/>
    </row>
    <row r="60" spans="1:24" ht="15.75">
      <c r="A60" s="44" t="str">
        <f>A51</f>
        <v>Discretionary Budget</v>
      </c>
      <c r="B60" s="37">
        <f>C51</f>
        <v>5000000</v>
      </c>
      <c r="C60" s="211">
        <f>B60/$B$61</f>
        <v>1.9019389536117089E-2</v>
      </c>
      <c r="D60" s="208"/>
      <c r="E60" s="283"/>
      <c r="F60" s="19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3"/>
      <c r="S60" s="3"/>
      <c r="T60" s="3"/>
      <c r="U60" s="283"/>
      <c r="V60" s="283"/>
      <c r="W60" s="283"/>
      <c r="X60" s="283"/>
    </row>
    <row r="61" spans="1:24" ht="15.75">
      <c r="A61" s="8" t="s">
        <v>134</v>
      </c>
      <c r="B61" s="207">
        <f>SUM(B56:B60)</f>
        <v>262889615.38461539</v>
      </c>
      <c r="C61" s="39"/>
      <c r="D61" s="209"/>
      <c r="E61" s="283"/>
      <c r="F61" s="20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3"/>
      <c r="S61" s="3"/>
      <c r="T61" s="3"/>
      <c r="U61" s="283"/>
      <c r="V61" s="283"/>
      <c r="W61" s="283"/>
      <c r="X61" s="283"/>
    </row>
    <row r="62" spans="1:24" ht="15.75">
      <c r="A62" s="7"/>
      <c r="B62" s="7"/>
      <c r="C62" s="3"/>
      <c r="D62" s="3"/>
      <c r="E62" s="3"/>
      <c r="F62" s="3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3"/>
      <c r="S62" s="3"/>
      <c r="T62" s="3"/>
      <c r="U62" s="283"/>
      <c r="V62" s="283"/>
      <c r="W62" s="283"/>
      <c r="X62" s="283"/>
    </row>
    <row r="63" spans="1:24" ht="15.75">
      <c r="A63" s="9" t="s">
        <v>182</v>
      </c>
      <c r="B63" s="204" t="s">
        <v>180</v>
      </c>
      <c r="C63" s="9" t="s">
        <v>181</v>
      </c>
      <c r="D63" s="3"/>
      <c r="E63" s="3"/>
      <c r="F63" s="3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3"/>
      <c r="S63" s="3"/>
      <c r="T63" s="3"/>
      <c r="U63" s="283"/>
      <c r="V63" s="283"/>
      <c r="W63" s="283"/>
      <c r="X63" s="283"/>
    </row>
    <row r="64" spans="1:24" ht="15.75">
      <c r="A64" s="44" t="s">
        <v>48</v>
      </c>
      <c r="B64" s="199">
        <f>H53</f>
        <v>70221730.769230768</v>
      </c>
      <c r="C64" s="211">
        <f>B64/$B$68</f>
        <v>0.26711489028006785</v>
      </c>
      <c r="D64" s="3"/>
      <c r="E64" s="3"/>
      <c r="F64" s="3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3"/>
      <c r="S64" s="3"/>
      <c r="T64" s="3"/>
      <c r="U64" s="283"/>
      <c r="V64" s="283"/>
      <c r="W64" s="283"/>
      <c r="X64" s="283"/>
    </row>
    <row r="65" spans="1:24" ht="15.75">
      <c r="A65" s="45" t="s">
        <v>49</v>
      </c>
      <c r="B65" s="206">
        <f>L53</f>
        <v>34612788.461538456</v>
      </c>
      <c r="C65" s="212">
        <f t="shared" ref="C65:C67" si="14">B65/$B$68</f>
        <v>0.13166282133624377</v>
      </c>
      <c r="D65" s="3"/>
      <c r="E65" s="3"/>
      <c r="F65" s="3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3"/>
      <c r="S65" s="3"/>
      <c r="T65" s="3"/>
      <c r="U65" s="283"/>
      <c r="V65" s="283"/>
      <c r="W65" s="283"/>
      <c r="X65" s="283"/>
    </row>
    <row r="66" spans="1:24" ht="15.75">
      <c r="A66" s="45" t="s">
        <v>50</v>
      </c>
      <c r="B66" s="206">
        <f>P53</f>
        <v>92587019.230769217</v>
      </c>
      <c r="C66" s="212">
        <f t="shared" si="14"/>
        <v>0.35218971694759277</v>
      </c>
      <c r="D66" s="3"/>
      <c r="E66" s="3"/>
      <c r="F66" s="3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3"/>
      <c r="S66" s="3"/>
      <c r="T66" s="3"/>
      <c r="U66" s="283"/>
      <c r="V66" s="283"/>
      <c r="W66" s="283"/>
      <c r="X66" s="283"/>
    </row>
    <row r="67" spans="1:24">
      <c r="A67" s="44" t="s">
        <v>51</v>
      </c>
      <c r="B67" s="199">
        <f>T53</f>
        <v>65468076.923076928</v>
      </c>
      <c r="C67" s="211">
        <f t="shared" si="14"/>
        <v>0.24903257143609561</v>
      </c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</row>
    <row r="68" spans="1:24">
      <c r="A68" s="8" t="s">
        <v>134</v>
      </c>
      <c r="B68" s="207">
        <f>SUM(B64:B67)</f>
        <v>262889615.38461536</v>
      </c>
      <c r="C68" s="39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</row>
    <row r="69" spans="1:24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</row>
    <row r="70" spans="1:24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</row>
    <row r="71" spans="1:24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</row>
    <row r="72" spans="1:24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</row>
    <row r="73" spans="1:24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</row>
    <row r="74" spans="1:24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</row>
    <row r="75" spans="1:24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</row>
    <row r="76" spans="1:24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</row>
    <row r="77" spans="1:24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</row>
    <row r="78" spans="1:24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</row>
    <row r="79" spans="1:24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</row>
    <row r="80" spans="1:24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</row>
    <row r="81" spans="1:24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</row>
    <row r="82" spans="1:24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</row>
    <row r="83" spans="1:24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</row>
    <row r="84" spans="1:24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</row>
    <row r="85" spans="1:24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</row>
    <row r="86" spans="1:24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</row>
    <row r="87" spans="1:24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</row>
    <row r="88" spans="1:24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</row>
    <row r="89" spans="1:24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</row>
    <row r="90" spans="1:24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</row>
    <row r="91" spans="1:24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</row>
    <row r="92" spans="1:24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</row>
    <row r="93" spans="1:24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</row>
    <row r="94" spans="1:24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</row>
    <row r="95" spans="1:24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</row>
    <row r="96" spans="1:24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</row>
  </sheetData>
  <mergeCells count="8">
    <mergeCell ref="Q1:T1"/>
    <mergeCell ref="B1:B2"/>
    <mergeCell ref="C1:C2"/>
    <mergeCell ref="A1:A2"/>
    <mergeCell ref="E1:H1"/>
    <mergeCell ref="I1:L1"/>
    <mergeCell ref="M1:P1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C7C9-E1BD-49D2-81E7-FAD52267D298}">
  <dimension ref="A1:X97"/>
  <sheetViews>
    <sheetView workbookViewId="0">
      <pane xSplit="1" ySplit="2" topLeftCell="B6" activePane="bottomRight" state="frozen"/>
      <selection pane="bottomRight" activeCell="B12" sqref="B12"/>
      <selection pane="bottomLeft"/>
      <selection pane="topRight"/>
    </sheetView>
  </sheetViews>
  <sheetFormatPr defaultRowHeight="15"/>
  <cols>
    <col min="1" max="1" width="62" style="4" bestFit="1" customWidth="1"/>
    <col min="2" max="2" width="55.7109375" style="4" customWidth="1"/>
    <col min="3" max="3" width="31.140625" style="4" customWidth="1"/>
    <col min="4" max="4" width="9" style="4" customWidth="1"/>
    <col min="5" max="5" width="14.28515625" style="4" customWidth="1"/>
    <col min="6" max="6" width="17.140625" style="4" customWidth="1"/>
    <col min="7" max="20" width="13.140625" style="4" customWidth="1"/>
    <col min="21" max="21" width="15" style="4" bestFit="1" customWidth="1"/>
    <col min="22" max="22" width="13.42578125" style="4" customWidth="1"/>
    <col min="23" max="16384" width="9.140625" style="4"/>
  </cols>
  <sheetData>
    <row r="1" spans="1:24" ht="24.75" customHeight="1">
      <c r="A1" s="278" t="s">
        <v>135</v>
      </c>
      <c r="B1" s="278" t="s">
        <v>54</v>
      </c>
      <c r="C1" s="278" t="s">
        <v>144</v>
      </c>
      <c r="D1" s="278" t="s">
        <v>145</v>
      </c>
      <c r="E1" s="280" t="s">
        <v>146</v>
      </c>
      <c r="F1" s="280"/>
      <c r="G1" s="280"/>
      <c r="H1" s="280"/>
      <c r="I1" s="281" t="s">
        <v>147</v>
      </c>
      <c r="J1" s="281"/>
      <c r="K1" s="281"/>
      <c r="L1" s="281"/>
      <c r="M1" s="280" t="s">
        <v>148</v>
      </c>
      <c r="N1" s="280"/>
      <c r="O1" s="280"/>
      <c r="P1" s="282"/>
      <c r="Q1" s="277" t="s">
        <v>149</v>
      </c>
      <c r="R1" s="277"/>
      <c r="S1" s="277"/>
      <c r="T1" s="277"/>
      <c r="U1" s="283"/>
      <c r="V1" s="283"/>
      <c r="W1" s="283"/>
      <c r="X1" s="283"/>
    </row>
    <row r="2" spans="1:24">
      <c r="A2" s="279"/>
      <c r="B2" s="279"/>
      <c r="C2" s="279"/>
      <c r="D2" s="279"/>
      <c r="E2" s="11" t="s">
        <v>150</v>
      </c>
      <c r="F2" s="11" t="s">
        <v>151</v>
      </c>
      <c r="G2" s="11" t="s">
        <v>152</v>
      </c>
      <c r="H2" s="11" t="s">
        <v>153</v>
      </c>
      <c r="I2" s="10" t="s">
        <v>154</v>
      </c>
      <c r="J2" s="10" t="s">
        <v>155</v>
      </c>
      <c r="K2" s="10" t="s">
        <v>156</v>
      </c>
      <c r="L2" s="10" t="s">
        <v>157</v>
      </c>
      <c r="M2" s="11" t="s">
        <v>158</v>
      </c>
      <c r="N2" s="11" t="s">
        <v>159</v>
      </c>
      <c r="O2" s="11" t="s">
        <v>160</v>
      </c>
      <c r="P2" s="72" t="s">
        <v>161</v>
      </c>
      <c r="Q2" s="74" t="s">
        <v>162</v>
      </c>
      <c r="R2" s="74" t="s">
        <v>163</v>
      </c>
      <c r="S2" s="74" t="s">
        <v>164</v>
      </c>
      <c r="T2" s="74" t="s">
        <v>165</v>
      </c>
      <c r="U2" s="283"/>
      <c r="V2" s="283"/>
      <c r="W2" s="283"/>
      <c r="X2" s="283"/>
    </row>
    <row r="3" spans="1:24">
      <c r="A3" s="12" t="s">
        <v>166</v>
      </c>
      <c r="B3" s="12"/>
      <c r="C3" s="22"/>
      <c r="D3" s="22"/>
      <c r="E3" s="23"/>
      <c r="F3" s="23"/>
      <c r="G3" s="23"/>
      <c r="H3" s="23"/>
      <c r="I3" s="24"/>
      <c r="J3" s="24"/>
      <c r="K3" s="24"/>
      <c r="L3" s="24"/>
      <c r="M3" s="23"/>
      <c r="N3" s="23"/>
      <c r="O3" s="23"/>
      <c r="P3" s="23"/>
      <c r="Q3" s="73"/>
      <c r="R3" s="73"/>
      <c r="S3" s="73"/>
      <c r="T3" s="73"/>
      <c r="U3" s="283"/>
      <c r="V3" s="283"/>
      <c r="W3" s="283"/>
      <c r="X3" s="283"/>
    </row>
    <row r="4" spans="1:24">
      <c r="A4" s="13" t="s">
        <v>36</v>
      </c>
      <c r="B4" s="71">
        <v>56</v>
      </c>
      <c r="C4" s="25"/>
      <c r="D4" s="25"/>
      <c r="E4" s="17"/>
      <c r="F4" s="17"/>
      <c r="G4" s="17"/>
      <c r="H4" s="26"/>
      <c r="I4" s="27"/>
      <c r="J4" s="27"/>
      <c r="K4" s="27"/>
      <c r="L4" s="28"/>
      <c r="M4" s="17"/>
      <c r="N4" s="17"/>
      <c r="O4" s="17"/>
      <c r="P4" s="26"/>
      <c r="Q4" s="27"/>
      <c r="R4" s="27"/>
      <c r="S4" s="27"/>
      <c r="T4" s="28"/>
      <c r="U4" s="283"/>
      <c r="V4" s="283"/>
      <c r="W4" s="283"/>
      <c r="X4" s="283"/>
    </row>
    <row r="5" spans="1:24">
      <c r="A5" s="13" t="s">
        <v>37</v>
      </c>
      <c r="B5" s="21">
        <v>31000</v>
      </c>
      <c r="C5" s="21"/>
      <c r="D5" s="21"/>
      <c r="E5" s="17"/>
      <c r="F5" s="17"/>
      <c r="G5" s="17"/>
      <c r="H5" s="26"/>
      <c r="I5" s="27"/>
      <c r="J5" s="27"/>
      <c r="K5" s="27"/>
      <c r="L5" s="28"/>
      <c r="M5" s="17"/>
      <c r="N5" s="17"/>
      <c r="O5" s="17"/>
      <c r="P5" s="26"/>
      <c r="Q5" s="27"/>
      <c r="R5" s="27"/>
      <c r="S5" s="27"/>
      <c r="T5" s="28"/>
      <c r="U5" s="283"/>
      <c r="V5" s="283"/>
      <c r="W5" s="283"/>
      <c r="X5" s="283"/>
    </row>
    <row r="6" spans="1:24">
      <c r="A6" s="13" t="s">
        <v>38</v>
      </c>
      <c r="B6" s="21">
        <v>30</v>
      </c>
      <c r="C6" s="21"/>
      <c r="D6" s="21"/>
      <c r="E6" s="17"/>
      <c r="F6" s="17"/>
      <c r="G6" s="17"/>
      <c r="H6" s="26"/>
      <c r="I6" s="27"/>
      <c r="J6" s="27"/>
      <c r="K6" s="27"/>
      <c r="L6" s="28"/>
      <c r="M6" s="17"/>
      <c r="N6" s="17"/>
      <c r="O6" s="17"/>
      <c r="P6" s="26"/>
      <c r="Q6" s="27"/>
      <c r="R6" s="27"/>
      <c r="S6" s="27"/>
      <c r="T6" s="28"/>
      <c r="U6" s="283"/>
      <c r="V6" s="283"/>
      <c r="W6" s="283"/>
      <c r="X6" s="283"/>
    </row>
    <row r="7" spans="1:24">
      <c r="A7" s="13" t="s">
        <v>39</v>
      </c>
      <c r="B7" s="21">
        <f>B8*3</f>
        <v>4769.2307692307686</v>
      </c>
      <c r="C7" s="21"/>
      <c r="D7" s="21"/>
      <c r="E7" s="17"/>
      <c r="F7" s="17"/>
      <c r="G7" s="17"/>
      <c r="H7" s="26"/>
      <c r="I7" s="27"/>
      <c r="J7" s="27"/>
      <c r="K7" s="27"/>
      <c r="L7" s="28"/>
      <c r="M7" s="17"/>
      <c r="N7" s="17"/>
      <c r="O7" s="17"/>
      <c r="P7" s="26"/>
      <c r="Q7" s="27"/>
      <c r="R7" s="27"/>
      <c r="S7" s="27"/>
      <c r="T7" s="28"/>
      <c r="U7" s="283"/>
      <c r="V7" s="283"/>
      <c r="W7" s="283"/>
      <c r="X7" s="283"/>
    </row>
    <row r="8" spans="1:24">
      <c r="A8" s="13" t="s">
        <v>40</v>
      </c>
      <c r="B8" s="126">
        <f>B9/65%</f>
        <v>1589.7435897435896</v>
      </c>
      <c r="C8" s="21"/>
      <c r="D8" s="21"/>
      <c r="E8" s="17"/>
      <c r="F8" s="17"/>
      <c r="G8" s="17"/>
      <c r="H8" s="26"/>
      <c r="I8" s="27"/>
      <c r="J8" s="27"/>
      <c r="K8" s="27"/>
      <c r="L8" s="28"/>
      <c r="M8" s="17"/>
      <c r="N8" s="17"/>
      <c r="O8" s="17"/>
      <c r="P8" s="26"/>
      <c r="Q8" s="27"/>
      <c r="R8" s="27"/>
      <c r="S8" s="27"/>
      <c r="T8" s="28"/>
      <c r="U8" s="283"/>
      <c r="V8" s="283"/>
      <c r="W8" s="283"/>
      <c r="X8" s="283"/>
    </row>
    <row r="9" spans="1:24">
      <c r="A9" s="13" t="s">
        <v>42</v>
      </c>
      <c r="B9" s="126">
        <f>B5/B6</f>
        <v>1033.3333333333333</v>
      </c>
      <c r="C9" s="21"/>
      <c r="D9" s="21"/>
      <c r="E9" s="17"/>
      <c r="F9" s="17"/>
      <c r="G9" s="17"/>
      <c r="H9" s="26"/>
      <c r="I9" s="27"/>
      <c r="J9" s="27"/>
      <c r="K9" s="27"/>
      <c r="L9" s="28"/>
      <c r="M9" s="17"/>
      <c r="N9" s="17"/>
      <c r="O9" s="17"/>
      <c r="P9" s="26"/>
      <c r="Q9" s="27"/>
      <c r="R9" s="27"/>
      <c r="S9" s="27"/>
      <c r="T9" s="28"/>
      <c r="U9" s="283"/>
      <c r="V9" s="283"/>
      <c r="W9" s="283"/>
      <c r="X9" s="283"/>
    </row>
    <row r="10" spans="1:24">
      <c r="A10" s="13" t="s">
        <v>44</v>
      </c>
      <c r="B10" s="248">
        <v>194</v>
      </c>
      <c r="C10" s="25"/>
      <c r="D10" s="25"/>
      <c r="E10" s="17"/>
      <c r="F10" s="17"/>
      <c r="G10" s="17"/>
      <c r="H10" s="26"/>
      <c r="I10" s="27"/>
      <c r="J10" s="27"/>
      <c r="K10" s="27"/>
      <c r="L10" s="28"/>
      <c r="M10" s="17"/>
      <c r="N10" s="17"/>
      <c r="O10" s="17"/>
      <c r="P10" s="26"/>
      <c r="Q10" s="27"/>
      <c r="R10" s="27"/>
      <c r="S10" s="27"/>
      <c r="T10" s="28"/>
      <c r="U10" s="283"/>
      <c r="V10" s="283"/>
      <c r="W10" s="283"/>
      <c r="X10" s="283"/>
    </row>
    <row r="11" spans="1:24">
      <c r="A11" s="12" t="s">
        <v>53</v>
      </c>
      <c r="B11" s="12"/>
      <c r="C11" s="22">
        <f>SUM(C12:C21)</f>
        <v>169520000</v>
      </c>
      <c r="D11" s="22"/>
      <c r="E11" s="29">
        <f>SUM(E12:E21)</f>
        <v>8064400.6915071113</v>
      </c>
      <c r="F11" s="29">
        <f>SUM(F12:F21)</f>
        <v>12231984.255342819</v>
      </c>
      <c r="G11" s="29">
        <f>SUM(G12:G21)</f>
        <v>9207850.6915071122</v>
      </c>
      <c r="H11" s="29">
        <f>SUM(H12:H21)</f>
        <v>29504235.638357043</v>
      </c>
      <c r="I11" s="29">
        <f>SUM(I12:I21)</f>
        <v>1901455.7316893931</v>
      </c>
      <c r="J11" s="29">
        <f>SUM(J12:J21)</f>
        <v>2218365.020304292</v>
      </c>
      <c r="K11" s="29">
        <f>SUM(K12:K21)</f>
        <v>5088731.2346682493</v>
      </c>
      <c r="L11" s="29">
        <f>SUM(L12:L21)</f>
        <v>9208551.9866619334</v>
      </c>
      <c r="M11" s="29">
        <f>SUM(M12:M21)</f>
        <v>12030582.465248032</v>
      </c>
      <c r="N11" s="29">
        <f>SUM(N12:N21)</f>
        <v>11808702.827355456</v>
      </c>
      <c r="O11" s="29">
        <f>SUM(O12:O21)</f>
        <v>12960357.465248033</v>
      </c>
      <c r="P11" s="29">
        <f>SUM(P12:P21)</f>
        <v>36799642.757851511</v>
      </c>
      <c r="Q11" s="29">
        <f>SUM(Q12:Q21)</f>
        <v>10280821.399368094</v>
      </c>
      <c r="R11" s="29">
        <f>SUM(R12:R21)</f>
        <v>7857616.0495260702</v>
      </c>
      <c r="S11" s="29">
        <f>SUM(S12:S21)</f>
        <v>7269616.0495260702</v>
      </c>
      <c r="T11" s="29">
        <f>SUM(T12:T21)</f>
        <v>25408053.498420235</v>
      </c>
      <c r="U11" s="283"/>
      <c r="V11" s="284"/>
      <c r="W11" s="283"/>
      <c r="X11" s="283"/>
    </row>
    <row r="12" spans="1:24">
      <c r="A12" s="14" t="s">
        <v>58</v>
      </c>
      <c r="B12" s="15" t="s">
        <v>183</v>
      </c>
      <c r="C12" s="30">
        <f>B10*20000*14</f>
        <v>54320000</v>
      </c>
      <c r="D12" s="188">
        <f>C12/$C$11</f>
        <v>0.32043416705993394</v>
      </c>
      <c r="E12" s="17">
        <f>($D12*QuarterBreakup!J$10*'JSW One TMT (2)'!$C$56)</f>
        <v>2422610.69822243</v>
      </c>
      <c r="F12" s="17">
        <f>($D12*QuarterBreakup!K$10*'JSW One TMT (2)'!$C$56)+2444400/2</f>
        <v>4452347.5976299075</v>
      </c>
      <c r="G12" s="17">
        <f>($D12*QuarterBreakup!L$10*'JSW One TMT (2)'!$C$56)+2444400/2</f>
        <v>3644810.69822243</v>
      </c>
      <c r="H12" s="190">
        <f>E12+F12+G12</f>
        <v>10519768.994074767</v>
      </c>
      <c r="I12" s="197"/>
      <c r="J12" s="197"/>
      <c r="K12" s="17">
        <f>($D12*QuarterBreakup!L$16*'JSW One TMT (2)'!$C$56)</f>
        <v>1630603.3545727895</v>
      </c>
      <c r="L12" s="196">
        <f>I12+J12+K12</f>
        <v>1630603.3545727895</v>
      </c>
      <c r="M12" s="17">
        <f>$D12*QuarterBreakup!J$22*'JSW One TMT (2)'!$C$56</f>
        <v>3696034.27036499</v>
      </c>
      <c r="N12" s="17">
        <f>$D12*QuarterBreakup!K$22*'JSW One TMT (2)'!$C$56+2851800/2</f>
        <v>4593929.3745985627</v>
      </c>
      <c r="O12" s="17">
        <f>$D12*QuarterBreakup!L$22*'JSW One TMT (2)'!$C$56+2851800/2</f>
        <v>5121934.2703649905</v>
      </c>
      <c r="P12" s="191">
        <f>M12+N12+O12</f>
        <v>13411897.915328544</v>
      </c>
      <c r="Q12" s="17">
        <f>$D12*QuarterBreakup!J$28*'JSW One TMT (2)'!$C$56</f>
        <v>3105911.1515672188</v>
      </c>
      <c r="R12" s="17">
        <f>$D12*QuarterBreakup!K$28*'JSW One TMT (2)'!$C$56</f>
        <v>2329433.3636754137</v>
      </c>
      <c r="S12" s="17">
        <f>$D12*QuarterBreakup!L$28*'JSW One TMT (2)'!$C$56</f>
        <v>2329433.3636754137</v>
      </c>
      <c r="T12" s="191">
        <f>Q12+R12+S12</f>
        <v>7764777.8789180461</v>
      </c>
      <c r="U12" s="283"/>
      <c r="V12" s="217"/>
      <c r="W12" s="283"/>
      <c r="X12" s="283"/>
    </row>
    <row r="13" spans="1:24" ht="37.5">
      <c r="A13" s="14" t="s">
        <v>61</v>
      </c>
      <c r="B13" s="43" t="s">
        <v>184</v>
      </c>
      <c r="C13" s="30">
        <f>4*3*250000*2</f>
        <v>6000000</v>
      </c>
      <c r="D13" s="188">
        <f t="shared" ref="D13:D21" si="0">C13/$C$11</f>
        <v>3.5394053798961773E-2</v>
      </c>
      <c r="E13" s="17">
        <f>($D13*QuarterBreakup!J$10*'JSW One TMT (2)'!$C$56)</f>
        <v>267593.22881691053</v>
      </c>
      <c r="F13" s="17">
        <f>($D13*QuarterBreakup!K$10*'JSW One TMT (2)'!$C$56)</f>
        <v>356790.97175588075</v>
      </c>
      <c r="G13" s="17">
        <f>($D13*QuarterBreakup!L$10*'JSW One TMT (2)'!$C$56)</f>
        <v>267593.22881691053</v>
      </c>
      <c r="H13" s="190">
        <f>E13+F13+G13</f>
        <v>891977.42938970181</v>
      </c>
      <c r="I13" s="31">
        <f>($D13*QuarterBreakup!J$16*'JSW One TMT (2)'!$C$56)</f>
        <v>154380.70893283299</v>
      </c>
      <c r="J13" s="31">
        <f>($D13*QuarterBreakup!K$16*'JSW One TMT (2)'!$C$56)</f>
        <v>180110.82708830517</v>
      </c>
      <c r="K13" s="31">
        <f>($D13*QuarterBreakup!L$16*'JSW One TMT (2)'!$C$56)</f>
        <v>180110.82708830517</v>
      </c>
      <c r="L13" s="196">
        <f t="shared" ref="L13:L52" si="1">I13+J13+K13</f>
        <v>514602.36310944334</v>
      </c>
      <c r="M13" s="17">
        <f>$D13*QuarterBreakup!J$22*'JSW One TMT (2)'!$C$56</f>
        <v>408251.20806682506</v>
      </c>
      <c r="N13" s="17">
        <f>$D13*QuarterBreakup!K$22*'JSW One TMT (2)'!$C$56</f>
        <v>349929.60691442154</v>
      </c>
      <c r="O13" s="17">
        <f>$D13*QuarterBreakup!L$22*'JSW One TMT (2)'!$C$56</f>
        <v>408251.20806682506</v>
      </c>
      <c r="P13" s="191">
        <f>M13+N13+O13</f>
        <v>1166432.0230480717</v>
      </c>
      <c r="Q13" s="17">
        <f>$D13*QuarterBreakup!J$28*'JSW One TMT (2)'!$C$56</f>
        <v>343068.24207296228</v>
      </c>
      <c r="R13" s="17">
        <f>$D13*QuarterBreakup!K$28*'JSW One TMT (2)'!$C$56</f>
        <v>257301.18155472164</v>
      </c>
      <c r="S13" s="17">
        <f>$D13*QuarterBreakup!L$28*'JSW One TMT (2)'!$C$56</f>
        <v>257301.18155472164</v>
      </c>
      <c r="T13" s="191">
        <f t="shared" ref="T13:T46" si="2">Q13+R13+S13</f>
        <v>857670.60518240556</v>
      </c>
      <c r="U13" s="283"/>
      <c r="V13" s="217"/>
      <c r="W13" s="283"/>
      <c r="X13" s="283"/>
    </row>
    <row r="14" spans="1:24">
      <c r="A14" s="14" t="s">
        <v>64</v>
      </c>
      <c r="B14" s="14" t="s">
        <v>65</v>
      </c>
      <c r="C14" s="30">
        <f>B10*5*50000</f>
        <v>48500000</v>
      </c>
      <c r="D14" s="188">
        <f t="shared" si="0"/>
        <v>0.28610193487494101</v>
      </c>
      <c r="E14" s="17">
        <f>($D14*QuarterBreakup!J$10*'JSW One TMT (2)'!$C$56)</f>
        <v>2163045.2662700266</v>
      </c>
      <c r="F14" s="17">
        <f>($D14*QuarterBreakup!K$10*'JSW One TMT (2)'!$C$56)</f>
        <v>2884060.3550267029</v>
      </c>
      <c r="G14" s="17">
        <f>($D14*QuarterBreakup!L$10*'JSW One TMT (2)'!$C$56)</f>
        <v>2163045.2662700266</v>
      </c>
      <c r="H14" s="190">
        <f>E14+F14+G14</f>
        <v>7210150.8875667565</v>
      </c>
      <c r="I14" s="31">
        <f>($D14*QuarterBreakup!J$16*'JSW One TMT (2)'!$C$56)</f>
        <v>1247910.7305403999</v>
      </c>
      <c r="J14" s="31">
        <f>($D14*QuarterBreakup!K$16*'JSW One TMT (2)'!$C$56)</f>
        <v>1455895.8522971333</v>
      </c>
      <c r="K14" s="31">
        <f>($D14*QuarterBreakup!L$16*'JSW One TMT (2)'!$C$56)</f>
        <v>1455895.8522971333</v>
      </c>
      <c r="L14" s="196">
        <f t="shared" si="1"/>
        <v>4159702.4351346665</v>
      </c>
      <c r="M14" s="17">
        <f>$D14*QuarterBreakup!J$22*'JSW One TMT (2)'!$C$56</f>
        <v>3300030.5985401692</v>
      </c>
      <c r="N14" s="17">
        <f>$D14*QuarterBreakup!K$22*'JSW One TMT (2)'!$C$56</f>
        <v>2828597.655891574</v>
      </c>
      <c r="O14" s="17">
        <f>$D14*QuarterBreakup!L$22*'JSW One TMT (2)'!$C$56</f>
        <v>3300030.5985401692</v>
      </c>
      <c r="P14" s="191">
        <f>M14+N14+O14</f>
        <v>9428658.8529719114</v>
      </c>
      <c r="Q14" s="17">
        <f>$D14*QuarterBreakup!J$28*'JSW One TMT (2)'!$C$56</f>
        <v>2773134.9567564451</v>
      </c>
      <c r="R14" s="17">
        <f>$D14*QuarterBreakup!K$28*'JSW One TMT (2)'!$C$56</f>
        <v>2079851.2175673335</v>
      </c>
      <c r="S14" s="17">
        <f>$D14*QuarterBreakup!L$28*'JSW One TMT (2)'!$C$56</f>
        <v>2079851.2175673335</v>
      </c>
      <c r="T14" s="191">
        <f t="shared" si="2"/>
        <v>6932837.3918911126</v>
      </c>
      <c r="U14" s="283"/>
      <c r="V14" s="217"/>
      <c r="W14" s="283"/>
      <c r="X14" s="283"/>
    </row>
    <row r="15" spans="1:24" ht="24.75">
      <c r="A15" s="14" t="s">
        <v>67</v>
      </c>
      <c r="B15" s="43" t="s">
        <v>170</v>
      </c>
      <c r="C15" s="30">
        <f>4*3*600000*2</f>
        <v>14400000</v>
      </c>
      <c r="D15" s="188">
        <f t="shared" si="0"/>
        <v>8.4945729117508265E-2</v>
      </c>
      <c r="E15" s="17">
        <f>($D15*QuarterBreakup!J$10*'JSW One TMT (2)'!$C$56)</f>
        <v>642223.74916058523</v>
      </c>
      <c r="F15" s="17">
        <f>($D15*QuarterBreakup!K$10*'JSW One TMT (2)'!$C$56)</f>
        <v>856298.33221411391</v>
      </c>
      <c r="G15" s="17">
        <f>($D15*QuarterBreakup!L$10*'JSW One TMT (2)'!$C$56)</f>
        <v>642223.74916058523</v>
      </c>
      <c r="H15" s="191">
        <f>E15+F15+G15</f>
        <v>2140745.8305352842</v>
      </c>
      <c r="I15" s="31">
        <f>($D15*QuarterBreakup!J$16*'JSW One TMT (2)'!$C$56)</f>
        <v>370513.70143879921</v>
      </c>
      <c r="J15" s="31">
        <f>($D15*QuarterBreakup!K$16*'JSW One TMT (2)'!$C$56)</f>
        <v>432265.98501193238</v>
      </c>
      <c r="K15" s="31">
        <f>($D15*QuarterBreakup!L$16*'JSW One TMT (2)'!$C$56)</f>
        <v>432265.98501193238</v>
      </c>
      <c r="L15" s="196">
        <f t="shared" si="1"/>
        <v>1235045.6714626639</v>
      </c>
      <c r="M15" s="17">
        <f>$D15*QuarterBreakup!J$22*'JSW One TMT (2)'!$C$56</f>
        <v>979802.89936038025</v>
      </c>
      <c r="N15" s="17">
        <f>$D15*QuarterBreakup!K$22*'JSW One TMT (2)'!$C$56</f>
        <v>839831.05659461173</v>
      </c>
      <c r="O15" s="17">
        <f>$D15*QuarterBreakup!L$22*'JSW One TMT (2)'!$C$56</f>
        <v>979802.89936038025</v>
      </c>
      <c r="P15" s="191">
        <f>M15+N15+O15</f>
        <v>2799436.8553153723</v>
      </c>
      <c r="Q15" s="17">
        <f>$D15*QuarterBreakup!J$28*'JSW One TMT (2)'!$C$56</f>
        <v>823363.78097510955</v>
      </c>
      <c r="R15" s="17">
        <f>$D15*QuarterBreakup!K$28*'JSW One TMT (2)'!$C$56</f>
        <v>617522.83573133207</v>
      </c>
      <c r="S15" s="17">
        <f>$D15*QuarterBreakup!L$28*'JSW One TMT (2)'!$C$56</f>
        <v>617522.83573133207</v>
      </c>
      <c r="T15" s="191">
        <f t="shared" si="2"/>
        <v>2058409.4524377738</v>
      </c>
      <c r="U15" s="283"/>
      <c r="V15" s="217"/>
      <c r="W15" s="283"/>
      <c r="X15" s="283"/>
    </row>
    <row r="16" spans="1:24" ht="24.75">
      <c r="A16" s="15" t="s">
        <v>70</v>
      </c>
      <c r="B16" s="15" t="s">
        <v>71</v>
      </c>
      <c r="C16" s="33">
        <v>5000000</v>
      </c>
      <c r="D16" s="188">
        <f t="shared" si="0"/>
        <v>2.9495044832468145E-2</v>
      </c>
      <c r="E16" s="17">
        <f>($D16*QuarterBreakup!J$10*'JSW One TMT (2)'!$C$56)</f>
        <v>222994.35734742542</v>
      </c>
      <c r="F16" s="17">
        <f>($D16*QuarterBreakup!K$10*'JSW One TMT (2)'!$C$56)</f>
        <v>297325.80979656725</v>
      </c>
      <c r="G16" s="17">
        <f>($D16*QuarterBreakup!L$10*'JSW One TMT (2)'!$C$56)</f>
        <v>222994.35734742542</v>
      </c>
      <c r="H16" s="191">
        <f>E16+F16+G16</f>
        <v>743314.52449141815</v>
      </c>
      <c r="I16" s="31">
        <f>($D16*QuarterBreakup!J$16*'JSW One TMT (2)'!$C$56)</f>
        <v>128650.59077736082</v>
      </c>
      <c r="J16" s="31">
        <f>($D16*QuarterBreakup!K$16*'JSW One TMT (2)'!$C$56)</f>
        <v>150092.35590692094</v>
      </c>
      <c r="K16" s="31">
        <f>($D16*QuarterBreakup!L$16*'JSW One TMT (2)'!$C$56)</f>
        <v>150092.35590692094</v>
      </c>
      <c r="L16" s="196">
        <f t="shared" si="1"/>
        <v>428835.30259120266</v>
      </c>
      <c r="M16" s="17">
        <f>$D16*QuarterBreakup!J$22*'JSW One TMT (2)'!$C$56</f>
        <v>340209.34005568753</v>
      </c>
      <c r="N16" s="17">
        <f>$D16*QuarterBreakup!K$22*'JSW One TMT (2)'!$C$56</f>
        <v>291608.00576201797</v>
      </c>
      <c r="O16" s="17">
        <f>$D16*QuarterBreakup!L$22*'JSW One TMT (2)'!$C$56</f>
        <v>340209.34005568753</v>
      </c>
      <c r="P16" s="191">
        <f>M16+N16+O16</f>
        <v>972026.68587339297</v>
      </c>
      <c r="Q16" s="17">
        <f>$D16*QuarterBreakup!J$28*'JSW One TMT (2)'!$C$56</f>
        <v>285890.20172746858</v>
      </c>
      <c r="R16" s="17">
        <f>$D16*QuarterBreakup!K$28*'JSW One TMT (2)'!$C$56</f>
        <v>214417.65129560139</v>
      </c>
      <c r="S16" s="17">
        <f>$D16*QuarterBreakup!L$28*'JSW One TMT (2)'!$C$56</f>
        <v>214417.65129560139</v>
      </c>
      <c r="T16" s="191">
        <f t="shared" si="2"/>
        <v>714725.5043186713</v>
      </c>
      <c r="U16" s="283"/>
      <c r="V16" s="217"/>
      <c r="W16" s="283"/>
      <c r="X16" s="283"/>
    </row>
    <row r="17" spans="1:24">
      <c r="A17" s="220" t="s">
        <v>73</v>
      </c>
      <c r="B17" s="220" t="s">
        <v>74</v>
      </c>
      <c r="C17" s="222">
        <v>0</v>
      </c>
      <c r="D17" s="188">
        <f t="shared" si="0"/>
        <v>0</v>
      </c>
      <c r="E17" s="17">
        <f>($D17*QuarterBreakup!J$10*'JSW One TMT (2)'!$C$56)</f>
        <v>0</v>
      </c>
      <c r="F17" s="17">
        <f>($D17*QuarterBreakup!K$10*'JSW One TMT (2)'!$C$56)</f>
        <v>0</v>
      </c>
      <c r="G17" s="17">
        <f>($D17*QuarterBreakup!L$10*'JSW One TMT (2)'!$C$56)</f>
        <v>0</v>
      </c>
      <c r="H17" s="191">
        <f>E17+F17+G17</f>
        <v>0</v>
      </c>
      <c r="I17" s="243">
        <f>($D17*QuarterBreakup!J$16*'JSW One TMT (2)'!$C$56)</f>
        <v>0</v>
      </c>
      <c r="J17" s="243">
        <f>($D17*QuarterBreakup!K$16*'JSW One TMT (2)'!$C$56)</f>
        <v>0</v>
      </c>
      <c r="K17" s="31">
        <f>($D17*QuarterBreakup!L$16*'JSW One TMT (2)'!$C$56)</f>
        <v>0</v>
      </c>
      <c r="L17" s="196">
        <f t="shared" si="1"/>
        <v>0</v>
      </c>
      <c r="M17" s="17">
        <f>$D17*QuarterBreakup!J$22*'JSW One TMT (2)'!$C$56</f>
        <v>0</v>
      </c>
      <c r="N17" s="17">
        <f>$D17*QuarterBreakup!K$22*'JSW One TMT (2)'!$C$56</f>
        <v>0</v>
      </c>
      <c r="O17" s="17">
        <f>$D17*QuarterBreakup!L$22*'JSW One TMT (2)'!$C$56</f>
        <v>0</v>
      </c>
      <c r="P17" s="191">
        <f>M17+N17+O17</f>
        <v>0</v>
      </c>
      <c r="Q17" s="17">
        <f>$D17*QuarterBreakup!J$28*'JSW One TMT (2)'!$C$56</f>
        <v>0</v>
      </c>
      <c r="R17" s="17">
        <f>$D17*QuarterBreakup!K$28*'JSW One TMT (2)'!$C$56</f>
        <v>0</v>
      </c>
      <c r="S17" s="17">
        <f>$D17*QuarterBreakup!L$28*'JSW One TMT (2)'!$C$56</f>
        <v>0</v>
      </c>
      <c r="T17" s="191">
        <f t="shared" si="2"/>
        <v>0</v>
      </c>
      <c r="U17" s="283"/>
      <c r="V17" s="217"/>
      <c r="W17" s="283"/>
      <c r="X17" s="283"/>
    </row>
    <row r="18" spans="1:24" ht="24.75">
      <c r="A18" s="15" t="s">
        <v>75</v>
      </c>
      <c r="B18" s="43" t="s">
        <v>76</v>
      </c>
      <c r="C18" s="33">
        <f>15*3*7000*60</f>
        <v>18900000</v>
      </c>
      <c r="D18" s="188">
        <f t="shared" si="0"/>
        <v>0.11149126946672959</v>
      </c>
      <c r="E18" s="17">
        <f>($D18*QuarterBreakup!J$10*'JSW One TMT (2)'!$C$56)</f>
        <v>842918.67077326821</v>
      </c>
      <c r="F18" s="17">
        <f>($D18*QuarterBreakup!K$10*'JSW One TMT (2)'!$C$56)+850500/2</f>
        <v>1549141.5610310244</v>
      </c>
      <c r="G18" s="17">
        <f>($D18*QuarterBreakup!L$10*'JSW One TMT (2)'!$C$56)+850500/2</f>
        <v>1268168.6707732682</v>
      </c>
      <c r="H18" s="191">
        <f>E18+F18+G18</f>
        <v>3660228.9025775609</v>
      </c>
      <c r="I18" s="197"/>
      <c r="J18" s="197"/>
      <c r="K18" s="17">
        <f>($D18*QuarterBreakup!L$16*'JSW One TMT (2)'!$C$56)</f>
        <v>567349.10532816127</v>
      </c>
      <c r="L18" s="196">
        <f t="shared" si="1"/>
        <v>567349.10532816127</v>
      </c>
      <c r="M18" s="17">
        <f>$D18*QuarterBreakup!J$22*'JSW One TMT (2)'!$C$56+992250/2</f>
        <v>1782116.305410499</v>
      </c>
      <c r="N18" s="17">
        <f>$D18*QuarterBreakup!K$22*'JSW One TMT (2)'!$C$56+992250/2</f>
        <v>1598403.2617804278</v>
      </c>
      <c r="O18" s="17">
        <f>$D18*QuarterBreakup!L$22*'JSW One TMT (2)'!$C$56</f>
        <v>1285991.305410499</v>
      </c>
      <c r="P18" s="191">
        <f>M18+N18+O18</f>
        <v>4666510.8726014253</v>
      </c>
      <c r="Q18" s="17">
        <f>$D18*QuarterBreakup!J$28*'JSW One TMT (2)'!$C$56</f>
        <v>1080664.9625298311</v>
      </c>
      <c r="R18" s="17">
        <f>$D18*QuarterBreakup!K$28*'JSW One TMT (2)'!$C$56</f>
        <v>810498.72189737321</v>
      </c>
      <c r="S18" s="17">
        <f>$D18*QuarterBreakup!L$28*'JSW One TMT (2)'!$C$56</f>
        <v>810498.72189737321</v>
      </c>
      <c r="T18" s="191">
        <f t="shared" si="2"/>
        <v>2701662.4063245775</v>
      </c>
      <c r="U18" s="283"/>
      <c r="V18" s="217"/>
      <c r="W18" s="283"/>
      <c r="X18" s="283"/>
    </row>
    <row r="19" spans="1:24" ht="24.75">
      <c r="A19" s="220" t="s">
        <v>77</v>
      </c>
      <c r="B19" s="219" t="s">
        <v>78</v>
      </c>
      <c r="C19" s="222">
        <v>0</v>
      </c>
      <c r="D19" s="188">
        <f t="shared" si="0"/>
        <v>0</v>
      </c>
      <c r="E19" s="17">
        <f>($D19*QuarterBreakup!J$10*'JSW One TMT (2)'!$C$56)</f>
        <v>0</v>
      </c>
      <c r="F19" s="17">
        <f>($D19*QuarterBreakup!K$10*'JSW One TMT (2)'!$C$56)</f>
        <v>0</v>
      </c>
      <c r="G19" s="17">
        <f>($D19*QuarterBreakup!L$10*'JSW One TMT (2)'!$C$56)</f>
        <v>0</v>
      </c>
      <c r="H19" s="191">
        <f>E19+F19+G19</f>
        <v>0</v>
      </c>
      <c r="I19" s="243">
        <f>($D19*QuarterBreakup!J$16*'JSW One TMT (2)'!$C$56)</f>
        <v>0</v>
      </c>
      <c r="J19" s="243"/>
      <c r="K19" s="31">
        <f>($D19*QuarterBreakup!L$16*'JSW One TMT (2)'!$C$56)</f>
        <v>0</v>
      </c>
      <c r="L19" s="196">
        <f t="shared" si="1"/>
        <v>0</v>
      </c>
      <c r="M19" s="17">
        <f>$D19*QuarterBreakup!J$22*'JSW One TMT (2)'!$C$56</f>
        <v>0</v>
      </c>
      <c r="N19" s="17">
        <f>$D19*QuarterBreakup!K$22*'JSW One TMT (2)'!$C$56</f>
        <v>0</v>
      </c>
      <c r="O19" s="17">
        <f>$D19*QuarterBreakup!L$22*'JSW One TMT (2)'!$C$56</f>
        <v>0</v>
      </c>
      <c r="P19" s="191">
        <f>M19+N19+O19</f>
        <v>0</v>
      </c>
      <c r="Q19" s="17">
        <f>$D19*QuarterBreakup!J$28*'JSW One TMT (2)'!$C$56</f>
        <v>0</v>
      </c>
      <c r="R19" s="17">
        <f>$D19*QuarterBreakup!K$28*'JSW One TMT (2)'!$C$56</f>
        <v>0</v>
      </c>
      <c r="S19" s="17">
        <f>$D19*QuarterBreakup!L$28*'JSW One TMT (2)'!$C$56</f>
        <v>0</v>
      </c>
      <c r="T19" s="191">
        <f t="shared" si="2"/>
        <v>0</v>
      </c>
      <c r="U19" s="283"/>
      <c r="V19" s="217"/>
      <c r="W19" s="283"/>
      <c r="X19" s="283"/>
    </row>
    <row r="20" spans="1:24" ht="24.75">
      <c r="A20" s="16" t="s">
        <v>185</v>
      </c>
      <c r="B20" s="43" t="s">
        <v>186</v>
      </c>
      <c r="C20" s="34">
        <f>8*2*2000*700</f>
        <v>22400000</v>
      </c>
      <c r="D20" s="188">
        <f>C20/$C$11</f>
        <v>0.13213780084945728</v>
      </c>
      <c r="E20" s="17">
        <f>($D20*QuarterBreakup!J$10*'JSW One TMT (2)'!$C$56)+1008000/2</f>
        <v>1503014.7209164659</v>
      </c>
      <c r="F20" s="17">
        <f>($D20*QuarterBreakup!K$10*'JSW One TMT (2)'!$C$56)+1008000/2</f>
        <v>1836019.6278886215</v>
      </c>
      <c r="G20" s="17">
        <f>($D20*QuarterBreakup!L$10*'JSW One TMT (2)'!$C$56)</f>
        <v>999014.72091646597</v>
      </c>
      <c r="H20" s="191">
        <f>E20+F20+G20</f>
        <v>4338049.0697215535</v>
      </c>
      <c r="I20" s="197"/>
      <c r="J20" s="197"/>
      <c r="K20" s="17">
        <f>($D20*QuarterBreakup!L$16*'JSW One TMT (2)'!$C$56)</f>
        <v>672413.75446300593</v>
      </c>
      <c r="L20" s="196">
        <f t="shared" si="1"/>
        <v>672413.75446300593</v>
      </c>
      <c r="M20" s="17">
        <f>$D20*QuarterBreakup!J$22*'JSW One TMT (2)'!$C$56</f>
        <v>1524137.8434494801</v>
      </c>
      <c r="N20" s="17">
        <f>$D20*QuarterBreakup!K$22*'JSW One TMT (2)'!$C$56</f>
        <v>1306403.8658138402</v>
      </c>
      <c r="O20" s="17">
        <f>$D20*QuarterBreakup!L$22*'JSW One TMT (2)'!$C$56</f>
        <v>1524137.8434494801</v>
      </c>
      <c r="P20" s="191">
        <f>M20+N20+O20</f>
        <v>4354679.5527128</v>
      </c>
      <c r="Q20" s="17">
        <f>$D20*QuarterBreakup!J$28*'JSW One TMT (2)'!$C$56+1176000/2</f>
        <v>1868788.1037390591</v>
      </c>
      <c r="R20" s="17">
        <f>$D20*QuarterBreakup!K$28*'JSW One TMT (2)'!$C$56+1176000/2</f>
        <v>1548591.0778042942</v>
      </c>
      <c r="S20" s="17">
        <f>$D20*QuarterBreakup!L$28*'JSW One TMT (2)'!$C$56</f>
        <v>960591.07780429418</v>
      </c>
      <c r="T20" s="191">
        <f t="shared" si="2"/>
        <v>4377970.2593476474</v>
      </c>
      <c r="U20" s="283"/>
      <c r="V20" s="217"/>
      <c r="W20" s="283"/>
      <c r="X20" s="283"/>
    </row>
    <row r="21" spans="1:24">
      <c r="A21" s="221" t="s">
        <v>172</v>
      </c>
      <c r="B21" s="219" t="s">
        <v>187</v>
      </c>
      <c r="C21" s="223">
        <v>0</v>
      </c>
      <c r="D21" s="188">
        <f t="shared" si="0"/>
        <v>0</v>
      </c>
      <c r="E21" s="17">
        <f>($D21*QuarterBreakup!J$10*'JSW One TMT (2)'!$C$56)</f>
        <v>0</v>
      </c>
      <c r="F21" s="17">
        <f>($D21*QuarterBreakup!K$10*'JSW One TMT (2)'!$C$56)</f>
        <v>0</v>
      </c>
      <c r="G21" s="17">
        <f>($D21*QuarterBreakup!L$10*'JSW One TMT (2)'!$C$56)</f>
        <v>0</v>
      </c>
      <c r="H21" s="191">
        <f>E21+F21+G21</f>
        <v>0</v>
      </c>
      <c r="I21" s="243">
        <f>($D21*QuarterBreakup!J$16*'JSW One TMT (2)'!$C$56)</f>
        <v>0</v>
      </c>
      <c r="J21" s="243">
        <f>($D21*QuarterBreakup!K$16*'JSW One TMT (2)'!$C$56)</f>
        <v>0</v>
      </c>
      <c r="K21" s="31">
        <f>($D21*QuarterBreakup!L$16*'JSW One TMT (2)'!$C$56)</f>
        <v>0</v>
      </c>
      <c r="L21" s="196">
        <f t="shared" si="1"/>
        <v>0</v>
      </c>
      <c r="M21" s="17">
        <f>$D21*QuarterBreakup!J$22*'JSW One TMT (2)'!$C$56</f>
        <v>0</v>
      </c>
      <c r="N21" s="17">
        <f>$D21*QuarterBreakup!K$22*'JSW One TMT (2)'!$C$56</f>
        <v>0</v>
      </c>
      <c r="O21" s="17">
        <f>$D21*QuarterBreakup!L$22*'JSW One TMT (2)'!$C$56</f>
        <v>0</v>
      </c>
      <c r="P21" s="191">
        <f>M21+N21+O21</f>
        <v>0</v>
      </c>
      <c r="Q21" s="17">
        <f>$D21*QuarterBreakup!J$28*'JSW One TMT (2)'!$C$56</f>
        <v>0</v>
      </c>
      <c r="R21" s="17">
        <f>$D21*QuarterBreakup!K$28*'JSW One TMT (2)'!$C$56</f>
        <v>0</v>
      </c>
      <c r="S21" s="17">
        <f>$D21*QuarterBreakup!L$28*'JSW One TMT (2)'!$C$56</f>
        <v>0</v>
      </c>
      <c r="T21" s="191">
        <f t="shared" si="2"/>
        <v>0</v>
      </c>
      <c r="U21" s="283"/>
      <c r="V21" s="217"/>
      <c r="W21" s="283"/>
      <c r="X21" s="283"/>
    </row>
    <row r="22" spans="1:24">
      <c r="A22" s="12" t="s">
        <v>81</v>
      </c>
      <c r="B22" s="12"/>
      <c r="C22" s="22">
        <f>SUM(C23:C41)</f>
        <v>130827564.10256411</v>
      </c>
      <c r="D22" s="22"/>
      <c r="E22" s="29">
        <f>SUM(E23:E41)</f>
        <v>5639784.5984979449</v>
      </c>
      <c r="F22" s="29">
        <f t="shared" ref="F22:T22" si="3">SUM(F23:F41)</f>
        <v>7519712.7979972623</v>
      </c>
      <c r="G22" s="29">
        <f t="shared" si="3"/>
        <v>5639784.5984979449</v>
      </c>
      <c r="H22" s="29">
        <f t="shared" si="3"/>
        <v>18799281.994993154</v>
      </c>
      <c r="I22" s="29">
        <f t="shared" si="3"/>
        <v>3253721.8837488145</v>
      </c>
      <c r="J22" s="29">
        <f t="shared" si="3"/>
        <v>3796008.8643736164</v>
      </c>
      <c r="K22" s="29">
        <f t="shared" si="3"/>
        <v>3796008.8643736164</v>
      </c>
      <c r="L22" s="29">
        <f t="shared" si="3"/>
        <v>10845739.612496046</v>
      </c>
      <c r="M22" s="29">
        <f t="shared" si="3"/>
        <v>10194030.348990455</v>
      </c>
      <c r="N22" s="29">
        <f t="shared" si="3"/>
        <v>7375102.936497313</v>
      </c>
      <c r="O22" s="29">
        <f t="shared" si="3"/>
        <v>9796594.4515545592</v>
      </c>
      <c r="P22" s="29">
        <f t="shared" si="3"/>
        <v>27365727.737042326</v>
      </c>
      <c r="Q22" s="29">
        <f t="shared" si="3"/>
        <v>8820236.6647409555</v>
      </c>
      <c r="R22" s="29">
        <f t="shared" si="3"/>
        <v>5422869.8062480232</v>
      </c>
      <c r="S22" s="29">
        <f t="shared" si="3"/>
        <v>5422869.8062480232</v>
      </c>
      <c r="T22" s="29">
        <f t="shared" si="3"/>
        <v>19665976.277237006</v>
      </c>
      <c r="U22" s="283"/>
      <c r="V22" s="217"/>
      <c r="W22" s="283"/>
      <c r="X22" s="283"/>
    </row>
    <row r="23" spans="1:24" ht="24.75">
      <c r="A23" s="14" t="s">
        <v>83</v>
      </c>
      <c r="B23" s="14" t="s">
        <v>84</v>
      </c>
      <c r="C23" s="30">
        <f>(B8*0.5)*40*30</f>
        <v>953846.15384615376</v>
      </c>
      <c r="D23" s="188">
        <f>C23/$C$22</f>
        <v>7.2908653492804671E-3</v>
      </c>
      <c r="E23" s="17">
        <f>QuarterBreakup!J$10*'JSW One TMT (2)'!$C$57*'JSW One TMT (2)'!$D23</f>
        <v>42540.462017047321</v>
      </c>
      <c r="F23" s="17">
        <f>QuarterBreakup!K$10*'JSW One TMT (2)'!$C$57*'JSW One TMT (2)'!$D23</f>
        <v>56720.616022729773</v>
      </c>
      <c r="G23" s="17">
        <f>QuarterBreakup!L$10*'JSW One TMT (2)'!$C$57*'JSW One TMT (2)'!$D23</f>
        <v>42540.462017047321</v>
      </c>
      <c r="H23" s="31">
        <f>SUM(E23:G23)</f>
        <v>141801.54005682439</v>
      </c>
      <c r="I23" s="17">
        <f>QuarterBreakup!J$16*'JSW One TMT (2)'!$C$57*'JSW One TMT (2)'!$D23</f>
        <v>24542.574240604219</v>
      </c>
      <c r="J23" s="17">
        <f>QuarterBreakup!K$16*'JSW One TMT (2)'!$C$57*'JSW One TMT (2)'!$D23</f>
        <v>28633.003280704925</v>
      </c>
      <c r="K23" s="17">
        <f>QuarterBreakup!L$16*'JSW One TMT (2)'!$C$57*'JSW One TMT (2)'!$D23</f>
        <v>28633.003280704925</v>
      </c>
      <c r="L23" s="28">
        <f t="shared" si="1"/>
        <v>81808.580802014068</v>
      </c>
      <c r="M23" s="17">
        <f>QuarterBreakup!J$22*'JSW One TMT (2)'!$C$57*'JSW One TMT (2)'!$D23</f>
        <v>64901.474102931177</v>
      </c>
      <c r="N23" s="17">
        <f>QuarterBreakup!K$22*'JSW One TMT (2)'!$C$57*'JSW One TMT (2)'!$D23</f>
        <v>55629.834945369577</v>
      </c>
      <c r="O23" s="17">
        <f>QuarterBreakup!L$22*'JSW One TMT (2)'!$C$57*'JSW One TMT (2)'!$D23</f>
        <v>64901.474102931177</v>
      </c>
      <c r="P23" s="26">
        <f>SUM(M23:O23)</f>
        <v>185432.78315123194</v>
      </c>
      <c r="Q23" s="17">
        <f>QuarterBreakup!J$28*'JSW One TMT (2)'!$C$57*'JSW One TMT (2)'!$D23</f>
        <v>54539.053868009396</v>
      </c>
      <c r="R23" s="17">
        <f>QuarterBreakup!K$28*'JSW One TMT (2)'!$C$57*'JSW One TMT (2)'!$D23</f>
        <v>40904.290401007042</v>
      </c>
      <c r="S23" s="17">
        <f>QuarterBreakup!L$28*'JSW One TMT (2)'!$C$57*'JSW One TMT (2)'!$D23</f>
        <v>40904.290401007042</v>
      </c>
      <c r="T23" s="191">
        <f t="shared" si="2"/>
        <v>136347.63467002349</v>
      </c>
      <c r="U23" s="283"/>
      <c r="V23" s="217"/>
      <c r="W23" s="283"/>
      <c r="X23" s="283"/>
    </row>
    <row r="24" spans="1:24" ht="24.75">
      <c r="A24" s="14" t="s">
        <v>85</v>
      </c>
      <c r="B24" s="14" t="s">
        <v>86</v>
      </c>
      <c r="C24" s="30">
        <f>(B8*0.25)*(180*30+65*18)</f>
        <v>2611153.846153846</v>
      </c>
      <c r="D24" s="188">
        <f t="shared" ref="D24:D41" si="4">C24/$C$22</f>
        <v>1.9958743893655279E-2</v>
      </c>
      <c r="E24" s="17">
        <f>QuarterBreakup!J$10*'JSW One TMT (2)'!$C$57*'JSW One TMT (2)'!$D24</f>
        <v>116454.51477166703</v>
      </c>
      <c r="F24" s="17">
        <f>QuarterBreakup!K$10*'JSW One TMT (2)'!$C$57*'JSW One TMT (2)'!$D24</f>
        <v>155272.68636222274</v>
      </c>
      <c r="G24" s="17">
        <f>QuarterBreakup!L$10*'JSW One TMT (2)'!$C$57*'JSW One TMT (2)'!$D24</f>
        <v>116454.51477166703</v>
      </c>
      <c r="H24" s="26">
        <f t="shared" ref="H24:H41" si="5">SUM(E24:G24)</f>
        <v>388181.7159055568</v>
      </c>
      <c r="I24" s="17">
        <f>QuarterBreakup!J$16*'JSW One TMT (2)'!$C$57*'JSW One TMT (2)'!$D24</f>
        <v>67185.296983654058</v>
      </c>
      <c r="J24" s="17">
        <f>QuarterBreakup!K$16*'JSW One TMT (2)'!$C$57*'JSW One TMT (2)'!$D24</f>
        <v>78382.846480929744</v>
      </c>
      <c r="K24" s="17">
        <f>QuarterBreakup!L$16*'JSW One TMT (2)'!$C$57*'JSW One TMT (2)'!$D24</f>
        <v>78382.846480929744</v>
      </c>
      <c r="L24" s="28">
        <f t="shared" si="1"/>
        <v>223950.98994551355</v>
      </c>
      <c r="M24" s="17">
        <f>QuarterBreakup!J$22*'JSW One TMT (2)'!$C$57*'JSW One TMT (2)'!$D24</f>
        <v>177667.78535677411</v>
      </c>
      <c r="N24" s="17">
        <f>QuarterBreakup!K$22*'JSW One TMT (2)'!$C$57*'JSW One TMT (2)'!$D24</f>
        <v>152286.67316294924</v>
      </c>
      <c r="O24" s="17">
        <f>QuarterBreakup!L$22*'JSW One TMT (2)'!$C$57*'JSW One TMT (2)'!$D24</f>
        <v>177667.78535677411</v>
      </c>
      <c r="P24" s="26">
        <f>SUM(M24:O24)</f>
        <v>507622.24387649749</v>
      </c>
      <c r="Q24" s="17">
        <f>QuarterBreakup!J$28*'JSW One TMT (2)'!$C$57*'JSW One TMT (2)'!$D24</f>
        <v>149300.65996367572</v>
      </c>
      <c r="R24" s="17">
        <f>QuarterBreakup!K$28*'JSW One TMT (2)'!$C$57*'JSW One TMT (2)'!$D24</f>
        <v>111975.49497275677</v>
      </c>
      <c r="S24" s="17">
        <f>QuarterBreakup!L$28*'JSW One TMT (2)'!$C$57*'JSW One TMT (2)'!$D24</f>
        <v>111975.49497275677</v>
      </c>
      <c r="T24" s="191">
        <f t="shared" si="2"/>
        <v>373251.64990918926</v>
      </c>
      <c r="U24" s="283"/>
      <c r="V24" s="217"/>
      <c r="W24" s="283"/>
      <c r="X24" s="283"/>
    </row>
    <row r="25" spans="1:24">
      <c r="A25" s="14" t="s">
        <v>87</v>
      </c>
      <c r="B25" s="14" t="s">
        <v>88</v>
      </c>
      <c r="C25" s="30">
        <f>(B8*0.2)*10000</f>
        <v>3179487.1794871795</v>
      </c>
      <c r="D25" s="188">
        <f t="shared" si="4"/>
        <v>2.4302884497601557E-2</v>
      </c>
      <c r="E25" s="17">
        <f>QuarterBreakup!J$10*'JSW One TMT (2)'!$C$57*'JSW One TMT (2)'!$D25</f>
        <v>141801.54005682439</v>
      </c>
      <c r="F25" s="17">
        <f>QuarterBreakup!K$10*'JSW One TMT (2)'!$C$57*'JSW One TMT (2)'!$D25</f>
        <v>189068.72007576592</v>
      </c>
      <c r="G25" s="17">
        <f>QuarterBreakup!L$10*'JSW One TMT (2)'!$C$57*'JSW One TMT (2)'!$D25</f>
        <v>141801.54005682439</v>
      </c>
      <c r="H25" s="26">
        <f t="shared" si="5"/>
        <v>472671.8001894147</v>
      </c>
      <c r="I25" s="17">
        <f>QuarterBreakup!J$16*'JSW One TMT (2)'!$C$57*'JSW One TMT (2)'!$D25</f>
        <v>81808.580802014068</v>
      </c>
      <c r="J25" s="17">
        <f>QuarterBreakup!K$16*'JSW One TMT (2)'!$C$57*'JSW One TMT (2)'!$D25</f>
        <v>95443.344269016423</v>
      </c>
      <c r="K25" s="17">
        <f>QuarterBreakup!L$16*'JSW One TMT (2)'!$C$57*'JSW One TMT (2)'!$D25</f>
        <v>95443.344269016423</v>
      </c>
      <c r="L25" s="28">
        <f t="shared" si="1"/>
        <v>272695.26934004691</v>
      </c>
      <c r="M25" s="17">
        <f>QuarterBreakup!J$22*'JSW One TMT (2)'!$C$57*'JSW One TMT (2)'!$D25</f>
        <v>216338.2470097706</v>
      </c>
      <c r="N25" s="17">
        <f>QuarterBreakup!K$22*'JSW One TMT (2)'!$C$57*'JSW One TMT (2)'!$D25</f>
        <v>185432.78315123194</v>
      </c>
      <c r="O25" s="17">
        <f>QuarterBreakup!L$22*'JSW One TMT (2)'!$C$57*'JSW One TMT (2)'!$D25</f>
        <v>216338.2470097706</v>
      </c>
      <c r="P25" s="26">
        <f>SUM(M25:O25)</f>
        <v>618109.27717077313</v>
      </c>
      <c r="Q25" s="17">
        <f>QuarterBreakup!J$28*'JSW One TMT (2)'!$C$57*'JSW One TMT (2)'!$D25</f>
        <v>181796.84622669799</v>
      </c>
      <c r="R25" s="17">
        <f>QuarterBreakup!K$28*'JSW One TMT (2)'!$C$57*'JSW One TMT (2)'!$D25</f>
        <v>136347.63467002346</v>
      </c>
      <c r="S25" s="17">
        <f>QuarterBreakup!L$28*'JSW One TMT (2)'!$C$57*'JSW One TMT (2)'!$D25</f>
        <v>136347.63467002346</v>
      </c>
      <c r="T25" s="191">
        <f t="shared" si="2"/>
        <v>454492.11556674493</v>
      </c>
      <c r="U25" s="283"/>
      <c r="V25" s="217"/>
      <c r="W25" s="283"/>
      <c r="X25" s="283"/>
    </row>
    <row r="26" spans="1:24">
      <c r="A26" s="14" t="s">
        <v>89</v>
      </c>
      <c r="B26" s="14" t="s">
        <v>90</v>
      </c>
      <c r="C26" s="30">
        <f>(B8*0.1)*40000</f>
        <v>6358974.358974359</v>
      </c>
      <c r="D26" s="188">
        <f t="shared" si="4"/>
        <v>4.8605768995203115E-2</v>
      </c>
      <c r="E26" s="17">
        <f>QuarterBreakup!J$10*'JSW One TMT (2)'!$C$57*'JSW One TMT (2)'!$D26</f>
        <v>283603.08011364879</v>
      </c>
      <c r="F26" s="17">
        <f>QuarterBreakup!K$10*'JSW One TMT (2)'!$C$57*'JSW One TMT (2)'!$D26</f>
        <v>378137.44015153183</v>
      </c>
      <c r="G26" s="17">
        <f>QuarterBreakup!L$10*'JSW One TMT (2)'!$C$57*'JSW One TMT (2)'!$D26</f>
        <v>283603.08011364879</v>
      </c>
      <c r="H26" s="26">
        <f t="shared" si="5"/>
        <v>945343.6003788294</v>
      </c>
      <c r="I26" s="17">
        <f>QuarterBreakup!J$16*'JSW One TMT (2)'!$C$57*'JSW One TMT (2)'!$D26</f>
        <v>163617.16160402814</v>
      </c>
      <c r="J26" s="17">
        <f>QuarterBreakup!K$16*'JSW One TMT (2)'!$C$57*'JSW One TMT (2)'!$D26</f>
        <v>190886.68853803285</v>
      </c>
      <c r="K26" s="17">
        <f>QuarterBreakup!L$16*'JSW One TMT (2)'!$C$57*'JSW One TMT (2)'!$D26</f>
        <v>190886.68853803285</v>
      </c>
      <c r="L26" s="28">
        <f t="shared" si="1"/>
        <v>545390.53868009383</v>
      </c>
      <c r="M26" s="17">
        <f>QuarterBreakup!J$22*'JSW One TMT (2)'!$C$57*'JSW One TMT (2)'!$D26</f>
        <v>432676.49401954119</v>
      </c>
      <c r="N26" s="17">
        <f>QuarterBreakup!K$22*'JSW One TMT (2)'!$C$57*'JSW One TMT (2)'!$D26</f>
        <v>370865.56630246388</v>
      </c>
      <c r="O26" s="17">
        <f>QuarterBreakup!L$22*'JSW One TMT (2)'!$C$57*'JSW One TMT (2)'!$D26</f>
        <v>432676.49401954119</v>
      </c>
      <c r="P26" s="26">
        <f>SUM(M26:O26)</f>
        <v>1236218.5543415463</v>
      </c>
      <c r="Q26" s="17">
        <f>QuarterBreakup!J$28*'JSW One TMT (2)'!$C$57*'JSW One TMT (2)'!$D26</f>
        <v>363593.69245339598</v>
      </c>
      <c r="R26" s="17">
        <f>QuarterBreakup!K$28*'JSW One TMT (2)'!$C$57*'JSW One TMT (2)'!$D26</f>
        <v>272695.26934004691</v>
      </c>
      <c r="S26" s="17">
        <f>QuarterBreakup!L$28*'JSW One TMT (2)'!$C$57*'JSW One TMT (2)'!$D26</f>
        <v>272695.26934004691</v>
      </c>
      <c r="T26" s="191">
        <f t="shared" si="2"/>
        <v>908984.23113348987</v>
      </c>
      <c r="U26" s="283"/>
      <c r="V26" s="217"/>
      <c r="W26" s="283"/>
      <c r="X26" s="283"/>
    </row>
    <row r="27" spans="1:24">
      <c r="A27" s="14" t="s">
        <v>188</v>
      </c>
      <c r="B27" s="14" t="s">
        <v>189</v>
      </c>
      <c r="C27" s="30">
        <f>(B4+6)*100000</f>
        <v>6200000</v>
      </c>
      <c r="D27" s="188">
        <f>C27/$C$22</f>
        <v>4.7390624770323041E-2</v>
      </c>
      <c r="E27" s="17">
        <f>QuarterBreakup!J$10*'JSW One TMT (2)'!$C$57*'JSW One TMT (2)'!$D27</f>
        <v>276513.00311080762</v>
      </c>
      <c r="F27" s="17">
        <f>QuarterBreakup!K$10*'JSW One TMT (2)'!$C$57*'JSW One TMT (2)'!$D27</f>
        <v>368684.00414774357</v>
      </c>
      <c r="G27" s="17">
        <f>QuarterBreakup!L$10*'JSW One TMT (2)'!$C$57*'JSW One TMT (2)'!$D27</f>
        <v>276513.00311080762</v>
      </c>
      <c r="H27" s="26">
        <f>SUM(E27:G27)</f>
        <v>921710.01036935882</v>
      </c>
      <c r="I27" s="17">
        <f>QuarterBreakup!J$16*'JSW One TMT (2)'!$C$57*'JSW One TMT (2)'!$D27</f>
        <v>159526.73256392745</v>
      </c>
      <c r="J27" s="17">
        <f>QuarterBreakup!K$16*'JSW One TMT (2)'!$C$57*'JSW One TMT (2)'!$D27</f>
        <v>186114.52132458205</v>
      </c>
      <c r="K27" s="17">
        <f>QuarterBreakup!L$16*'JSW One TMT (2)'!$C$57*'JSW One TMT (2)'!$D27</f>
        <v>186114.52132458205</v>
      </c>
      <c r="L27" s="28">
        <f>I27+J27+K27</f>
        <v>531755.77521309152</v>
      </c>
      <c r="M27" s="17">
        <f>QuarterBreakup!J$22*'JSW One TMT (2)'!$C$57*'JSW One TMT (2)'!$D27</f>
        <v>421859.58166905271</v>
      </c>
      <c r="N27" s="17">
        <f>QuarterBreakup!K$22*'JSW One TMT (2)'!$C$57*'JSW One TMT (2)'!$D27</f>
        <v>361593.92714490229</v>
      </c>
      <c r="O27" s="17">
        <f>QuarterBreakup!L$22*'JSW One TMT (2)'!$C$57*'JSW One TMT (2)'!$D27</f>
        <v>421859.58166905271</v>
      </c>
      <c r="P27" s="26">
        <f>SUM(M27:O27)</f>
        <v>1205313.0904830077</v>
      </c>
      <c r="Q27" s="17">
        <f>QuarterBreakup!J$28*'JSW One TMT (2)'!$C$57*'JSW One TMT (2)'!$D27</f>
        <v>354503.85014206113</v>
      </c>
      <c r="R27" s="17">
        <f>QuarterBreakup!K$28*'JSW One TMT (2)'!$C$57*'JSW One TMT (2)'!$D27</f>
        <v>265877.88760654576</v>
      </c>
      <c r="S27" s="17">
        <f>QuarterBreakup!L$28*'JSW One TMT (2)'!$C$57*'JSW One TMT (2)'!$D27</f>
        <v>265877.88760654576</v>
      </c>
      <c r="T27" s="191">
        <f>Q27+R27+S27</f>
        <v>886259.62535515265</v>
      </c>
      <c r="U27" s="283"/>
      <c r="V27" s="217"/>
      <c r="W27" s="283"/>
      <c r="X27" s="283"/>
    </row>
    <row r="28" spans="1:24" ht="24.75">
      <c r="A28" s="14" t="s">
        <v>91</v>
      </c>
      <c r="B28" s="14" t="s">
        <v>92</v>
      </c>
      <c r="C28" s="30">
        <f>B4*1*4*50*3500</f>
        <v>39200000</v>
      </c>
      <c r="D28" s="188">
        <f t="shared" si="4"/>
        <v>0.29963104693494569</v>
      </c>
      <c r="E28" s="17">
        <f>QuarterBreakup!J$10*'JSW One TMT (2)'!$C$57*'JSW One TMT (2)'!$D28</f>
        <v>1748275.7616038157</v>
      </c>
      <c r="F28" s="17">
        <f>QuarterBreakup!K$10*'JSW One TMT (2)'!$C$57*'JSW One TMT (2)'!$D28</f>
        <v>2331034.3488050885</v>
      </c>
      <c r="G28" s="17">
        <f>QuarterBreakup!L$10*'JSW One TMT (2)'!$C$57*'JSW One TMT (2)'!$D28</f>
        <v>1748275.7616038157</v>
      </c>
      <c r="H28" s="26">
        <f t="shared" si="5"/>
        <v>5827585.8720127195</v>
      </c>
      <c r="I28" s="17">
        <f>QuarterBreakup!J$16*'JSW One TMT (2)'!$C$57*'JSW One TMT (2)'!$D28</f>
        <v>1008620.6316945091</v>
      </c>
      <c r="J28" s="17">
        <f>QuarterBreakup!K$16*'JSW One TMT (2)'!$C$57*'JSW One TMT (2)'!$D28</f>
        <v>1176724.0703102606</v>
      </c>
      <c r="K28" s="17">
        <f>QuarterBreakup!L$16*'JSW One TMT (2)'!$C$57*'JSW One TMT (2)'!$D28</f>
        <v>1176724.0703102606</v>
      </c>
      <c r="L28" s="28">
        <f t="shared" si="1"/>
        <v>3362068.7723150305</v>
      </c>
      <c r="M28" s="17">
        <f>QuarterBreakup!J$22*'JSW One TMT (2)'!$C$57*'JSW One TMT (2)'!$D28</f>
        <v>2667241.2260365915</v>
      </c>
      <c r="N28" s="17">
        <f>QuarterBreakup!K$22*'JSW One TMT (2)'!$C$57*'JSW One TMT (2)'!$D28</f>
        <v>2286206.7651742212</v>
      </c>
      <c r="O28" s="17">
        <f>QuarterBreakup!L$22*'JSW One TMT (2)'!$C$57*'JSW One TMT (2)'!$D28</f>
        <v>2667241.2260365915</v>
      </c>
      <c r="P28" s="26">
        <f>SUM(M28:O28)</f>
        <v>7620689.2172474042</v>
      </c>
      <c r="Q28" s="17">
        <f>QuarterBreakup!J$28*'JSW One TMT (2)'!$C$57*'JSW One TMT (2)'!$D28</f>
        <v>2241379.1815433544</v>
      </c>
      <c r="R28" s="17">
        <f>QuarterBreakup!K$28*'JSW One TMT (2)'!$C$57*'JSW One TMT (2)'!$D28</f>
        <v>1681034.3861575152</v>
      </c>
      <c r="S28" s="17">
        <f>QuarterBreakup!L$28*'JSW One TMT (2)'!$C$57*'JSW One TMT (2)'!$D28</f>
        <v>1681034.3861575152</v>
      </c>
      <c r="T28" s="191">
        <f t="shared" si="2"/>
        <v>5603447.9538583849</v>
      </c>
      <c r="U28" s="283"/>
      <c r="V28" s="217"/>
      <c r="W28" s="283"/>
      <c r="X28" s="283"/>
    </row>
    <row r="29" spans="1:24" ht="24.75">
      <c r="A29" s="14" t="s">
        <v>93</v>
      </c>
      <c r="B29" s="14" t="s">
        <v>94</v>
      </c>
      <c r="C29" s="30">
        <f>B4*2*4*50*1000</f>
        <v>22400000</v>
      </c>
      <c r="D29" s="188">
        <f t="shared" si="4"/>
        <v>0.17121774110568325</v>
      </c>
      <c r="E29" s="17">
        <f>QuarterBreakup!J$10*'JSW One TMT (2)'!$C$57*'JSW One TMT (2)'!$D29</f>
        <v>999014.72091646621</v>
      </c>
      <c r="F29" s="17">
        <f>QuarterBreakup!K$10*'JSW One TMT (2)'!$C$57*'JSW One TMT (2)'!$D29</f>
        <v>1332019.6278886218</v>
      </c>
      <c r="G29" s="17">
        <f>QuarterBreakup!L$10*'JSW One TMT (2)'!$C$57*'JSW One TMT (2)'!$D29</f>
        <v>999014.72091646621</v>
      </c>
      <c r="H29" s="26">
        <f t="shared" si="5"/>
        <v>3330049.0697215544</v>
      </c>
      <c r="I29" s="17">
        <f>QuarterBreakup!J$16*'JSW One TMT (2)'!$C$57*'JSW One TMT (2)'!$D29</f>
        <v>576354.64668257663</v>
      </c>
      <c r="J29" s="17">
        <f>QuarterBreakup!K$16*'JSW One TMT (2)'!$C$57*'JSW One TMT (2)'!$D29</f>
        <v>672413.75446300604</v>
      </c>
      <c r="K29" s="17">
        <f>QuarterBreakup!L$16*'JSW One TMT (2)'!$C$57*'JSW One TMT (2)'!$D29</f>
        <v>672413.75446300604</v>
      </c>
      <c r="L29" s="28">
        <f t="shared" si="1"/>
        <v>1921182.1556085886</v>
      </c>
      <c r="M29" s="17">
        <f>QuarterBreakup!J$22*'JSW One TMT (2)'!$C$57*'JSW One TMT (2)'!$D29</f>
        <v>1524137.8434494808</v>
      </c>
      <c r="N29" s="17">
        <f>QuarterBreakup!K$22*'JSW One TMT (2)'!$C$57*'JSW One TMT (2)'!$D29</f>
        <v>1306403.8658138406</v>
      </c>
      <c r="O29" s="17">
        <f>QuarterBreakup!L$22*'JSW One TMT (2)'!$C$57*'JSW One TMT (2)'!$D29</f>
        <v>1524137.8434494808</v>
      </c>
      <c r="P29" s="26">
        <f>SUM(M29:O29)</f>
        <v>4354679.5527128018</v>
      </c>
      <c r="Q29" s="17">
        <f>QuarterBreakup!J$28*'JSW One TMT (2)'!$C$57*'JSW One TMT (2)'!$D29</f>
        <v>1280788.1037390595</v>
      </c>
      <c r="R29" s="17">
        <f>QuarterBreakup!K$28*'JSW One TMT (2)'!$C$57*'JSW One TMT (2)'!$D29</f>
        <v>960591.07780429441</v>
      </c>
      <c r="S29" s="17">
        <f>QuarterBreakup!L$28*'JSW One TMT (2)'!$C$57*'JSW One TMT (2)'!$D29</f>
        <v>960591.07780429441</v>
      </c>
      <c r="T29" s="191">
        <f t="shared" si="2"/>
        <v>3201970.2593476484</v>
      </c>
      <c r="U29" s="283"/>
      <c r="V29" s="217"/>
      <c r="W29" s="283"/>
      <c r="X29" s="283"/>
    </row>
    <row r="30" spans="1:24" ht="24.75">
      <c r="A30" s="14" t="s">
        <v>95</v>
      </c>
      <c r="B30" s="14" t="s">
        <v>96</v>
      </c>
      <c r="C30" s="30">
        <f>B9*1*30*300</f>
        <v>9299999.9999999981</v>
      </c>
      <c r="D30" s="188">
        <f t="shared" si="4"/>
        <v>7.1085937155484544E-2</v>
      </c>
      <c r="E30" s="17">
        <f>QuarterBreakup!J$10*'JSW One TMT (2)'!$C$57*'JSW One TMT (2)'!$D30</f>
        <v>414769.50466621132</v>
      </c>
      <c r="F30" s="17">
        <f>QuarterBreakup!K$10*'JSW One TMT (2)'!$C$57*'JSW One TMT (2)'!$D30</f>
        <v>553026.00622161513</v>
      </c>
      <c r="G30" s="17">
        <f>QuarterBreakup!L$10*'JSW One TMT (2)'!$C$57*'JSW One TMT (2)'!$D30</f>
        <v>414769.50466621132</v>
      </c>
      <c r="H30" s="26">
        <f t="shared" si="5"/>
        <v>1382565.0155540379</v>
      </c>
      <c r="I30" s="17">
        <f>QuarterBreakup!J$16*'JSW One TMT (2)'!$C$57*'JSW One TMT (2)'!$D30</f>
        <v>239290.0988458911</v>
      </c>
      <c r="J30" s="17">
        <f>QuarterBreakup!K$16*'JSW One TMT (2)'!$C$57*'JSW One TMT (2)'!$D30</f>
        <v>279171.78198687301</v>
      </c>
      <c r="K30" s="17">
        <f>QuarterBreakup!L$16*'JSW One TMT (2)'!$C$57*'JSW One TMT (2)'!$D30</f>
        <v>279171.78198687301</v>
      </c>
      <c r="L30" s="28">
        <f t="shared" si="1"/>
        <v>797633.6628196371</v>
      </c>
      <c r="M30" s="17">
        <f>QuarterBreakup!J$22*'JSW One TMT (2)'!$C$57*'JSW One TMT (2)'!$D30</f>
        <v>632789.3725035789</v>
      </c>
      <c r="N30" s="17">
        <f>QuarterBreakup!K$22*'JSW One TMT (2)'!$C$57*'JSW One TMT (2)'!$D30</f>
        <v>542390.89071735332</v>
      </c>
      <c r="O30" s="17">
        <f>QuarterBreakup!L$22*'JSW One TMT (2)'!$C$57*'JSW One TMT (2)'!$D30</f>
        <v>632789.3725035789</v>
      </c>
      <c r="P30" s="26">
        <f>SUM(M30:O30)</f>
        <v>1807969.6357245112</v>
      </c>
      <c r="Q30" s="17">
        <f>QuarterBreakup!J$28*'JSW One TMT (2)'!$C$57*'JSW One TMT (2)'!$D30</f>
        <v>531755.77521309152</v>
      </c>
      <c r="R30" s="17">
        <f>QuarterBreakup!K$28*'JSW One TMT (2)'!$C$57*'JSW One TMT (2)'!$D30</f>
        <v>398816.83140981855</v>
      </c>
      <c r="S30" s="17">
        <f>QuarterBreakup!L$28*'JSW One TMT (2)'!$C$57*'JSW One TMT (2)'!$D30</f>
        <v>398816.83140981855</v>
      </c>
      <c r="T30" s="191">
        <f t="shared" si="2"/>
        <v>1329389.4380327286</v>
      </c>
      <c r="U30" s="283"/>
      <c r="V30" s="217"/>
      <c r="W30" s="283"/>
      <c r="X30" s="283"/>
    </row>
    <row r="31" spans="1:24">
      <c r="A31" s="14" t="s">
        <v>97</v>
      </c>
      <c r="B31" s="14" t="s">
        <v>98</v>
      </c>
      <c r="C31" s="30">
        <f>B8*400</f>
        <v>635897.43589743588</v>
      </c>
      <c r="D31" s="188">
        <f t="shared" si="4"/>
        <v>4.8605768995203117E-3</v>
      </c>
      <c r="E31" s="17">
        <f>QuarterBreakup!J$10*'JSW One TMT (2)'!$C$57*'JSW One TMT (2)'!$D31</f>
        <v>28360.308011364879</v>
      </c>
      <c r="F31" s="17">
        <f>QuarterBreakup!K$10*'JSW One TMT (2)'!$C$57*'JSW One TMT (2)'!$D31</f>
        <v>37813.744015153185</v>
      </c>
      <c r="G31" s="17">
        <f>QuarterBreakup!L$10*'JSW One TMT (2)'!$C$57*'JSW One TMT (2)'!$D31</f>
        <v>28360.308011364879</v>
      </c>
      <c r="H31" s="26">
        <f t="shared" si="5"/>
        <v>94534.360037882943</v>
      </c>
      <c r="I31" s="17">
        <f>QuarterBreakup!J$16*'JSW One TMT (2)'!$C$57*'JSW One TMT (2)'!$D31</f>
        <v>16361.716160402813</v>
      </c>
      <c r="J31" s="17">
        <f>QuarterBreakup!K$16*'JSW One TMT (2)'!$C$57*'JSW One TMT (2)'!$D31</f>
        <v>19088.668853803287</v>
      </c>
      <c r="K31" s="17">
        <f>QuarterBreakup!L$16*'JSW One TMT (2)'!$C$57*'JSW One TMT (2)'!$D31</f>
        <v>19088.668853803287</v>
      </c>
      <c r="L31" s="28">
        <f t="shared" si="1"/>
        <v>54539.053868009389</v>
      </c>
      <c r="M31" s="17">
        <f>QuarterBreakup!J$22*'JSW One TMT (2)'!$C$57*'JSW One TMT (2)'!$D31</f>
        <v>43267.649401954121</v>
      </c>
      <c r="N31" s="17">
        <f>QuarterBreakup!K$22*'JSW One TMT (2)'!$C$57*'JSW One TMT (2)'!$D31</f>
        <v>37086.556630246392</v>
      </c>
      <c r="O31" s="17">
        <f>QuarterBreakup!L$22*'JSW One TMT (2)'!$C$57*'JSW One TMT (2)'!$D31</f>
        <v>43267.649401954121</v>
      </c>
      <c r="P31" s="26">
        <f>SUM(M31:O31)</f>
        <v>123621.85543415463</v>
      </c>
      <c r="Q31" s="17">
        <f>QuarterBreakup!J$28*'JSW One TMT (2)'!$C$57*'JSW One TMT (2)'!$D31</f>
        <v>36359.3692453396</v>
      </c>
      <c r="R31" s="17">
        <f>QuarterBreakup!K$28*'JSW One TMT (2)'!$C$57*'JSW One TMT (2)'!$D31</f>
        <v>27269.526934004694</v>
      </c>
      <c r="S31" s="17">
        <f>QuarterBreakup!L$28*'JSW One TMT (2)'!$C$57*'JSW One TMT (2)'!$D31</f>
        <v>27269.526934004694</v>
      </c>
      <c r="T31" s="191">
        <f t="shared" si="2"/>
        <v>90898.423113348981</v>
      </c>
      <c r="U31" s="283"/>
      <c r="V31" s="217"/>
      <c r="W31" s="283"/>
      <c r="X31" s="283"/>
    </row>
    <row r="32" spans="1:24">
      <c r="A32" s="14" t="s">
        <v>99</v>
      </c>
      <c r="B32" s="14" t="s">
        <v>100</v>
      </c>
      <c r="C32" s="30">
        <f>B4*75*500</f>
        <v>2100000</v>
      </c>
      <c r="D32" s="188">
        <f t="shared" si="4"/>
        <v>1.6051663228657805E-2</v>
      </c>
      <c r="E32" s="17">
        <f>QuarterBreakup!J$10*'JSW One TMT (2)'!$C$57*'JSW One TMT (2)'!$D32</f>
        <v>93657.630085918703</v>
      </c>
      <c r="F32" s="17">
        <f>QuarterBreakup!K$10*'JSW One TMT (2)'!$C$57*'JSW One TMT (2)'!$D32</f>
        <v>124876.8401145583</v>
      </c>
      <c r="G32" s="17">
        <f>QuarterBreakup!L$10*'JSW One TMT (2)'!$C$57*'JSW One TMT (2)'!$D32</f>
        <v>93657.630085918703</v>
      </c>
      <c r="H32" s="26">
        <f t="shared" si="5"/>
        <v>312192.1002863957</v>
      </c>
      <c r="I32" s="17">
        <f>QuarterBreakup!J$16*'JSW One TMT (2)'!$C$57*'JSW One TMT (2)'!$D32</f>
        <v>54033.248126491555</v>
      </c>
      <c r="J32" s="17">
        <f>QuarterBreakup!K$16*'JSW One TMT (2)'!$C$57*'JSW One TMT (2)'!$D32</f>
        <v>63038.789480906824</v>
      </c>
      <c r="K32" s="17">
        <f>QuarterBreakup!L$16*'JSW One TMT (2)'!$C$57*'JSW One TMT (2)'!$D32</f>
        <v>63038.789480906824</v>
      </c>
      <c r="L32" s="28">
        <f t="shared" si="1"/>
        <v>180110.8270883052</v>
      </c>
      <c r="M32" s="17">
        <f>QuarterBreakup!J$22*'JSW One TMT (2)'!$C$57*'JSW One TMT (2)'!$D32</f>
        <v>142887.92282338883</v>
      </c>
      <c r="N32" s="17">
        <f>QuarterBreakup!K$22*'JSW One TMT (2)'!$C$57*'JSW One TMT (2)'!$D32</f>
        <v>122475.36242004756</v>
      </c>
      <c r="O32" s="17">
        <f>QuarterBreakup!L$22*'JSW One TMT (2)'!$C$57*'JSW One TMT (2)'!$D32</f>
        <v>142887.92282338883</v>
      </c>
      <c r="P32" s="26">
        <f>SUM(M32:O32)</f>
        <v>408251.20806682523</v>
      </c>
      <c r="Q32" s="17">
        <f>QuarterBreakup!J$28*'JSW One TMT (2)'!$C$57*'JSW One TMT (2)'!$D32</f>
        <v>120073.88472553683</v>
      </c>
      <c r="R32" s="17">
        <f>QuarterBreakup!K$28*'JSW One TMT (2)'!$C$57*'JSW One TMT (2)'!$D32</f>
        <v>90055.413544152616</v>
      </c>
      <c r="S32" s="17">
        <f>QuarterBreakup!L$28*'JSW One TMT (2)'!$C$57*'JSW One TMT (2)'!$D32</f>
        <v>90055.413544152616</v>
      </c>
      <c r="T32" s="191">
        <f t="shared" si="2"/>
        <v>300184.71181384206</v>
      </c>
      <c r="U32" s="283"/>
      <c r="V32" s="217"/>
      <c r="W32" s="283"/>
      <c r="X32" s="283"/>
    </row>
    <row r="33" spans="1:24">
      <c r="A33" s="14" t="s">
        <v>174</v>
      </c>
      <c r="B33" s="14" t="s">
        <v>175</v>
      </c>
      <c r="C33" s="30">
        <f>B10*5*12*1500</f>
        <v>17460000</v>
      </c>
      <c r="D33" s="188">
        <f t="shared" si="4"/>
        <v>0.13345811427255488</v>
      </c>
      <c r="E33" s="17">
        <f>QuarterBreakup!J$10*'JSW One TMT (2)'!$C$57*'JSW One TMT (2)'!$D33</f>
        <v>778696.29585720971</v>
      </c>
      <c r="F33" s="17">
        <f>QuarterBreakup!K$10*'JSW One TMT (2)'!$C$57*'JSW One TMT (2)'!$D33</f>
        <v>1038261.7278096132</v>
      </c>
      <c r="G33" s="17">
        <f>QuarterBreakup!L$10*'JSW One TMT (2)'!$C$57*'JSW One TMT (2)'!$D33</f>
        <v>778696.29585720971</v>
      </c>
      <c r="H33" s="26">
        <f t="shared" si="5"/>
        <v>2595654.3195240325</v>
      </c>
      <c r="I33" s="17">
        <f>QuarterBreakup!J$16*'JSW One TMT (2)'!$C$57*'JSW One TMT (2)'!$D33</f>
        <v>449247.86299454403</v>
      </c>
      <c r="J33" s="17">
        <f>QuarterBreakup!K$16*'JSW One TMT (2)'!$C$57*'JSW One TMT (2)'!$D33</f>
        <v>524122.50682696811</v>
      </c>
      <c r="K33" s="17">
        <f>QuarterBreakup!L$16*'JSW One TMT (2)'!$C$57*'JSW One TMT (2)'!$D33</f>
        <v>524122.50682696811</v>
      </c>
      <c r="L33" s="28">
        <f t="shared" si="1"/>
        <v>1497492.8766484803</v>
      </c>
      <c r="M33" s="17">
        <f>QuarterBreakup!J$22*'JSW One TMT (2)'!$C$57*'JSW One TMT (2)'!$D33</f>
        <v>1188011.0154744613</v>
      </c>
      <c r="N33" s="17">
        <f>QuarterBreakup!K$22*'JSW One TMT (2)'!$C$57*'JSW One TMT (2)'!$D33</f>
        <v>1018295.1561209668</v>
      </c>
      <c r="O33" s="17">
        <f>QuarterBreakup!L$22*'JSW One TMT (2)'!$C$57*'JSW One TMT (2)'!$D33</f>
        <v>1188011.0154744613</v>
      </c>
      <c r="P33" s="26">
        <f>SUM(M33:O33)</f>
        <v>3394317.1870698892</v>
      </c>
      <c r="Q33" s="17">
        <f>QuarterBreakup!J$28*'JSW One TMT (2)'!$C$57*'JSW One TMT (2)'!$D33</f>
        <v>998328.58443232044</v>
      </c>
      <c r="R33" s="17">
        <f>QuarterBreakup!K$28*'JSW One TMT (2)'!$C$57*'JSW One TMT (2)'!$D33</f>
        <v>748746.43832424015</v>
      </c>
      <c r="S33" s="17">
        <f>QuarterBreakup!L$28*'JSW One TMT (2)'!$C$57*'JSW One TMT (2)'!$D33</f>
        <v>748746.43832424015</v>
      </c>
      <c r="T33" s="191">
        <f t="shared" si="2"/>
        <v>2495821.4610808007</v>
      </c>
      <c r="U33" s="283"/>
      <c r="V33" s="217"/>
      <c r="W33" s="283"/>
      <c r="X33" s="283"/>
    </row>
    <row r="34" spans="1:24" ht="24.75">
      <c r="A34" s="14" t="s">
        <v>190</v>
      </c>
      <c r="B34" s="14" t="s">
        <v>191</v>
      </c>
      <c r="C34" s="30"/>
      <c r="D34" s="188">
        <f t="shared" si="4"/>
        <v>0</v>
      </c>
      <c r="E34" s="17">
        <f>QuarterBreakup!J$10*'JSW One TMT (2)'!$C$57*'JSW One TMT (2)'!$D34</f>
        <v>0</v>
      </c>
      <c r="F34" s="17">
        <f>QuarterBreakup!K$10*'JSW One TMT (2)'!$C$57*'JSW One TMT (2)'!$D34</f>
        <v>0</v>
      </c>
      <c r="G34" s="17">
        <f>QuarterBreakup!L$10*'JSW One TMT (2)'!$C$57*'JSW One TMT (2)'!$D34</f>
        <v>0</v>
      </c>
      <c r="H34" s="26">
        <f t="shared" si="5"/>
        <v>0</v>
      </c>
      <c r="I34" s="17">
        <f>QuarterBreakup!J$16*'JSW One TMT (2)'!$C$57*'JSW One TMT (2)'!$D34</f>
        <v>0</v>
      </c>
      <c r="J34" s="17">
        <f>QuarterBreakup!K$16*'JSW One TMT (2)'!$C$57*'JSW One TMT (2)'!$D34</f>
        <v>0</v>
      </c>
      <c r="K34" s="17">
        <f>QuarterBreakup!L$16*'JSW One TMT (2)'!$C$57*'JSW One TMT (2)'!$D34</f>
        <v>0</v>
      </c>
      <c r="L34" s="28">
        <f t="shared" si="1"/>
        <v>0</v>
      </c>
      <c r="M34" s="17">
        <f>QuarterBreakup!J$22*'JSW One TMT (2)'!$C$57*'JSW One TMT (2)'!$D34</f>
        <v>0</v>
      </c>
      <c r="N34" s="17">
        <f>QuarterBreakup!K$22*'JSW One TMT (2)'!$C$57*'JSW One TMT (2)'!$D34</f>
        <v>0</v>
      </c>
      <c r="O34" s="17">
        <f>QuarterBreakup!L$22*'JSW One TMT (2)'!$C$57*'JSW One TMT (2)'!$D34</f>
        <v>0</v>
      </c>
      <c r="P34" s="26">
        <f>SUM(M34:O34)</f>
        <v>0</v>
      </c>
      <c r="Q34" s="17">
        <f>QuarterBreakup!J$28*'JSW One TMT (2)'!$C$57*'JSW One TMT (2)'!$D34</f>
        <v>0</v>
      </c>
      <c r="R34" s="17">
        <f>QuarterBreakup!K$28*'JSW One TMT (2)'!$C$57*'JSW One TMT (2)'!$D34</f>
        <v>0</v>
      </c>
      <c r="S34" s="17">
        <f>QuarterBreakup!L$28*'JSW One TMT (2)'!$C$57*'JSW One TMT (2)'!$D34</f>
        <v>0</v>
      </c>
      <c r="T34" s="191">
        <f t="shared" si="2"/>
        <v>0</v>
      </c>
      <c r="U34" s="283"/>
      <c r="V34" s="217"/>
      <c r="W34" s="283"/>
      <c r="X34" s="283"/>
    </row>
    <row r="35" spans="1:24">
      <c r="A35" s="14" t="s">
        <v>103</v>
      </c>
      <c r="B35" s="14" t="s">
        <v>104</v>
      </c>
      <c r="C35" s="30">
        <f>B8*3000</f>
        <v>4769230.769230769</v>
      </c>
      <c r="D35" s="188">
        <f t="shared" si="4"/>
        <v>3.6454326746402338E-2</v>
      </c>
      <c r="E35" s="17">
        <f>QuarterBreakup!J$10*'JSW One TMT (2)'!$C$57*'JSW One TMT (2)'!$D35</f>
        <v>212702.31008523662</v>
      </c>
      <c r="F35" s="17">
        <f>QuarterBreakup!K$10*'JSW One TMT (2)'!$C$57*'JSW One TMT (2)'!$D35</f>
        <v>283603.0801136489</v>
      </c>
      <c r="G35" s="17">
        <f>QuarterBreakup!L$10*'JSW One TMT (2)'!$C$57*'JSW One TMT (2)'!$D35</f>
        <v>212702.31008523662</v>
      </c>
      <c r="H35" s="26">
        <f t="shared" si="5"/>
        <v>709007.70028412214</v>
      </c>
      <c r="I35" s="17">
        <f>QuarterBreakup!J$16*'JSW One TMT (2)'!$C$57*'JSW One TMT (2)'!$D35</f>
        <v>122712.8712030211</v>
      </c>
      <c r="J35" s="17">
        <f>QuarterBreakup!K$16*'JSW One TMT (2)'!$C$57*'JSW One TMT (2)'!$D35</f>
        <v>143165.01640352464</v>
      </c>
      <c r="K35" s="17">
        <f>QuarterBreakup!L$16*'JSW One TMT (2)'!$C$57*'JSW One TMT (2)'!$D35</f>
        <v>143165.01640352464</v>
      </c>
      <c r="L35" s="28">
        <f t="shared" si="1"/>
        <v>409042.90401007037</v>
      </c>
      <c r="M35" s="17">
        <f>QuarterBreakup!J$22*'JSW One TMT (2)'!$C$57*'JSW One TMT (2)'!$D35</f>
        <v>324507.37051465589</v>
      </c>
      <c r="N35" s="17">
        <f>QuarterBreakup!K$22*'JSW One TMT (2)'!$C$57*'JSW One TMT (2)'!$D35</f>
        <v>278149.17472684791</v>
      </c>
      <c r="O35" s="17">
        <f>QuarterBreakup!L$22*'JSW One TMT (2)'!$C$57*'JSW One TMT (2)'!$D35</f>
        <v>324507.37051465589</v>
      </c>
      <c r="P35" s="26">
        <f>SUM(M35:O35)</f>
        <v>927163.91575615969</v>
      </c>
      <c r="Q35" s="17">
        <f>QuarterBreakup!J$28*'JSW One TMT (2)'!$C$57*'JSW One TMT (2)'!$D35</f>
        <v>272695.26934004703</v>
      </c>
      <c r="R35" s="17">
        <f>QuarterBreakup!K$28*'JSW One TMT (2)'!$C$57*'JSW One TMT (2)'!$D35</f>
        <v>204521.45200503521</v>
      </c>
      <c r="S35" s="17">
        <f>QuarterBreakup!L$28*'JSW One TMT (2)'!$C$57*'JSW One TMT (2)'!$D35</f>
        <v>204521.45200503521</v>
      </c>
      <c r="T35" s="191">
        <f t="shared" si="2"/>
        <v>681738.17335011752</v>
      </c>
      <c r="U35" s="283"/>
      <c r="V35" s="217"/>
      <c r="W35" s="283"/>
      <c r="X35" s="283"/>
    </row>
    <row r="36" spans="1:24">
      <c r="A36" s="14" t="s">
        <v>176</v>
      </c>
      <c r="B36" s="14" t="s">
        <v>106</v>
      </c>
      <c r="C36" s="30">
        <f>(B8*0.1)*5000</f>
        <v>794871.79487179487</v>
      </c>
      <c r="D36" s="188">
        <f t="shared" si="4"/>
        <v>6.0757211244003894E-3</v>
      </c>
      <c r="E36" s="17">
        <f>QuarterBreakup!J$10*'JSW One TMT (2)'!$C$57*'JSW One TMT (2)'!$D36</f>
        <v>35450.385014206098</v>
      </c>
      <c r="F36" s="17">
        <f>QuarterBreakup!K$10*'JSW One TMT (2)'!$C$57*'JSW One TMT (2)'!$D36</f>
        <v>47267.180018941479</v>
      </c>
      <c r="G36" s="17">
        <f>QuarterBreakup!L$10*'JSW One TMT (2)'!$C$57*'JSW One TMT (2)'!$D36</f>
        <v>35450.385014206098</v>
      </c>
      <c r="H36" s="26">
        <f t="shared" si="5"/>
        <v>118167.95004735368</v>
      </c>
      <c r="I36" s="17">
        <f>QuarterBreakup!J$16*'JSW One TMT (2)'!$C$57*'JSW One TMT (2)'!$D36</f>
        <v>20452.145200503517</v>
      </c>
      <c r="J36" s="17">
        <f>QuarterBreakup!K$16*'JSW One TMT (2)'!$C$57*'JSW One TMT (2)'!$D36</f>
        <v>23860.836067254106</v>
      </c>
      <c r="K36" s="17">
        <f>QuarterBreakup!L$16*'JSW One TMT (2)'!$C$57*'JSW One TMT (2)'!$D36</f>
        <v>23860.836067254106</v>
      </c>
      <c r="L36" s="28">
        <f t="shared" si="1"/>
        <v>68173.817335011729</v>
      </c>
      <c r="M36" s="17">
        <f>QuarterBreakup!J$22*'JSW One TMT (2)'!$C$57*'JSW One TMT (2)'!$D36</f>
        <v>54084.561752442649</v>
      </c>
      <c r="N36" s="17">
        <f>QuarterBreakup!K$22*'JSW One TMT (2)'!$C$57*'JSW One TMT (2)'!$D36</f>
        <v>46358.195787807985</v>
      </c>
      <c r="O36" s="17">
        <f>QuarterBreakup!L$22*'JSW One TMT (2)'!$C$57*'JSW One TMT (2)'!$D36</f>
        <v>54084.561752442649</v>
      </c>
      <c r="P36" s="26">
        <f>SUM(M36:O36)</f>
        <v>154527.31929269328</v>
      </c>
      <c r="Q36" s="17">
        <f>QuarterBreakup!J$28*'JSW One TMT (2)'!$C$57*'JSW One TMT (2)'!$D36</f>
        <v>45449.211556674498</v>
      </c>
      <c r="R36" s="17">
        <f>QuarterBreakup!K$28*'JSW One TMT (2)'!$C$57*'JSW One TMT (2)'!$D36</f>
        <v>34086.908667505864</v>
      </c>
      <c r="S36" s="17">
        <f>QuarterBreakup!L$28*'JSW One TMT (2)'!$C$57*'JSW One TMT (2)'!$D36</f>
        <v>34086.908667505864</v>
      </c>
      <c r="T36" s="191">
        <f t="shared" si="2"/>
        <v>113623.02889168623</v>
      </c>
      <c r="U36" s="283"/>
      <c r="V36" s="217"/>
      <c r="W36" s="283"/>
      <c r="X36" s="283"/>
    </row>
    <row r="37" spans="1:24">
      <c r="A37" s="14" t="s">
        <v>107</v>
      </c>
      <c r="B37" s="14" t="s">
        <v>177</v>
      </c>
      <c r="C37" s="30">
        <f>B8*1000*4</f>
        <v>6358974.3589743581</v>
      </c>
      <c r="D37" s="188">
        <f t="shared" si="4"/>
        <v>4.8605768995203108E-2</v>
      </c>
      <c r="E37" s="17">
        <f>QuarterBreakup!J$10*'JSW One TMT (2)'!$C$57*'JSW One TMT (2)'!$D37</f>
        <v>283603.08011364873</v>
      </c>
      <c r="F37" s="17">
        <f>QuarterBreakup!K$10*'JSW One TMT (2)'!$C$57*'JSW One TMT (2)'!$D37</f>
        <v>378137.44015153177</v>
      </c>
      <c r="G37" s="17">
        <f>QuarterBreakup!L$10*'JSW One TMT (2)'!$C$57*'JSW One TMT (2)'!$D37</f>
        <v>283603.08011364873</v>
      </c>
      <c r="H37" s="26">
        <f t="shared" si="5"/>
        <v>945343.60037882929</v>
      </c>
      <c r="I37" s="17">
        <f>QuarterBreakup!J$16*'JSW One TMT (2)'!$C$57*'JSW One TMT (2)'!$D37</f>
        <v>163617.16160402811</v>
      </c>
      <c r="J37" s="17">
        <f>QuarterBreakup!K$16*'JSW One TMT (2)'!$C$57*'JSW One TMT (2)'!$D37</f>
        <v>190886.68853803282</v>
      </c>
      <c r="K37" s="17">
        <f>QuarterBreakup!L$16*'JSW One TMT (2)'!$C$57*'JSW One TMT (2)'!$D37</f>
        <v>190886.68853803282</v>
      </c>
      <c r="L37" s="28">
        <f t="shared" si="1"/>
        <v>545390.53868009371</v>
      </c>
      <c r="M37" s="17">
        <f>QuarterBreakup!J$22*'JSW One TMT (2)'!$C$57*'JSW One TMT (2)'!$D37</f>
        <v>432676.49401954113</v>
      </c>
      <c r="N37" s="17">
        <f>QuarterBreakup!K$22*'JSW One TMT (2)'!$C$57*'JSW One TMT (2)'!$D37</f>
        <v>370865.56630246382</v>
      </c>
      <c r="O37" s="17">
        <f>QuarterBreakup!L$22*'JSW One TMT (2)'!$C$57*'JSW One TMT (2)'!$D37</f>
        <v>432676.49401954113</v>
      </c>
      <c r="P37" s="26">
        <f>SUM(M37:O37)</f>
        <v>1236218.554341546</v>
      </c>
      <c r="Q37" s="17">
        <f>QuarterBreakup!J$28*'JSW One TMT (2)'!$C$57*'JSW One TMT (2)'!$D37</f>
        <v>363593.69245339592</v>
      </c>
      <c r="R37" s="17">
        <f>QuarterBreakup!K$28*'JSW One TMT (2)'!$C$57*'JSW One TMT (2)'!$D37</f>
        <v>272695.26934004691</v>
      </c>
      <c r="S37" s="17">
        <f>QuarterBreakup!L$28*'JSW One TMT (2)'!$C$57*'JSW One TMT (2)'!$D37</f>
        <v>272695.26934004691</v>
      </c>
      <c r="T37" s="191">
        <f t="shared" si="2"/>
        <v>908984.23113348975</v>
      </c>
      <c r="U37" s="283"/>
      <c r="V37" s="217"/>
      <c r="W37" s="283"/>
      <c r="X37" s="283"/>
    </row>
    <row r="38" spans="1:24">
      <c r="A38" s="14" t="s">
        <v>109</v>
      </c>
      <c r="B38" s="14" t="s">
        <v>110</v>
      </c>
      <c r="C38" s="30">
        <f>B8*3*250</f>
        <v>1192307.6923076923</v>
      </c>
      <c r="D38" s="188">
        <f t="shared" si="4"/>
        <v>9.1135816866005845E-3</v>
      </c>
      <c r="E38" s="17"/>
      <c r="F38" s="17"/>
      <c r="G38" s="17"/>
      <c r="H38" s="26">
        <f t="shared" si="5"/>
        <v>0</v>
      </c>
      <c r="I38" s="17"/>
      <c r="J38" s="17"/>
      <c r="K38" s="17"/>
      <c r="L38" s="28">
        <f t="shared" si="1"/>
        <v>0</v>
      </c>
      <c r="M38" s="17"/>
      <c r="N38" s="17"/>
      <c r="O38" s="17">
        <f>C38</f>
        <v>1192307.6923076923</v>
      </c>
      <c r="P38" s="26">
        <f>SUM(M38:O38)</f>
        <v>1192307.6923076923</v>
      </c>
      <c r="Q38" s="17"/>
      <c r="R38" s="17"/>
      <c r="S38" s="17"/>
      <c r="T38" s="191">
        <f t="shared" si="2"/>
        <v>0</v>
      </c>
      <c r="U38" s="283"/>
      <c r="V38" s="217"/>
      <c r="W38" s="283"/>
      <c r="X38" s="283"/>
    </row>
    <row r="39" spans="1:24">
      <c r="A39" s="15" t="s">
        <v>111</v>
      </c>
      <c r="B39" s="14" t="s">
        <v>112</v>
      </c>
      <c r="C39" s="30">
        <f>(B8+B8*3)*500</f>
        <v>3179487.179487179</v>
      </c>
      <c r="D39" s="188">
        <f t="shared" si="4"/>
        <v>2.4302884497601554E-2</v>
      </c>
      <c r="E39" s="17"/>
      <c r="F39" s="17"/>
      <c r="G39" s="17"/>
      <c r="H39" s="26">
        <f t="shared" si="5"/>
        <v>0</v>
      </c>
      <c r="I39" s="17"/>
      <c r="J39" s="17"/>
      <c r="K39" s="17"/>
      <c r="L39" s="28">
        <f t="shared" si="1"/>
        <v>0</v>
      </c>
      <c r="M39" s="31">
        <f>C39/2</f>
        <v>1589743.5897435895</v>
      </c>
      <c r="N39" s="17"/>
      <c r="O39" s="17"/>
      <c r="P39" s="26">
        <f>SUM(M39:O39)</f>
        <v>1589743.5897435895</v>
      </c>
      <c r="Q39" s="17">
        <f>C39/2</f>
        <v>1589743.5897435895</v>
      </c>
      <c r="R39" s="17"/>
      <c r="S39" s="17"/>
      <c r="T39" s="191">
        <f t="shared" si="2"/>
        <v>1589743.5897435895</v>
      </c>
      <c r="U39" s="283"/>
      <c r="V39" s="217"/>
      <c r="W39" s="283"/>
      <c r="X39" s="283"/>
    </row>
    <row r="40" spans="1:24">
      <c r="A40" s="14" t="s">
        <v>113</v>
      </c>
      <c r="B40" s="14" t="s">
        <v>114</v>
      </c>
      <c r="C40" s="30">
        <f>B8*1500*1</f>
        <v>2384615.3846153845</v>
      </c>
      <c r="D40" s="188">
        <f t="shared" si="4"/>
        <v>1.8227163373201169E-2</v>
      </c>
      <c r="E40" s="17">
        <f>QuarterBreakup!J$10*'JSW One TMT (2)'!$C$57*'JSW One TMT (2)'!$D40</f>
        <v>106351.15504261831</v>
      </c>
      <c r="F40" s="17">
        <f>QuarterBreakup!K$10*'JSW One TMT (2)'!$C$57*'JSW One TMT (2)'!$D40</f>
        <v>141801.54005682445</v>
      </c>
      <c r="G40" s="17">
        <f>QuarterBreakup!L$10*'JSW One TMT (2)'!$C$57*'JSW One TMT (2)'!$D40</f>
        <v>106351.15504261831</v>
      </c>
      <c r="H40" s="26">
        <f t="shared" si="5"/>
        <v>354503.85014206107</v>
      </c>
      <c r="I40" s="17">
        <f>QuarterBreakup!J$16*'JSW One TMT (2)'!$C$57*'JSW One TMT (2)'!$D40</f>
        <v>61356.435601510551</v>
      </c>
      <c r="J40" s="17">
        <f>QuarterBreakup!K$16*'JSW One TMT (2)'!$C$57*'JSW One TMT (2)'!$D40</f>
        <v>71582.508201762321</v>
      </c>
      <c r="K40" s="17">
        <f>QuarterBreakup!L$16*'JSW One TMT (2)'!$C$57*'JSW One TMT (2)'!$D40</f>
        <v>71582.508201762321</v>
      </c>
      <c r="L40" s="28">
        <f t="shared" si="1"/>
        <v>204521.45200503519</v>
      </c>
      <c r="M40" s="17">
        <f>QuarterBreakup!J$22*'JSW One TMT (2)'!$C$57*'JSW One TMT (2)'!$D40</f>
        <v>162253.68525732795</v>
      </c>
      <c r="N40" s="17">
        <f>QuarterBreakup!K$22*'JSW One TMT (2)'!$C$57*'JSW One TMT (2)'!$D40</f>
        <v>139074.58736342395</v>
      </c>
      <c r="O40" s="17">
        <f>QuarterBreakup!L$22*'JSW One TMT (2)'!$C$57*'JSW One TMT (2)'!$D40</f>
        <v>162253.68525732795</v>
      </c>
      <c r="P40" s="26">
        <f>SUM(M40:O40)</f>
        <v>463581.95787807985</v>
      </c>
      <c r="Q40" s="17">
        <f>QuarterBreakup!J$28*'JSW One TMT (2)'!$C$57*'JSW One TMT (2)'!$D40</f>
        <v>136347.63467002352</v>
      </c>
      <c r="R40" s="17">
        <f>QuarterBreakup!K$28*'JSW One TMT (2)'!$C$57*'JSW One TMT (2)'!$D40</f>
        <v>102260.72600251761</v>
      </c>
      <c r="S40" s="17">
        <f>QuarterBreakup!L$28*'JSW One TMT (2)'!$C$57*'JSW One TMT (2)'!$D40</f>
        <v>102260.72600251761</v>
      </c>
      <c r="T40" s="191">
        <f t="shared" si="2"/>
        <v>340869.08667505876</v>
      </c>
      <c r="U40" s="283"/>
      <c r="V40" s="217"/>
      <c r="W40" s="283"/>
      <c r="X40" s="283"/>
    </row>
    <row r="41" spans="1:24">
      <c r="A41" s="14" t="s">
        <v>115</v>
      </c>
      <c r="B41" s="14" t="s">
        <v>116</v>
      </c>
      <c r="C41" s="30">
        <f>(B8*0.5)*2200</f>
        <v>1748717.9487179485</v>
      </c>
      <c r="D41" s="188">
        <f t="shared" si="4"/>
        <v>1.3366586473680856E-2</v>
      </c>
      <c r="E41" s="17">
        <f>QuarterBreakup!J$10*'JSW One TMT (2)'!$C$57*'JSW One TMT (2)'!$D41</f>
        <v>77990.847031253419</v>
      </c>
      <c r="F41" s="17">
        <f>QuarterBreakup!K$10*'JSW One TMT (2)'!$C$57*'JSW One TMT (2)'!$D41</f>
        <v>103987.79604167124</v>
      </c>
      <c r="G41" s="17">
        <f>QuarterBreakup!L$10*'JSW One TMT (2)'!$C$57*'JSW One TMT (2)'!$D41</f>
        <v>77990.847031253419</v>
      </c>
      <c r="H41" s="26">
        <f t="shared" si="5"/>
        <v>259969.49010417808</v>
      </c>
      <c r="I41" s="17">
        <f>QuarterBreakup!J$16*'JSW One TMT (2)'!$C$57*'JSW One TMT (2)'!$D41</f>
        <v>44994.719441107736</v>
      </c>
      <c r="J41" s="17">
        <f>QuarterBreakup!K$16*'JSW One TMT (2)'!$C$57*'JSW One TMT (2)'!$D41</f>
        <v>52493.83934795903</v>
      </c>
      <c r="K41" s="17">
        <f>QuarterBreakup!L$16*'JSW One TMT (2)'!$C$57*'JSW One TMT (2)'!$D41</f>
        <v>52493.83934795903</v>
      </c>
      <c r="L41" s="28">
        <f t="shared" si="1"/>
        <v>149982.3981370258</v>
      </c>
      <c r="M41" s="17">
        <f>QuarterBreakup!J$22*'JSW One TMT (2)'!$C$57*'JSW One TMT (2)'!$D41</f>
        <v>118986.03585537383</v>
      </c>
      <c r="N41" s="17">
        <f>QuarterBreakup!K$22*'JSW One TMT (2)'!$C$57*'JSW One TMT (2)'!$D41</f>
        <v>101988.03073317757</v>
      </c>
      <c r="O41" s="17">
        <f>QuarterBreakup!L$22*'JSW One TMT (2)'!$C$57*'JSW One TMT (2)'!$D41</f>
        <v>118986.03585537383</v>
      </c>
      <c r="P41" s="26">
        <f>SUM(M41:O41)</f>
        <v>339960.10244392522</v>
      </c>
      <c r="Q41" s="17">
        <f>QuarterBreakup!J$28*'JSW One TMT (2)'!$C$57*'JSW One TMT (2)'!$D41</f>
        <v>99988.265424683894</v>
      </c>
      <c r="R41" s="17">
        <f>QuarterBreakup!K$28*'JSW One TMT (2)'!$C$57*'JSW One TMT (2)'!$D41</f>
        <v>74991.199068512913</v>
      </c>
      <c r="S41" s="17">
        <f>QuarterBreakup!L$28*'JSW One TMT (2)'!$C$57*'JSW One TMT (2)'!$D41</f>
        <v>74991.199068512913</v>
      </c>
      <c r="T41" s="191">
        <f t="shared" si="2"/>
        <v>249970.66356170972</v>
      </c>
      <c r="U41" s="283"/>
      <c r="V41" s="217"/>
      <c r="W41" s="283"/>
      <c r="X41" s="283"/>
    </row>
    <row r="42" spans="1:24">
      <c r="A42" s="40" t="s">
        <v>117</v>
      </c>
      <c r="B42" s="40"/>
      <c r="C42" s="41">
        <f>SUM(C43:C46)</f>
        <v>3625000</v>
      </c>
      <c r="D42" s="41"/>
      <c r="E42" s="42">
        <f>SUM(E43:E46)</f>
        <v>156096.05014319782</v>
      </c>
      <c r="F42" s="42">
        <f t="shared" ref="F42:T42" si="6">SUM(F43:F46)</f>
        <v>208128.06685759715</v>
      </c>
      <c r="G42" s="42">
        <f t="shared" si="6"/>
        <v>156096.05014319782</v>
      </c>
      <c r="H42" s="42">
        <f t="shared" si="6"/>
        <v>520320.16714399279</v>
      </c>
      <c r="I42" s="42">
        <f t="shared" si="6"/>
        <v>90055.413544152587</v>
      </c>
      <c r="J42" s="42">
        <f t="shared" si="6"/>
        <v>105064.64913484469</v>
      </c>
      <c r="K42" s="42">
        <f t="shared" si="6"/>
        <v>105064.64913484469</v>
      </c>
      <c r="L42" s="42">
        <f t="shared" si="6"/>
        <v>300184.71181384195</v>
      </c>
      <c r="M42" s="42">
        <f t="shared" si="6"/>
        <v>288146.53803898132</v>
      </c>
      <c r="N42" s="42">
        <f t="shared" si="6"/>
        <v>204125.60403341259</v>
      </c>
      <c r="O42" s="42">
        <f t="shared" si="6"/>
        <v>263146.53803898132</v>
      </c>
      <c r="P42" s="42">
        <f t="shared" si="6"/>
        <v>755418.68011137529</v>
      </c>
      <c r="Q42" s="42">
        <f t="shared" si="6"/>
        <v>250123.14120922802</v>
      </c>
      <c r="R42" s="42">
        <f t="shared" si="6"/>
        <v>150092.355906921</v>
      </c>
      <c r="S42" s="42">
        <f t="shared" si="6"/>
        <v>150092.355906921</v>
      </c>
      <c r="T42" s="42">
        <f t="shared" si="6"/>
        <v>550307.85302307003</v>
      </c>
      <c r="U42" s="283"/>
      <c r="V42" s="217"/>
      <c r="W42" s="283"/>
      <c r="X42" s="283"/>
    </row>
    <row r="43" spans="1:24">
      <c r="A43" s="15" t="s">
        <v>119</v>
      </c>
      <c r="B43" s="14" t="s">
        <v>120</v>
      </c>
      <c r="C43" s="30">
        <f>2000*500</f>
        <v>1000000</v>
      </c>
      <c r="D43" s="188">
        <f>C43/$C$42</f>
        <v>0.27586206896551724</v>
      </c>
      <c r="E43" s="17">
        <f>$D43*$C$58*QuarterBreakup!J$10</f>
        <v>44598.871469485093</v>
      </c>
      <c r="F43" s="17">
        <f>$D43*$C$58*QuarterBreakup!K$10</f>
        <v>59465.161959313475</v>
      </c>
      <c r="G43" s="17">
        <f>$D43*$C$58*QuarterBreakup!L$10</f>
        <v>44598.871469485093</v>
      </c>
      <c r="H43" s="192">
        <f>SUM(E43:G43)</f>
        <v>148662.90489828365</v>
      </c>
      <c r="I43" s="17">
        <f>$D43*$C$58*QuarterBreakup!J$16</f>
        <v>25730.11815547217</v>
      </c>
      <c r="J43" s="17">
        <f>$D43*$C$58*QuarterBreakup!K$16</f>
        <v>30018.471181384197</v>
      </c>
      <c r="K43" s="17">
        <f>$D43*$C$58*QuarterBreakup!L$16</f>
        <v>30018.471181384197</v>
      </c>
      <c r="L43" s="28">
        <f t="shared" si="1"/>
        <v>85767.060518240571</v>
      </c>
      <c r="M43" s="31">
        <f>$D43*$C$58*QuarterBreakup!J$22</f>
        <v>68041.868011137529</v>
      </c>
      <c r="N43" s="31">
        <f>$D43*$C$58*QuarterBreakup!K$22</f>
        <v>58321.6011524036</v>
      </c>
      <c r="O43" s="31">
        <f>$D43*$C$58*QuarterBreakup!L$22</f>
        <v>68041.868011137529</v>
      </c>
      <c r="P43" s="26">
        <f>SUM(M43:O43)</f>
        <v>194405.33717467866</v>
      </c>
      <c r="Q43" s="31">
        <f>$D43*$C$58*QuarterBreakup!J$28</f>
        <v>57178.040345493726</v>
      </c>
      <c r="R43" s="31">
        <f>$D43*$C$58*QuarterBreakup!K$28</f>
        <v>42883.530259120285</v>
      </c>
      <c r="S43" s="31">
        <f>$D43*$C$58*QuarterBreakup!L$28</f>
        <v>42883.530259120285</v>
      </c>
      <c r="T43" s="191">
        <f t="shared" si="2"/>
        <v>142945.10086373429</v>
      </c>
      <c r="U43" s="283"/>
      <c r="V43" s="217"/>
      <c r="W43" s="283"/>
      <c r="X43" s="283"/>
    </row>
    <row r="44" spans="1:24">
      <c r="A44" s="15" t="s">
        <v>121</v>
      </c>
      <c r="B44" s="14" t="s">
        <v>122</v>
      </c>
      <c r="C44" s="30">
        <f>10*250000</f>
        <v>2500000</v>
      </c>
      <c r="D44" s="188">
        <f t="shared" ref="D44:D46" si="7">C44/$C$42</f>
        <v>0.68965517241379315</v>
      </c>
      <c r="E44" s="17">
        <f>$D44*$C$58*QuarterBreakup!J$10</f>
        <v>111497.17867371273</v>
      </c>
      <c r="F44" s="17">
        <f>$D44*$C$58*QuarterBreakup!K$10</f>
        <v>148662.90489828368</v>
      </c>
      <c r="G44" s="17">
        <f>$D44*$C$58*QuarterBreakup!L$10</f>
        <v>111497.17867371273</v>
      </c>
      <c r="H44" s="193">
        <f>SUM(E44:G44)</f>
        <v>371657.26224570913</v>
      </c>
      <c r="I44" s="17">
        <f>$D44*$C$58*QuarterBreakup!J$16</f>
        <v>64325.295388680417</v>
      </c>
      <c r="J44" s="17">
        <f>$D44*$C$58*QuarterBreakup!K$16</f>
        <v>75046.177953460487</v>
      </c>
      <c r="K44" s="17">
        <f>$D44*$C$58*QuarterBreakup!L$16</f>
        <v>75046.177953460487</v>
      </c>
      <c r="L44" s="28">
        <f t="shared" si="1"/>
        <v>214417.65129560139</v>
      </c>
      <c r="M44" s="31">
        <f>$D44*$C$58*QuarterBreakup!J$22</f>
        <v>170104.67002784379</v>
      </c>
      <c r="N44" s="31">
        <f>$D44*$C$58*QuarterBreakup!K$22</f>
        <v>145804.00288100899</v>
      </c>
      <c r="O44" s="31">
        <f>$D44*$C$58*QuarterBreakup!L$22</f>
        <v>170104.67002784379</v>
      </c>
      <c r="P44" s="26">
        <f>SUM(M44:O44)</f>
        <v>486013.3429366966</v>
      </c>
      <c r="Q44" s="31">
        <f>$D44*$C$58*QuarterBreakup!J$28</f>
        <v>142945.10086373429</v>
      </c>
      <c r="R44" s="31">
        <f>$D44*$C$58*QuarterBreakup!K$28</f>
        <v>107208.82564780071</v>
      </c>
      <c r="S44" s="31">
        <f>$D44*$C$58*QuarterBreakup!L$28</f>
        <v>107208.82564780071</v>
      </c>
      <c r="T44" s="191">
        <f t="shared" si="2"/>
        <v>357362.75215933571</v>
      </c>
      <c r="U44" s="283"/>
      <c r="V44" s="217"/>
      <c r="W44" s="283"/>
      <c r="X44" s="283"/>
    </row>
    <row r="45" spans="1:24">
      <c r="A45" s="15" t="s">
        <v>109</v>
      </c>
      <c r="B45" s="14" t="s">
        <v>123</v>
      </c>
      <c r="C45" s="30">
        <f>100*250</f>
        <v>25000</v>
      </c>
      <c r="D45" s="188">
        <f t="shared" si="7"/>
        <v>6.8965517241379309E-3</v>
      </c>
      <c r="E45" s="17"/>
      <c r="F45" s="17"/>
      <c r="G45" s="17"/>
      <c r="H45" s="193">
        <f>SUM(E45:G45)</f>
        <v>0</v>
      </c>
      <c r="I45" s="17"/>
      <c r="J45" s="17"/>
      <c r="K45" s="17"/>
      <c r="L45" s="28">
        <f t="shared" si="1"/>
        <v>0</v>
      </c>
      <c r="M45" s="31"/>
      <c r="N45" s="31"/>
      <c r="O45" s="31">
        <v>25000</v>
      </c>
      <c r="P45" s="26">
        <f>SUM(M45:O45)</f>
        <v>25000</v>
      </c>
      <c r="Q45" s="31"/>
      <c r="R45" s="31"/>
      <c r="S45" s="31"/>
      <c r="T45" s="191">
        <f t="shared" si="2"/>
        <v>0</v>
      </c>
      <c r="U45" s="283"/>
      <c r="V45" s="217"/>
      <c r="W45" s="283"/>
      <c r="X45" s="283"/>
    </row>
    <row r="46" spans="1:24">
      <c r="A46" s="15" t="s">
        <v>111</v>
      </c>
      <c r="B46" s="14" t="s">
        <v>124</v>
      </c>
      <c r="C46" s="30">
        <f>100*2*500</f>
        <v>100000</v>
      </c>
      <c r="D46" s="188">
        <f t="shared" si="7"/>
        <v>2.7586206896551724E-2</v>
      </c>
      <c r="E46" s="17"/>
      <c r="F46" s="17"/>
      <c r="G46" s="17"/>
      <c r="H46" s="193">
        <f>SUM(E46:G46)</f>
        <v>0</v>
      </c>
      <c r="I46" s="17"/>
      <c r="J46" s="17"/>
      <c r="K46" s="17"/>
      <c r="L46" s="28">
        <f t="shared" si="1"/>
        <v>0</v>
      </c>
      <c r="M46" s="31">
        <v>50000</v>
      </c>
      <c r="N46" s="31"/>
      <c r="O46" s="31"/>
      <c r="P46" s="26">
        <f>SUM(M46:O46)</f>
        <v>50000</v>
      </c>
      <c r="Q46" s="31">
        <v>50000</v>
      </c>
      <c r="R46" s="31"/>
      <c r="S46" s="31"/>
      <c r="T46" s="191">
        <f t="shared" si="2"/>
        <v>50000</v>
      </c>
      <c r="U46" s="283"/>
      <c r="V46" s="217"/>
      <c r="W46" s="283"/>
      <c r="X46" s="283"/>
    </row>
    <row r="47" spans="1:24">
      <c r="A47" s="12" t="s">
        <v>125</v>
      </c>
      <c r="B47" s="12"/>
      <c r="C47" s="22">
        <f>SUM(C48:C50)</f>
        <v>6800000</v>
      </c>
      <c r="D47" s="22"/>
      <c r="E47" s="42">
        <f>SUM(E48:E50)</f>
        <v>2650000</v>
      </c>
      <c r="F47" s="29">
        <f>SUM(F48:F50)</f>
        <v>2650000</v>
      </c>
      <c r="G47" s="29">
        <f>SUM(G48:G50)</f>
        <v>150000</v>
      </c>
      <c r="H47" s="29">
        <f>SUM(H48:H50)</f>
        <v>5450000</v>
      </c>
      <c r="I47" s="29">
        <f>SUM(I48:I50)</f>
        <v>150000</v>
      </c>
      <c r="J47" s="29">
        <f>SUM(J48:J50)</f>
        <v>150000</v>
      </c>
      <c r="K47" s="29">
        <f>SUM(K48:K50)</f>
        <v>150000</v>
      </c>
      <c r="L47" s="29">
        <f>SUM(L48:L50)</f>
        <v>450000</v>
      </c>
      <c r="M47" s="29">
        <f>SUM(M48:M50)</f>
        <v>150000</v>
      </c>
      <c r="N47" s="29">
        <f>SUM(N48:N50)</f>
        <v>150000</v>
      </c>
      <c r="O47" s="29">
        <f>SUM(O48:O50)</f>
        <v>150000</v>
      </c>
      <c r="P47" s="29">
        <f>SUM(P48:P50)</f>
        <v>450000</v>
      </c>
      <c r="Q47" s="29">
        <f>SUM(Q48:Q50)</f>
        <v>150000</v>
      </c>
      <c r="R47" s="29">
        <f>SUM(R48:R50)</f>
        <v>150000</v>
      </c>
      <c r="S47" s="29">
        <f>SUM(S48:S50)</f>
        <v>150000</v>
      </c>
      <c r="T47" s="29">
        <f>SUM(T48:T50)</f>
        <v>450000</v>
      </c>
      <c r="U47" s="283"/>
      <c r="V47" s="217"/>
      <c r="W47" s="283"/>
      <c r="X47" s="283"/>
    </row>
    <row r="48" spans="1:24">
      <c r="A48" s="14" t="s">
        <v>127</v>
      </c>
      <c r="B48" s="14" t="s">
        <v>128</v>
      </c>
      <c r="C48" s="30">
        <f>150000*12</f>
        <v>1800000</v>
      </c>
      <c r="D48" s="188">
        <f>C48/$C$47</f>
        <v>0.26470588235294118</v>
      </c>
      <c r="E48" s="17">
        <v>150000</v>
      </c>
      <c r="F48" s="17">
        <v>150000</v>
      </c>
      <c r="G48" s="17">
        <v>150000</v>
      </c>
      <c r="H48" s="26">
        <f>SUM(E48:G48)</f>
        <v>450000</v>
      </c>
      <c r="I48" s="17">
        <v>150000</v>
      </c>
      <c r="J48" s="17">
        <v>150000</v>
      </c>
      <c r="K48" s="17">
        <v>150000</v>
      </c>
      <c r="L48" s="28">
        <f t="shared" si="1"/>
        <v>450000</v>
      </c>
      <c r="M48" s="17">
        <v>150000</v>
      </c>
      <c r="N48" s="17">
        <v>150000</v>
      </c>
      <c r="O48" s="17">
        <v>150000</v>
      </c>
      <c r="P48" s="26">
        <f>SUM(M48:O48)</f>
        <v>450000</v>
      </c>
      <c r="Q48" s="17">
        <v>150000</v>
      </c>
      <c r="R48" s="17">
        <v>150000</v>
      </c>
      <c r="S48" s="17">
        <v>150000</v>
      </c>
      <c r="T48" s="32">
        <f>SUM(Q48:S48)</f>
        <v>450000</v>
      </c>
      <c r="U48" s="283"/>
      <c r="V48" s="217"/>
      <c r="W48" s="283"/>
      <c r="X48" s="283"/>
    </row>
    <row r="49" spans="1:24">
      <c r="A49" s="14" t="s">
        <v>129</v>
      </c>
      <c r="B49" s="14"/>
      <c r="C49" s="30"/>
      <c r="D49" s="188">
        <f t="shared" ref="D49:D50" si="8">C49/$C$47</f>
        <v>0</v>
      </c>
      <c r="E49" s="17">
        <f>$D49*$C$59*QuarterBreakup!J$10</f>
        <v>0</v>
      </c>
      <c r="F49" s="17">
        <f>$D49*$C$59*QuarterBreakup!K$10</f>
        <v>0</v>
      </c>
      <c r="G49" s="17">
        <f>$D49*$C$59*QuarterBreakup!L$10</f>
        <v>0</v>
      </c>
      <c r="H49" s="26">
        <f>SUM(E49:G49)</f>
        <v>0</v>
      </c>
      <c r="I49" s="17">
        <f>$D49*$C$59*QuarterBreakup!J$16</f>
        <v>0</v>
      </c>
      <c r="J49" s="17">
        <f>$D49*$C$59*QuarterBreakup!K$16</f>
        <v>0</v>
      </c>
      <c r="K49" s="17">
        <f>$D49*$C$59*QuarterBreakup!L$16</f>
        <v>0</v>
      </c>
      <c r="L49" s="28">
        <f t="shared" si="1"/>
        <v>0</v>
      </c>
      <c r="M49" s="17">
        <f>$D49*$C$59*QuarterBreakup!J$22</f>
        <v>0</v>
      </c>
      <c r="N49" s="17">
        <f>$D49*$C$59*QuarterBreakup!K$22</f>
        <v>0</v>
      </c>
      <c r="O49" s="17">
        <f>$D49*$C$59*QuarterBreakup!L$22</f>
        <v>0</v>
      </c>
      <c r="P49" s="26">
        <f>SUM(M49:O49)</f>
        <v>0</v>
      </c>
      <c r="Q49" s="31">
        <f>$D49*$C$59*QuarterBreakup!J$28</f>
        <v>0</v>
      </c>
      <c r="R49" s="31">
        <f>$D49*$C$59*QuarterBreakup!K$28</f>
        <v>0</v>
      </c>
      <c r="S49" s="31">
        <f>$D49*$C$59*QuarterBreakup!L$28</f>
        <v>0</v>
      </c>
      <c r="T49" s="32">
        <f>SUM(Q49:S49)</f>
        <v>0</v>
      </c>
      <c r="U49" s="283"/>
      <c r="V49" s="217"/>
      <c r="W49" s="283"/>
      <c r="X49" s="283"/>
    </row>
    <row r="50" spans="1:24">
      <c r="A50" s="5" t="s">
        <v>130</v>
      </c>
      <c r="B50" s="14" t="s">
        <v>131</v>
      </c>
      <c r="C50" s="30">
        <v>5000000</v>
      </c>
      <c r="D50" s="188">
        <f t="shared" si="8"/>
        <v>0.73529411764705888</v>
      </c>
      <c r="E50" s="31">
        <v>2500000</v>
      </c>
      <c r="F50" s="31">
        <v>2500000</v>
      </c>
      <c r="G50" s="31"/>
      <c r="H50" s="32">
        <f>SUM(E50:G50)</f>
        <v>5000000</v>
      </c>
      <c r="I50" s="17"/>
      <c r="J50" s="17"/>
      <c r="K50" s="17"/>
      <c r="L50" s="28">
        <f t="shared" si="1"/>
        <v>0</v>
      </c>
      <c r="M50" s="31"/>
      <c r="N50" s="31"/>
      <c r="O50" s="31"/>
      <c r="P50" s="32">
        <f>SUM(M50:O50)</f>
        <v>0</v>
      </c>
      <c r="Q50" s="31"/>
      <c r="R50" s="31"/>
      <c r="S50" s="31"/>
      <c r="T50" s="32">
        <f>SUM(Q50:S50)</f>
        <v>0</v>
      </c>
      <c r="U50" s="283"/>
      <c r="V50" s="217"/>
      <c r="W50" s="283"/>
      <c r="X50" s="283"/>
    </row>
    <row r="51" spans="1:24">
      <c r="A51" s="12" t="s">
        <v>178</v>
      </c>
      <c r="B51" s="12"/>
      <c r="C51" s="22">
        <f>SUM(C52)</f>
        <v>5000000</v>
      </c>
      <c r="D51" s="22"/>
      <c r="E51" s="29">
        <f>SUM(E52)</f>
        <v>222994.35734742545</v>
      </c>
      <c r="F51" s="29">
        <f t="shared" ref="F51:T51" si="9">SUM(F52)</f>
        <v>297325.80979656737</v>
      </c>
      <c r="G51" s="29">
        <f t="shared" si="9"/>
        <v>222994.35734742545</v>
      </c>
      <c r="H51" s="29">
        <f t="shared" si="9"/>
        <v>743314.52449141827</v>
      </c>
      <c r="I51" s="29">
        <f t="shared" si="9"/>
        <v>128650.59077736083</v>
      </c>
      <c r="J51" s="29">
        <f t="shared" si="9"/>
        <v>150092.35590692097</v>
      </c>
      <c r="K51" s="29">
        <f t="shared" si="9"/>
        <v>150092.35590692097</v>
      </c>
      <c r="L51" s="29">
        <f t="shared" si="9"/>
        <v>428835.30259120278</v>
      </c>
      <c r="M51" s="29">
        <f t="shared" si="9"/>
        <v>340209.34005568759</v>
      </c>
      <c r="N51" s="29">
        <f t="shared" si="9"/>
        <v>291608.00576201797</v>
      </c>
      <c r="O51" s="29">
        <f t="shared" si="9"/>
        <v>340209.34005568759</v>
      </c>
      <c r="P51" s="29">
        <f t="shared" si="9"/>
        <v>972026.6858733932</v>
      </c>
      <c r="Q51" s="29">
        <f t="shared" si="9"/>
        <v>285890.20172746858</v>
      </c>
      <c r="R51" s="29">
        <f t="shared" si="9"/>
        <v>214417.65129560142</v>
      </c>
      <c r="S51" s="29">
        <f t="shared" si="9"/>
        <v>214417.65129560142</v>
      </c>
      <c r="T51" s="29">
        <f t="shared" si="9"/>
        <v>714725.50431867142</v>
      </c>
      <c r="U51" s="283"/>
      <c r="V51" s="217"/>
      <c r="W51" s="283"/>
      <c r="X51" s="283"/>
    </row>
    <row r="52" spans="1:24">
      <c r="A52" s="176" t="s">
        <v>179</v>
      </c>
      <c r="B52" s="177"/>
      <c r="C52" s="178">
        <v>5000000</v>
      </c>
      <c r="D52" s="189">
        <f>C52/$C$51</f>
        <v>1</v>
      </c>
      <c r="E52" s="179">
        <f>$D52*$C$60*QuarterBreakup!J$10</f>
        <v>222994.35734742545</v>
      </c>
      <c r="F52" s="179">
        <f>$D52*$C$60*QuarterBreakup!K$10</f>
        <v>297325.80979656737</v>
      </c>
      <c r="G52" s="179">
        <f>$D52*$C$60*QuarterBreakup!L$10</f>
        <v>222994.35734742545</v>
      </c>
      <c r="H52" s="180">
        <f>SUM(E52:G52)</f>
        <v>743314.52449141827</v>
      </c>
      <c r="I52" s="179">
        <f>$D52*$C$60*QuarterBreakup!J$16</f>
        <v>128650.59077736083</v>
      </c>
      <c r="J52" s="179">
        <f>$D52*$C$60*QuarterBreakup!K$16</f>
        <v>150092.35590692097</v>
      </c>
      <c r="K52" s="179">
        <f>$D52*$C$60*QuarterBreakup!L$16</f>
        <v>150092.35590692097</v>
      </c>
      <c r="L52" s="28">
        <f t="shared" si="1"/>
        <v>428835.30259120278</v>
      </c>
      <c r="M52" s="195">
        <f>$D52*$C$60*QuarterBreakup!J$22</f>
        <v>340209.34005568759</v>
      </c>
      <c r="N52" s="195">
        <f>$D52*$C$60*QuarterBreakup!K$22</f>
        <v>291608.00576201797</v>
      </c>
      <c r="O52" s="195">
        <f>$D52*$C$60*QuarterBreakup!L$22</f>
        <v>340209.34005568759</v>
      </c>
      <c r="P52" s="32">
        <f>SUM(M52:O52)</f>
        <v>972026.6858733932</v>
      </c>
      <c r="Q52" s="195">
        <f>$D52*$C$60*QuarterBreakup!J$28</f>
        <v>285890.20172746858</v>
      </c>
      <c r="R52" s="195">
        <f>$D52*$C$60*QuarterBreakup!K$28</f>
        <v>214417.65129560142</v>
      </c>
      <c r="S52" s="195">
        <f>$D52*$C$60*QuarterBreakup!L$28</f>
        <v>214417.65129560142</v>
      </c>
      <c r="T52" s="32">
        <f>SUM(Q52:S52)</f>
        <v>714725.50431867142</v>
      </c>
      <c r="U52" s="283"/>
      <c r="V52" s="217"/>
      <c r="W52" s="283"/>
      <c r="X52" s="283"/>
    </row>
    <row r="53" spans="1:24">
      <c r="A53" s="6" t="s">
        <v>134</v>
      </c>
      <c r="B53" s="6"/>
      <c r="C53" s="35">
        <f>SUM(C11,C22,C42,C47,C51)</f>
        <v>315772564.1025641</v>
      </c>
      <c r="D53" s="35"/>
      <c r="E53" s="35">
        <f>SUM(E11,E22,E42,E47,E51)</f>
        <v>16733275.697495678</v>
      </c>
      <c r="F53" s="35">
        <f>SUM(F11,F22,F42,F47,F51)</f>
        <v>22907150.929994248</v>
      </c>
      <c r="G53" s="35">
        <f>SUM(G11,G22,G42,G47,G51)</f>
        <v>15376725.69749568</v>
      </c>
      <c r="H53" s="35">
        <f>SUM(H11,H22,H42,H47,H51)</f>
        <v>55017152.324985608</v>
      </c>
      <c r="I53" s="35">
        <f>SUM(I11,I22,I42,I47,I51)</f>
        <v>5523883.6197597217</v>
      </c>
      <c r="J53" s="35">
        <f>SUM(J11,J22,J42,J47,J51)</f>
        <v>6419530.8897196744</v>
      </c>
      <c r="K53" s="35">
        <f>SUM(K11,K22,K42,K47,K51)</f>
        <v>9289897.1040836312</v>
      </c>
      <c r="L53" s="35">
        <f>SUM(L11,L22,L42,L47,L51)</f>
        <v>21233311.613563024</v>
      </c>
      <c r="M53" s="35">
        <f>SUM(M11,M22,M42,M47,M51)</f>
        <v>23002968.692333158</v>
      </c>
      <c r="N53" s="35">
        <f>SUM(N11,N22,N42,N47,N51)</f>
        <v>19829539.3736482</v>
      </c>
      <c r="O53" s="35">
        <f>SUM(O11,O22,O42,O47,O51)</f>
        <v>23510307.794897262</v>
      </c>
      <c r="P53" s="35">
        <f>SUM(P11,P22,P42,P47,P51)</f>
        <v>66342815.860878609</v>
      </c>
      <c r="Q53" s="35">
        <f>SUM(Q11,Q22,Q42,Q47,Q51)</f>
        <v>19787071.407045748</v>
      </c>
      <c r="R53" s="35">
        <f>SUM(R11,R22,R42,R47,R51)</f>
        <v>13794995.862976616</v>
      </c>
      <c r="S53" s="35">
        <f>SUM(S11,S22,S42,S47,S51)</f>
        <v>13206995.862976616</v>
      </c>
      <c r="T53" s="35">
        <f>SUM(T11,T22,T42,T47,T51)</f>
        <v>46789063.132998973</v>
      </c>
      <c r="U53" s="283"/>
      <c r="V53" s="217"/>
      <c r="W53" s="283"/>
      <c r="X53" s="283"/>
    </row>
    <row r="54" spans="1:24" ht="15.75">
      <c r="A54" s="7"/>
      <c r="B54" s="7"/>
      <c r="C54" s="3"/>
      <c r="D54" s="3"/>
      <c r="E54" s="3"/>
      <c r="F54" s="3"/>
      <c r="G54" s="18"/>
      <c r="H54" s="198">
        <f>SUM(H53,L53,P53,T53)</f>
        <v>189382342.93242621</v>
      </c>
      <c r="I54" s="18"/>
      <c r="J54" s="18"/>
      <c r="K54" s="18"/>
      <c r="L54" s="18"/>
      <c r="M54" s="18"/>
      <c r="N54" s="18"/>
      <c r="O54" s="18"/>
      <c r="P54" s="18"/>
      <c r="Q54" s="18"/>
      <c r="R54" s="3"/>
      <c r="S54" s="3"/>
      <c r="T54" s="3"/>
      <c r="U54" s="283"/>
      <c r="V54" s="283"/>
      <c r="W54" s="283"/>
      <c r="X54" s="283"/>
    </row>
    <row r="55" spans="1:24" s="200" customFormat="1" ht="15.75">
      <c r="A55" s="205" t="s">
        <v>135</v>
      </c>
      <c r="B55" s="204" t="s">
        <v>180</v>
      </c>
      <c r="C55" s="9" t="s">
        <v>181</v>
      </c>
      <c r="D55" s="210"/>
      <c r="F55" s="203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1"/>
      <c r="S55" s="201"/>
      <c r="T55" s="201"/>
    </row>
    <row r="56" spans="1:24" ht="15.75">
      <c r="A56" s="44" t="str">
        <f>A11</f>
        <v>ATL Activities</v>
      </c>
      <c r="B56" s="37">
        <f>C11</f>
        <v>169520000</v>
      </c>
      <c r="C56" s="211">
        <f>B56/$B$61</f>
        <v>0.53684207962075914</v>
      </c>
      <c r="D56" s="208"/>
      <c r="E56" s="283"/>
      <c r="F56" s="19"/>
      <c r="G56" s="18"/>
      <c r="H56" s="215"/>
      <c r="I56" s="18"/>
      <c r="J56" s="18"/>
      <c r="K56" s="18"/>
      <c r="L56" s="216"/>
      <c r="M56" s="18"/>
      <c r="N56" s="18"/>
      <c r="O56" s="18"/>
      <c r="P56" s="216">
        <f>SUM(P11:P52)/2</f>
        <v>66342815.860878609</v>
      </c>
      <c r="Q56" s="18"/>
      <c r="R56" s="3"/>
      <c r="S56" s="3"/>
      <c r="T56" s="216">
        <f>SUM(T11:T52)/2</f>
        <v>46789063.132998981</v>
      </c>
      <c r="U56" s="283"/>
      <c r="V56" s="283"/>
      <c r="W56" s="283"/>
      <c r="X56" s="283"/>
    </row>
    <row r="57" spans="1:24" ht="15.75">
      <c r="A57" s="45" t="str">
        <f>A22</f>
        <v>BTL Activities</v>
      </c>
      <c r="B57" s="38">
        <f>C22</f>
        <v>130827564.10256411</v>
      </c>
      <c r="C57" s="212">
        <f t="shared" ref="C57:C60" si="10">B57/$B$61</f>
        <v>0.41430947135759028</v>
      </c>
      <c r="D57" s="208"/>
      <c r="E57" s="283"/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3"/>
      <c r="S57" s="3"/>
      <c r="T57" s="3"/>
      <c r="U57" s="283"/>
      <c r="V57" s="283"/>
      <c r="W57" s="283"/>
      <c r="X57" s="283"/>
    </row>
    <row r="58" spans="1:24" ht="15.75">
      <c r="A58" s="45" t="str">
        <f>A42</f>
        <v>Project BTL Activities</v>
      </c>
      <c r="B58" s="38">
        <f>C42</f>
        <v>3625000</v>
      </c>
      <c r="C58" s="212">
        <f>B58/$B$61</f>
        <v>1.1479781374618052E-2</v>
      </c>
      <c r="D58" s="208"/>
      <c r="E58" s="283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3"/>
      <c r="S58" s="3"/>
      <c r="T58" s="3"/>
      <c r="U58" s="283"/>
      <c r="V58" s="283"/>
      <c r="W58" s="283"/>
      <c r="X58" s="283"/>
    </row>
    <row r="59" spans="1:24" ht="15.75">
      <c r="A59" s="44" t="str">
        <f>A47</f>
        <v>Digital Marketing Collaterals</v>
      </c>
      <c r="B59" s="37">
        <f>C47</f>
        <v>6800000</v>
      </c>
      <c r="C59" s="211">
        <f t="shared" si="10"/>
        <v>2.1534486440662828E-2</v>
      </c>
      <c r="D59" s="208"/>
      <c r="E59" s="283"/>
      <c r="F59" s="1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3"/>
      <c r="S59" s="3"/>
      <c r="T59" s="3"/>
      <c r="U59" s="283"/>
      <c r="V59" s="283"/>
      <c r="W59" s="283"/>
      <c r="X59" s="283"/>
    </row>
    <row r="60" spans="1:24" ht="15.75">
      <c r="A60" s="44" t="str">
        <f>A51</f>
        <v>Discretionary Budget</v>
      </c>
      <c r="B60" s="37">
        <f>C51</f>
        <v>5000000</v>
      </c>
      <c r="C60" s="211">
        <f>B60/$B$61</f>
        <v>1.5834181206369726E-2</v>
      </c>
      <c r="D60" s="208"/>
      <c r="E60" s="283"/>
      <c r="F60" s="19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3"/>
      <c r="S60" s="3"/>
      <c r="T60" s="3"/>
      <c r="U60" s="283"/>
      <c r="V60" s="283"/>
      <c r="W60" s="283"/>
      <c r="X60" s="283"/>
    </row>
    <row r="61" spans="1:24" ht="15.75">
      <c r="A61" s="8" t="s">
        <v>134</v>
      </c>
      <c r="B61" s="207">
        <f>SUM(B56:B60)</f>
        <v>315772564.1025641</v>
      </c>
      <c r="C61" s="39"/>
      <c r="D61" s="209"/>
      <c r="E61" s="283"/>
      <c r="F61" s="20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3"/>
      <c r="S61" s="3"/>
      <c r="T61" s="3"/>
      <c r="U61" s="283"/>
      <c r="V61" s="283"/>
      <c r="W61" s="283"/>
      <c r="X61" s="283"/>
    </row>
    <row r="62" spans="1:24" ht="15.75">
      <c r="A62" s="7"/>
      <c r="B62" s="7"/>
      <c r="C62" s="3"/>
      <c r="D62" s="3"/>
      <c r="E62" s="3"/>
      <c r="F62" s="3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3"/>
      <c r="S62" s="3"/>
      <c r="T62" s="3"/>
      <c r="U62" s="283"/>
      <c r="V62" s="283"/>
      <c r="W62" s="283"/>
      <c r="X62" s="283"/>
    </row>
    <row r="63" spans="1:24" ht="15.75">
      <c r="A63" s="9" t="s">
        <v>182</v>
      </c>
      <c r="B63" s="204" t="s">
        <v>180</v>
      </c>
      <c r="C63" s="9" t="s">
        <v>181</v>
      </c>
      <c r="D63" s="3"/>
      <c r="E63" s="3"/>
      <c r="F63" s="3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3"/>
      <c r="S63" s="3"/>
      <c r="T63" s="3"/>
      <c r="U63" s="283"/>
      <c r="V63" s="283"/>
      <c r="W63" s="283"/>
      <c r="X63" s="283"/>
    </row>
    <row r="64" spans="1:24" ht="15.75">
      <c r="A64" s="44" t="s">
        <v>48</v>
      </c>
      <c r="B64" s="199">
        <f>H53</f>
        <v>55017152.324985608</v>
      </c>
      <c r="C64" s="211">
        <f>B64/$B$68</f>
        <v>0.29050835190383273</v>
      </c>
      <c r="D64" s="3"/>
      <c r="E64" s="3"/>
      <c r="F64" s="3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3"/>
      <c r="S64" s="3"/>
      <c r="T64" s="3"/>
      <c r="U64" s="283"/>
      <c r="V64" s="283"/>
      <c r="W64" s="283"/>
      <c r="X64" s="283"/>
    </row>
    <row r="65" spans="1:24" ht="15.75">
      <c r="A65" s="45" t="s">
        <v>49</v>
      </c>
      <c r="B65" s="206">
        <f>L53</f>
        <v>21233311.613563024</v>
      </c>
      <c r="C65" s="212">
        <f t="shared" ref="C65:C67" si="11">B65/$B$68</f>
        <v>0.11211875027409135</v>
      </c>
      <c r="D65" s="3"/>
      <c r="E65" s="3"/>
      <c r="F65" s="3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3"/>
      <c r="S65" s="3"/>
      <c r="T65" s="3"/>
      <c r="U65" s="283"/>
      <c r="V65" s="283"/>
      <c r="W65" s="283"/>
      <c r="X65" s="283"/>
    </row>
    <row r="66" spans="1:24" ht="15.75">
      <c r="A66" s="45" t="s">
        <v>50</v>
      </c>
      <c r="B66" s="206">
        <f>P53</f>
        <v>66342815.860878609</v>
      </c>
      <c r="C66" s="212">
        <f t="shared" si="11"/>
        <v>0.3503115170802934</v>
      </c>
      <c r="D66" s="3"/>
      <c r="E66" s="3"/>
      <c r="F66" s="3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3"/>
      <c r="S66" s="3"/>
      <c r="T66" s="3"/>
      <c r="U66" s="283"/>
      <c r="V66" s="283"/>
      <c r="W66" s="283"/>
      <c r="X66" s="283"/>
    </row>
    <row r="67" spans="1:24">
      <c r="A67" s="44" t="s">
        <v>51</v>
      </c>
      <c r="B67" s="199">
        <f>T53</f>
        <v>46789063.132998973</v>
      </c>
      <c r="C67" s="211">
        <f t="shared" si="11"/>
        <v>0.24706138074178249</v>
      </c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</row>
    <row r="68" spans="1:24">
      <c r="A68" s="8" t="s">
        <v>134</v>
      </c>
      <c r="B68" s="207">
        <f>SUM(B64:B67)</f>
        <v>189382342.93242621</v>
      </c>
      <c r="C68" s="39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</row>
    <row r="69" spans="1:24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</row>
    <row r="70" spans="1:24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</row>
    <row r="71" spans="1:24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</row>
    <row r="72" spans="1:24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</row>
    <row r="73" spans="1:24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</row>
    <row r="74" spans="1:24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</row>
    <row r="75" spans="1:24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</row>
    <row r="76" spans="1:24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</row>
    <row r="77" spans="1:24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</row>
    <row r="78" spans="1:24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</row>
    <row r="79" spans="1:24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</row>
    <row r="80" spans="1:24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</row>
    <row r="81" spans="1:24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</row>
    <row r="82" spans="1:24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</row>
    <row r="83" spans="1:24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</row>
    <row r="84" spans="1:24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</row>
    <row r="85" spans="1:24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</row>
    <row r="86" spans="1:24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</row>
    <row r="87" spans="1:24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</row>
    <row r="88" spans="1:24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</row>
    <row r="89" spans="1:24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</row>
    <row r="90" spans="1:24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</row>
    <row r="91" spans="1:24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</row>
    <row r="92" spans="1:24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</row>
    <row r="93" spans="1:24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</row>
    <row r="94" spans="1:24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</row>
    <row r="95" spans="1:24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</row>
    <row r="96" spans="1:24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</row>
    <row r="97" spans="1:24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</row>
  </sheetData>
  <mergeCells count="8">
    <mergeCell ref="M1:P1"/>
    <mergeCell ref="Q1:T1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490D-2BB9-4428-95DC-2B0EEA2ECB34}">
  <dimension ref="A1:X98"/>
  <sheetViews>
    <sheetView workbookViewId="0">
      <pane xSplit="1" ySplit="2" topLeftCell="B30" activePane="bottomRight" state="frozen"/>
      <selection pane="bottomRight" activeCell="A58" sqref="A58:C63"/>
      <selection pane="bottomLeft"/>
      <selection pane="topRight"/>
    </sheetView>
  </sheetViews>
  <sheetFormatPr defaultRowHeight="15"/>
  <cols>
    <col min="1" max="1" width="62" style="4" bestFit="1" customWidth="1"/>
    <col min="2" max="2" width="55.7109375" style="4" customWidth="1"/>
    <col min="3" max="3" width="31.140625" style="4" customWidth="1"/>
    <col min="4" max="4" width="9" style="4" customWidth="1"/>
    <col min="5" max="5" width="14.28515625" style="4" customWidth="1"/>
    <col min="6" max="6" width="17.140625" style="4" customWidth="1"/>
    <col min="7" max="20" width="13.140625" style="4" customWidth="1"/>
    <col min="21" max="16384" width="9.140625" style="4"/>
  </cols>
  <sheetData>
    <row r="1" spans="1:24" ht="24.75" customHeight="1">
      <c r="A1" s="278" t="s">
        <v>135</v>
      </c>
      <c r="B1" s="278" t="s">
        <v>54</v>
      </c>
      <c r="C1" s="278" t="s">
        <v>144</v>
      </c>
      <c r="D1" s="278" t="s">
        <v>145</v>
      </c>
      <c r="E1" s="280" t="s">
        <v>146</v>
      </c>
      <c r="F1" s="280"/>
      <c r="G1" s="280"/>
      <c r="H1" s="280"/>
      <c r="I1" s="281" t="s">
        <v>147</v>
      </c>
      <c r="J1" s="281"/>
      <c r="K1" s="281"/>
      <c r="L1" s="281"/>
      <c r="M1" s="280" t="s">
        <v>148</v>
      </c>
      <c r="N1" s="280"/>
      <c r="O1" s="280"/>
      <c r="P1" s="282"/>
      <c r="Q1" s="277" t="s">
        <v>149</v>
      </c>
      <c r="R1" s="277"/>
      <c r="S1" s="277"/>
      <c r="T1" s="277"/>
      <c r="U1" s="283"/>
      <c r="V1" s="283"/>
      <c r="W1" s="283"/>
      <c r="X1" s="283"/>
    </row>
    <row r="2" spans="1:24">
      <c r="A2" s="279"/>
      <c r="B2" s="279"/>
      <c r="C2" s="279"/>
      <c r="D2" s="279"/>
      <c r="E2" s="11" t="s">
        <v>150</v>
      </c>
      <c r="F2" s="11" t="s">
        <v>151</v>
      </c>
      <c r="G2" s="11" t="s">
        <v>152</v>
      </c>
      <c r="H2" s="11" t="s">
        <v>153</v>
      </c>
      <c r="I2" s="10" t="s">
        <v>154</v>
      </c>
      <c r="J2" s="10" t="s">
        <v>155</v>
      </c>
      <c r="K2" s="10" t="s">
        <v>156</v>
      </c>
      <c r="L2" s="10" t="s">
        <v>157</v>
      </c>
      <c r="M2" s="11" t="s">
        <v>158</v>
      </c>
      <c r="N2" s="11" t="s">
        <v>159</v>
      </c>
      <c r="O2" s="11" t="s">
        <v>160</v>
      </c>
      <c r="P2" s="72" t="s">
        <v>161</v>
      </c>
      <c r="Q2" s="74" t="s">
        <v>162</v>
      </c>
      <c r="R2" s="74" t="s">
        <v>163</v>
      </c>
      <c r="S2" s="74" t="s">
        <v>164</v>
      </c>
      <c r="T2" s="74" t="s">
        <v>165</v>
      </c>
      <c r="U2" s="283"/>
      <c r="V2" s="283"/>
      <c r="W2" s="283"/>
      <c r="X2" s="283"/>
    </row>
    <row r="3" spans="1:24">
      <c r="A3" s="12" t="s">
        <v>166</v>
      </c>
      <c r="B3" s="12"/>
      <c r="C3" s="22"/>
      <c r="D3" s="22"/>
      <c r="E3" s="23"/>
      <c r="F3" s="23"/>
      <c r="G3" s="23"/>
      <c r="H3" s="23"/>
      <c r="I3" s="24"/>
      <c r="J3" s="24"/>
      <c r="K3" s="24"/>
      <c r="L3" s="24"/>
      <c r="M3" s="23"/>
      <c r="N3" s="23"/>
      <c r="O3" s="23"/>
      <c r="P3" s="23"/>
      <c r="Q3" s="73"/>
      <c r="R3" s="73"/>
      <c r="S3" s="73"/>
      <c r="T3" s="73"/>
      <c r="U3" s="283"/>
      <c r="V3" s="283"/>
      <c r="W3" s="283"/>
      <c r="X3" s="283"/>
    </row>
    <row r="4" spans="1:24">
      <c r="A4" s="13" t="s">
        <v>36</v>
      </c>
      <c r="B4" s="71">
        <v>56</v>
      </c>
      <c r="C4" s="25"/>
      <c r="D4" s="25"/>
      <c r="E4" s="17"/>
      <c r="F4" s="17"/>
      <c r="G4" s="17"/>
      <c r="H4" s="26"/>
      <c r="I4" s="27"/>
      <c r="J4" s="27"/>
      <c r="K4" s="27"/>
      <c r="L4" s="28"/>
      <c r="M4" s="17"/>
      <c r="N4" s="17"/>
      <c r="O4" s="17"/>
      <c r="P4" s="26"/>
      <c r="Q4" s="27"/>
      <c r="R4" s="27"/>
      <c r="S4" s="27"/>
      <c r="T4" s="28"/>
      <c r="U4" s="283"/>
      <c r="V4" s="283"/>
      <c r="W4" s="283"/>
      <c r="X4" s="283"/>
    </row>
    <row r="5" spans="1:24">
      <c r="A5" s="13" t="s">
        <v>37</v>
      </c>
      <c r="B5" s="21">
        <v>31000</v>
      </c>
      <c r="C5" s="21"/>
      <c r="D5" s="21"/>
      <c r="E5" s="17"/>
      <c r="F5" s="17"/>
      <c r="G5" s="17"/>
      <c r="H5" s="26"/>
      <c r="I5" s="27"/>
      <c r="J5" s="27"/>
      <c r="K5" s="27"/>
      <c r="L5" s="28"/>
      <c r="M5" s="17"/>
      <c r="N5" s="17"/>
      <c r="O5" s="17"/>
      <c r="P5" s="26"/>
      <c r="Q5" s="27"/>
      <c r="R5" s="27"/>
      <c r="S5" s="27"/>
      <c r="T5" s="28"/>
      <c r="U5" s="283"/>
      <c r="V5" s="283"/>
      <c r="W5" s="283"/>
      <c r="X5" s="283"/>
    </row>
    <row r="6" spans="1:24">
      <c r="A6" s="13" t="s">
        <v>38</v>
      </c>
      <c r="B6" s="21">
        <v>30</v>
      </c>
      <c r="C6" s="21"/>
      <c r="D6" s="21"/>
      <c r="E6" s="17"/>
      <c r="F6" s="17"/>
      <c r="G6" s="17"/>
      <c r="H6" s="26"/>
      <c r="I6" s="27"/>
      <c r="J6" s="27"/>
      <c r="K6" s="27"/>
      <c r="L6" s="28"/>
      <c r="M6" s="17"/>
      <c r="N6" s="17"/>
      <c r="O6" s="17"/>
      <c r="P6" s="26"/>
      <c r="Q6" s="27"/>
      <c r="R6" s="27"/>
      <c r="S6" s="27"/>
      <c r="T6" s="28"/>
      <c r="U6" s="283"/>
      <c r="V6" s="283"/>
      <c r="W6" s="283"/>
      <c r="X6" s="283"/>
    </row>
    <row r="7" spans="1:24">
      <c r="A7" s="13" t="s">
        <v>39</v>
      </c>
      <c r="B7" s="21">
        <f>B8*3</f>
        <v>4769.2307692307686</v>
      </c>
      <c r="C7" s="21"/>
      <c r="D7" s="21"/>
      <c r="E7" s="17"/>
      <c r="F7" s="17"/>
      <c r="G7" s="17"/>
      <c r="H7" s="26"/>
      <c r="I7" s="27"/>
      <c r="J7" s="27"/>
      <c r="K7" s="27"/>
      <c r="L7" s="28"/>
      <c r="M7" s="17"/>
      <c r="N7" s="17"/>
      <c r="O7" s="17"/>
      <c r="P7" s="26"/>
      <c r="Q7" s="27"/>
      <c r="R7" s="27"/>
      <c r="S7" s="27"/>
      <c r="T7" s="28"/>
      <c r="U7" s="283"/>
      <c r="V7" s="283"/>
      <c r="W7" s="283"/>
      <c r="X7" s="283"/>
    </row>
    <row r="8" spans="1:24">
      <c r="A8" s="13" t="s">
        <v>40</v>
      </c>
      <c r="B8" s="126">
        <f>B9/65%</f>
        <v>1589.7435897435896</v>
      </c>
      <c r="C8" s="21"/>
      <c r="D8" s="21"/>
      <c r="E8" s="17"/>
      <c r="F8" s="17"/>
      <c r="G8" s="17"/>
      <c r="H8" s="26"/>
      <c r="I8" s="27"/>
      <c r="J8" s="27"/>
      <c r="K8" s="27"/>
      <c r="L8" s="28"/>
      <c r="M8" s="17"/>
      <c r="N8" s="17"/>
      <c r="O8" s="17"/>
      <c r="P8" s="26"/>
      <c r="Q8" s="27"/>
      <c r="R8" s="27"/>
      <c r="S8" s="27"/>
      <c r="T8" s="28"/>
      <c r="U8" s="283"/>
      <c r="V8" s="283"/>
      <c r="W8" s="283"/>
      <c r="X8" s="283"/>
    </row>
    <row r="9" spans="1:24">
      <c r="A9" s="13" t="s">
        <v>42</v>
      </c>
      <c r="B9" s="126">
        <f>B5/B6</f>
        <v>1033.3333333333333</v>
      </c>
      <c r="C9" s="21"/>
      <c r="D9" s="21"/>
      <c r="E9" s="17"/>
      <c r="F9" s="17"/>
      <c r="G9" s="17"/>
      <c r="H9" s="26"/>
      <c r="I9" s="27"/>
      <c r="J9" s="27"/>
      <c r="K9" s="27"/>
      <c r="L9" s="28"/>
      <c r="M9" s="17"/>
      <c r="N9" s="17"/>
      <c r="O9" s="17"/>
      <c r="P9" s="26"/>
      <c r="Q9" s="27"/>
      <c r="R9" s="27"/>
      <c r="S9" s="27"/>
      <c r="T9" s="28"/>
      <c r="U9" s="283"/>
      <c r="V9" s="283"/>
      <c r="W9" s="283"/>
      <c r="X9" s="283"/>
    </row>
    <row r="10" spans="1:24">
      <c r="A10" s="13" t="s">
        <v>44</v>
      </c>
      <c r="B10" s="248">
        <v>194</v>
      </c>
      <c r="C10" s="25"/>
      <c r="D10" s="25"/>
      <c r="E10" s="17"/>
      <c r="F10" s="17"/>
      <c r="G10" s="17"/>
      <c r="H10" s="26"/>
      <c r="I10" s="27"/>
      <c r="J10" s="27"/>
      <c r="K10" s="27"/>
      <c r="L10" s="28"/>
      <c r="M10" s="17"/>
      <c r="N10" s="17"/>
      <c r="O10" s="17"/>
      <c r="P10" s="26"/>
      <c r="Q10" s="27"/>
      <c r="R10" s="27"/>
      <c r="S10" s="27"/>
      <c r="T10" s="28"/>
      <c r="U10" s="283"/>
      <c r="V10" s="283"/>
      <c r="W10" s="283"/>
      <c r="X10" s="283"/>
    </row>
    <row r="11" spans="1:24">
      <c r="A11" s="12" t="s">
        <v>53</v>
      </c>
      <c r="B11" s="12"/>
      <c r="C11" s="22">
        <f>SUM(C12:C17)</f>
        <v>60540000</v>
      </c>
      <c r="D11" s="22"/>
      <c r="E11" s="29">
        <f>SUM(E12:E17)</f>
        <v>5350545</v>
      </c>
      <c r="F11" s="29">
        <f>SUM(F12:F17)</f>
        <v>7176585</v>
      </c>
      <c r="G11" s="29">
        <f>SUM(G12:G17)</f>
        <v>4974120</v>
      </c>
      <c r="H11" s="29">
        <f>SUM(H12:H17)</f>
        <v>17501250</v>
      </c>
      <c r="I11" s="29">
        <f>SUM(I12:I17)</f>
        <v>1143000</v>
      </c>
      <c r="J11" s="29">
        <f>SUM(J12:J17)</f>
        <v>1333500</v>
      </c>
      <c r="K11" s="29">
        <f>SUM(K12:K17)</f>
        <v>3178350</v>
      </c>
      <c r="L11" s="29">
        <f>SUM(L12:L17)</f>
        <v>5654850</v>
      </c>
      <c r="M11" s="29">
        <f>SUM(M12:M17)</f>
        <v>7742910</v>
      </c>
      <c r="N11" s="29">
        <f>SUM(N12:N17)</f>
        <v>6713730</v>
      </c>
      <c r="O11" s="29">
        <f>SUM(O12:O17)</f>
        <v>7204260</v>
      </c>
      <c r="P11" s="29">
        <f>SUM(P12:P17)</f>
        <v>21660900</v>
      </c>
      <c r="Q11" s="29">
        <f>SUM(Q12:Q17)</f>
        <v>6348000.0000000009</v>
      </c>
      <c r="R11" s="29">
        <f>SUM(R12:R17)</f>
        <v>4834500</v>
      </c>
      <c r="S11" s="29">
        <f>SUM(S12:S17)</f>
        <v>4540500</v>
      </c>
      <c r="T11" s="29">
        <f>SUM(T12:T17)</f>
        <v>15723000</v>
      </c>
      <c r="U11" s="283"/>
      <c r="V11" s="283"/>
      <c r="W11" s="283"/>
      <c r="X11" s="283"/>
    </row>
    <row r="12" spans="1:24">
      <c r="A12" s="14" t="s">
        <v>58</v>
      </c>
      <c r="B12" s="14" t="s">
        <v>192</v>
      </c>
      <c r="C12" s="30">
        <f>82*15000*14</f>
        <v>17220000</v>
      </c>
      <c r="D12" s="188">
        <f>C12/$C$11</f>
        <v>0.28444003964321107</v>
      </c>
      <c r="E12" s="17">
        <f>($D12*QuarterBreakup!J$10*'JSW One TMT'!$C$51)+904050/2</f>
        <v>1795184.9999999998</v>
      </c>
      <c r="F12" s="17">
        <f>($D12*QuarterBreakup!K$10*'JSW One TMT'!$C$51)+904050/2</f>
        <v>2242905</v>
      </c>
      <c r="G12" s="17">
        <f>($D12*QuarterBreakup!L$10*'JSW One TMT'!$C$51)</f>
        <v>1343159.9999999998</v>
      </c>
      <c r="H12" s="190">
        <f>E12+F12+G12</f>
        <v>5381250</v>
      </c>
      <c r="I12" s="17"/>
      <c r="J12" s="17"/>
      <c r="K12" s="17">
        <f>($D12*QuarterBreakup!L$16*'JSW One TMT'!$C$51)</f>
        <v>904049.99999999988</v>
      </c>
      <c r="L12" s="196">
        <f>I12+J12+K12</f>
        <v>904049.99999999988</v>
      </c>
      <c r="M12" s="17">
        <f>$D12*QuarterBreakup!J$22*'JSW One TMT'!$C$51+774900/2</f>
        <v>2436630</v>
      </c>
      <c r="N12" s="17">
        <f>$D12*QuarterBreakup!K$22*'JSW One TMT'!$C$51+774900/2</f>
        <v>2143890</v>
      </c>
      <c r="O12" s="17">
        <f>$D12*QuarterBreakup!L$22*'JSW One TMT'!$C$51</f>
        <v>2049179.9999999998</v>
      </c>
      <c r="P12" s="191">
        <f>M12+N12+O12</f>
        <v>6629700</v>
      </c>
      <c r="Q12" s="17">
        <f>$D12*QuarterBreakup!J$28*'JSW One TMT'!$C$51</f>
        <v>1722000.0000000002</v>
      </c>
      <c r="R12" s="17">
        <f>$D12*QuarterBreakup!K$28*'JSW One TMT'!$C$51</f>
        <v>1291500</v>
      </c>
      <c r="S12" s="17">
        <f>$D12*QuarterBreakup!L$28*'JSW One TMT'!$C$51</f>
        <v>1291500</v>
      </c>
      <c r="T12" s="191">
        <f>Q12+R12+S12</f>
        <v>4305000</v>
      </c>
      <c r="U12" s="283"/>
      <c r="V12" s="283"/>
      <c r="W12" s="283"/>
      <c r="X12" s="283"/>
    </row>
    <row r="13" spans="1:24" ht="37.5">
      <c r="A13" s="14" t="s">
        <v>61</v>
      </c>
      <c r="B13" s="43" t="s">
        <v>184</v>
      </c>
      <c r="C13" s="30">
        <f>4*3*250000*2</f>
        <v>6000000</v>
      </c>
      <c r="D13" s="188">
        <f t="shared" ref="D13:D16" si="0">C13/$C$11</f>
        <v>9.9108027750247768E-2</v>
      </c>
      <c r="E13" s="17">
        <f>($D13*QuarterBreakup!J$10*'JSW One TMT'!$C$51)</f>
        <v>468000</v>
      </c>
      <c r="F13" s="17">
        <f>($D13*QuarterBreakup!K$10*'JSW One TMT'!$C$51)</f>
        <v>624000.00000000012</v>
      </c>
      <c r="G13" s="17">
        <f>($D13*QuarterBreakup!L$10*'JSW One TMT'!$C$51)</f>
        <v>468000</v>
      </c>
      <c r="H13" s="190">
        <f>E13+F13+G13</f>
        <v>1560000</v>
      </c>
      <c r="I13" s="31">
        <f>($D13*QuarterBreakup!J$16*'JSW One TMT'!$C$51)</f>
        <v>270000</v>
      </c>
      <c r="J13" s="31">
        <f>($D13*QuarterBreakup!K$16*'JSW One TMT'!$C$51)</f>
        <v>315000</v>
      </c>
      <c r="K13" s="31">
        <f>($D13*QuarterBreakup!L$16*'JSW One TMT'!$C$51)</f>
        <v>315000</v>
      </c>
      <c r="L13" s="196">
        <f t="shared" ref="L13:L47" si="1">I13+J13+K13</f>
        <v>900000</v>
      </c>
      <c r="M13" s="17">
        <f>$D13*QuarterBreakup!J$22*'JSW One TMT'!$C$51</f>
        <v>714000.00000000012</v>
      </c>
      <c r="N13" s="17">
        <f>$D13*QuarterBreakup!K$22*'JSW One TMT'!$C$51</f>
        <v>612000.00000000012</v>
      </c>
      <c r="O13" s="17">
        <f>$D13*QuarterBreakup!L$22*'JSW One TMT'!$C$51</f>
        <v>714000.00000000012</v>
      </c>
      <c r="P13" s="191">
        <f>M13+N13+O13</f>
        <v>2040000.0000000005</v>
      </c>
      <c r="Q13" s="17">
        <f>$D13*QuarterBreakup!J$28*'JSW One TMT'!$C$51</f>
        <v>600000.00000000012</v>
      </c>
      <c r="R13" s="17">
        <f>$D13*QuarterBreakup!K$28*'JSW One TMT'!$C$51</f>
        <v>450000</v>
      </c>
      <c r="S13" s="17">
        <f>$D13*QuarterBreakup!L$28*'JSW One TMT'!$C$51</f>
        <v>450000</v>
      </c>
      <c r="T13" s="191">
        <f t="shared" ref="T13:T41" si="2">Q13+R13+S13</f>
        <v>1500000</v>
      </c>
      <c r="U13" s="283"/>
      <c r="V13" s="283"/>
      <c r="W13" s="283"/>
      <c r="X13" s="283"/>
    </row>
    <row r="14" spans="1:24" ht="24.75">
      <c r="A14" s="14" t="s">
        <v>67</v>
      </c>
      <c r="B14" s="43" t="s">
        <v>170</v>
      </c>
      <c r="C14" s="30">
        <f>4*3*600000*2</f>
        <v>14400000</v>
      </c>
      <c r="D14" s="188">
        <f t="shared" si="0"/>
        <v>0.23785926660059464</v>
      </c>
      <c r="E14" s="17">
        <f>($D14*QuarterBreakup!J$10*'JSW One TMT'!$C$51)</f>
        <v>1123200</v>
      </c>
      <c r="F14" s="17">
        <f>($D14*QuarterBreakup!K$10*'JSW One TMT'!$C$51)</f>
        <v>1497600.0000000002</v>
      </c>
      <c r="G14" s="17">
        <f>($D14*QuarterBreakup!L$10*'JSW One TMT'!$C$51)</f>
        <v>1123200</v>
      </c>
      <c r="H14" s="191">
        <f>E14+F14+G14</f>
        <v>3744000</v>
      </c>
      <c r="I14" s="31">
        <f>($D14*QuarterBreakup!J$16*'JSW One TMT'!$C$51)</f>
        <v>648000</v>
      </c>
      <c r="J14" s="31">
        <f>($D14*QuarterBreakup!K$16*'JSW One TMT'!$C$51)</f>
        <v>756000</v>
      </c>
      <c r="K14" s="31">
        <f>($D14*QuarterBreakup!L$16*'JSW One TMT'!$C$51)</f>
        <v>756000</v>
      </c>
      <c r="L14" s="196">
        <f t="shared" si="1"/>
        <v>2160000</v>
      </c>
      <c r="M14" s="17">
        <f>$D14*QuarterBreakup!J$22*'JSW One TMT'!$C$51</f>
        <v>1713600.0000000002</v>
      </c>
      <c r="N14" s="17">
        <f>$D14*QuarterBreakup!K$22*'JSW One TMT'!$C$51</f>
        <v>1468800.0000000002</v>
      </c>
      <c r="O14" s="17">
        <f>$D14*QuarterBreakup!L$22*'JSW One TMT'!$C$51</f>
        <v>1713600.0000000002</v>
      </c>
      <c r="P14" s="191">
        <f>M14+N14+O14</f>
        <v>4896000.0000000009</v>
      </c>
      <c r="Q14" s="17">
        <f>$D14*QuarterBreakup!J$28*'JSW One TMT'!$C$51</f>
        <v>1440000.0000000002</v>
      </c>
      <c r="R14" s="17">
        <f>$D14*QuarterBreakup!K$28*'JSW One TMT'!$C$51</f>
        <v>1080000</v>
      </c>
      <c r="S14" s="17">
        <f>$D14*QuarterBreakup!L$28*'JSW One TMT'!$C$51</f>
        <v>1080000</v>
      </c>
      <c r="T14" s="191">
        <f t="shared" si="2"/>
        <v>3600000</v>
      </c>
      <c r="U14" s="283"/>
      <c r="V14" s="283"/>
      <c r="W14" s="283"/>
      <c r="X14" s="283"/>
    </row>
    <row r="15" spans="1:24" ht="24.75">
      <c r="A15" s="15" t="s">
        <v>70</v>
      </c>
      <c r="B15" s="15" t="s">
        <v>71</v>
      </c>
      <c r="C15" s="33">
        <v>5000000</v>
      </c>
      <c r="D15" s="188">
        <f t="shared" si="0"/>
        <v>8.2590023125206469E-2</v>
      </c>
      <c r="E15" s="17">
        <f>($D15*QuarterBreakup!J$10*'JSW One TMT'!$C$51)</f>
        <v>390000</v>
      </c>
      <c r="F15" s="17">
        <f>($D15*QuarterBreakup!K$10*'JSW One TMT'!$C$51)</f>
        <v>520000.00000000006</v>
      </c>
      <c r="G15" s="17">
        <f>($D15*QuarterBreakup!L$10*'JSW One TMT'!$C$51)</f>
        <v>390000</v>
      </c>
      <c r="H15" s="191">
        <f>E15+F15+G15</f>
        <v>1300000</v>
      </c>
      <c r="I15" s="31">
        <f>($D15*QuarterBreakup!J$16*'JSW One TMT'!$C$51)</f>
        <v>224999.99999999994</v>
      </c>
      <c r="J15" s="31">
        <f>($D15*QuarterBreakup!K$16*'JSW One TMT'!$C$51)</f>
        <v>262500</v>
      </c>
      <c r="K15" s="31">
        <f>($D15*QuarterBreakup!L$16*'JSW One TMT'!$C$51)</f>
        <v>262500</v>
      </c>
      <c r="L15" s="196">
        <f t="shared" si="1"/>
        <v>750000</v>
      </c>
      <c r="M15" s="17">
        <f>$D15*QuarterBreakup!J$22*'JSW One TMT'!$C$51</f>
        <v>595000</v>
      </c>
      <c r="N15" s="17">
        <f>$D15*QuarterBreakup!K$22*'JSW One TMT'!$C$51</f>
        <v>510000.00000000006</v>
      </c>
      <c r="O15" s="17">
        <f>$D15*QuarterBreakup!L$22*'JSW One TMT'!$C$51</f>
        <v>595000</v>
      </c>
      <c r="P15" s="191">
        <f>M15+N15+O15</f>
        <v>1700000</v>
      </c>
      <c r="Q15" s="17">
        <f>$D15*QuarterBreakup!J$28*'JSW One TMT'!$C$51</f>
        <v>500000</v>
      </c>
      <c r="R15" s="17">
        <f>$D15*QuarterBreakup!K$28*'JSW One TMT'!$C$51</f>
        <v>374999.99999999994</v>
      </c>
      <c r="S15" s="17">
        <f>$D15*QuarterBreakup!L$28*'JSW One TMT'!$C$51</f>
        <v>374999.99999999994</v>
      </c>
      <c r="T15" s="191">
        <f t="shared" si="2"/>
        <v>1250000</v>
      </c>
      <c r="U15" s="283"/>
      <c r="V15" s="283"/>
      <c r="W15" s="283"/>
      <c r="X15" s="283"/>
    </row>
    <row r="16" spans="1:24" ht="24.75">
      <c r="A16" s="15" t="s">
        <v>75</v>
      </c>
      <c r="B16" s="43" t="s">
        <v>193</v>
      </c>
      <c r="C16" s="33">
        <f>8*2*7000*60</f>
        <v>6720000</v>
      </c>
      <c r="D16" s="188">
        <f t="shared" si="0"/>
        <v>0.1110009910802775</v>
      </c>
      <c r="E16" s="17">
        <f>($D16*QuarterBreakup!J$10*'JSW One TMT'!$C$51)+352800/2</f>
        <v>700560</v>
      </c>
      <c r="F16" s="17">
        <f>($D16*QuarterBreakup!K$10*'JSW One TMT'!$C$51)+352800/2</f>
        <v>875280.00000000012</v>
      </c>
      <c r="G16" s="17">
        <f>($D16*QuarterBreakup!L$10*'JSW One TMT'!$C$51)</f>
        <v>524159.99999999994</v>
      </c>
      <c r="H16" s="191">
        <f>E16+F16+G16</f>
        <v>2100000</v>
      </c>
      <c r="I16" s="17"/>
      <c r="J16" s="17"/>
      <c r="K16" s="17">
        <f>($D16*QuarterBreakup!L$16*'JSW One TMT'!$C$51)</f>
        <v>352800</v>
      </c>
      <c r="L16" s="196">
        <f t="shared" si="1"/>
        <v>352800</v>
      </c>
      <c r="M16" s="17">
        <f>$D16*QuarterBreakup!J$22*'JSW One TMT'!$C$51+302400/2</f>
        <v>950880.00000000012</v>
      </c>
      <c r="N16" s="17">
        <f>$D16*QuarterBreakup!K$22*'JSW One TMT'!$C$51+302400/2</f>
        <v>836640.00000000012</v>
      </c>
      <c r="O16" s="17">
        <f>$D16*QuarterBreakup!L$22*'JSW One TMT'!$C$51</f>
        <v>799680.00000000012</v>
      </c>
      <c r="P16" s="191">
        <f>M16+N16+O16</f>
        <v>2587200.0000000005</v>
      </c>
      <c r="Q16" s="17">
        <f>$D16*QuarterBreakup!J$28*'JSW One TMT'!$C$51</f>
        <v>672000.00000000012</v>
      </c>
      <c r="R16" s="17">
        <f>$D16*QuarterBreakup!K$28*'JSW One TMT'!$C$51</f>
        <v>504000</v>
      </c>
      <c r="S16" s="17">
        <f>$D16*QuarterBreakup!L$28*'JSW One TMT'!$C$51</f>
        <v>504000</v>
      </c>
      <c r="T16" s="191">
        <f t="shared" si="2"/>
        <v>1680000</v>
      </c>
      <c r="U16" s="283"/>
      <c r="V16" s="283"/>
      <c r="W16" s="283"/>
      <c r="X16" s="283"/>
    </row>
    <row r="17" spans="1:24" ht="24.75">
      <c r="A17" s="16" t="s">
        <v>185</v>
      </c>
      <c r="B17" s="43" t="s">
        <v>194</v>
      </c>
      <c r="C17" s="34">
        <f>8*2*1000*700</f>
        <v>11200000</v>
      </c>
      <c r="D17" s="188">
        <f>C17/$C$11</f>
        <v>0.18500165180046249</v>
      </c>
      <c r="E17" s="17">
        <f>($D17*QuarterBreakup!J$10*'JSW One TMT'!$C$51)</f>
        <v>873599.99999999988</v>
      </c>
      <c r="F17" s="17">
        <f>($D17*QuarterBreakup!K$10*'JSW One TMT'!$C$51)+504000/2</f>
        <v>1416800</v>
      </c>
      <c r="G17" s="17">
        <f>($D17*QuarterBreakup!L$10*'JSW One TMT'!$C$51)+504000/2</f>
        <v>1125600</v>
      </c>
      <c r="H17" s="191">
        <f>E17+F17+G17</f>
        <v>3416000</v>
      </c>
      <c r="I17" s="17"/>
      <c r="J17" s="17"/>
      <c r="K17" s="17">
        <f>($D17*QuarterBreakup!L$16*'JSW One TMT'!$C$51)</f>
        <v>587999.99999999988</v>
      </c>
      <c r="L17" s="196">
        <f t="shared" si="1"/>
        <v>587999.99999999988</v>
      </c>
      <c r="M17" s="17">
        <f>$D17*QuarterBreakup!J$22*'JSW One TMT'!$C$51</f>
        <v>1332800</v>
      </c>
      <c r="N17" s="17">
        <f>$D17*QuarterBreakup!K$22*'JSW One TMT'!$C$51</f>
        <v>1142400</v>
      </c>
      <c r="O17" s="17">
        <f>$D17*QuarterBreakup!L$22*'JSW One TMT'!$C$51</f>
        <v>1332800</v>
      </c>
      <c r="P17" s="191">
        <f>M17+N17+O17</f>
        <v>3808000</v>
      </c>
      <c r="Q17" s="17">
        <f>$D17*QuarterBreakup!J$28*'JSW One TMT'!$C$51+588000/2</f>
        <v>1414000</v>
      </c>
      <c r="R17" s="17">
        <f>$D17*QuarterBreakup!K$28*'JSW One TMT'!$C$51+588000/2</f>
        <v>1134000</v>
      </c>
      <c r="S17" s="17">
        <f>$D17*QuarterBreakup!L$28*'JSW One TMT'!$C$51</f>
        <v>839999.99999999988</v>
      </c>
      <c r="T17" s="191">
        <f t="shared" si="2"/>
        <v>3388000</v>
      </c>
      <c r="U17" s="283"/>
      <c r="V17" s="283"/>
      <c r="W17" s="283"/>
      <c r="X17" s="283"/>
    </row>
    <row r="18" spans="1:24">
      <c r="A18" s="12" t="s">
        <v>81</v>
      </c>
      <c r="B18" s="12"/>
      <c r="C18" s="22">
        <f>SUM(C19:C36)</f>
        <v>101587564.10256411</v>
      </c>
      <c r="D18" s="22"/>
      <c r="E18" s="29">
        <f>SUM(E19:E36)</f>
        <v>7582830</v>
      </c>
      <c r="F18" s="29">
        <f t="shared" ref="F18:T18" si="3">SUM(F19:F36)</f>
        <v>10110440.000000002</v>
      </c>
      <c r="G18" s="29">
        <f t="shared" si="3"/>
        <v>7582830</v>
      </c>
      <c r="H18" s="29">
        <f t="shared" si="3"/>
        <v>25276100</v>
      </c>
      <c r="I18" s="29">
        <f t="shared" si="3"/>
        <v>4374709.615384615</v>
      </c>
      <c r="J18" s="29">
        <f t="shared" si="3"/>
        <v>5103827.884615384</v>
      </c>
      <c r="K18" s="29">
        <f t="shared" si="3"/>
        <v>5103827.884615384</v>
      </c>
      <c r="L18" s="29">
        <f t="shared" si="3"/>
        <v>14582365.384615388</v>
      </c>
      <c r="M18" s="29">
        <f t="shared" si="3"/>
        <v>13158420.128205128</v>
      </c>
      <c r="N18" s="29">
        <f t="shared" si="3"/>
        <v>9916008.4615384638</v>
      </c>
      <c r="O18" s="29">
        <f t="shared" si="3"/>
        <v>12760984.23076923</v>
      </c>
      <c r="P18" s="29">
        <f t="shared" si="3"/>
        <v>35835412.820512831</v>
      </c>
      <c r="Q18" s="29">
        <f t="shared" si="3"/>
        <v>11311320.512820516</v>
      </c>
      <c r="R18" s="29">
        <f t="shared" si="3"/>
        <v>7291182.6923076939</v>
      </c>
      <c r="S18" s="29">
        <f t="shared" si="3"/>
        <v>7291182.6923076939</v>
      </c>
      <c r="T18" s="29">
        <f t="shared" si="3"/>
        <v>25893685.8974359</v>
      </c>
      <c r="U18" s="283"/>
      <c r="V18" s="283"/>
      <c r="W18" s="283"/>
      <c r="X18" s="283"/>
    </row>
    <row r="19" spans="1:24" ht="24.75">
      <c r="A19" s="256" t="s">
        <v>83</v>
      </c>
      <c r="B19" s="14" t="s">
        <v>84</v>
      </c>
      <c r="C19" s="30">
        <f>(B8*0.5)*40*30</f>
        <v>953846.15384615376</v>
      </c>
      <c r="D19" s="188">
        <f>C19/$C$18</f>
        <v>9.3893988134525833E-3</v>
      </c>
      <c r="E19" s="17">
        <f>QuarterBreakup!J$10*'JSW One TMT'!$C$52*'JSW One TMT'!$D19</f>
        <v>74399.999999999985</v>
      </c>
      <c r="F19" s="17">
        <f>QuarterBreakup!K$10*'JSW One TMT'!$C$52*'JSW One TMT'!$D19</f>
        <v>99200</v>
      </c>
      <c r="G19" s="17">
        <f>QuarterBreakup!L$10*'JSW One TMT'!$C$52*'JSW One TMT'!$D19</f>
        <v>74399.999999999985</v>
      </c>
      <c r="H19" s="31">
        <f>SUM(E19:G19)</f>
        <v>248000</v>
      </c>
      <c r="I19" s="17">
        <f>QuarterBreakup!J$16*'JSW One TMT'!$C$52*'JSW One TMT'!$D19</f>
        <v>42923.076923076915</v>
      </c>
      <c r="J19" s="17">
        <f>QuarterBreakup!K$16*'JSW One TMT'!$C$52*'JSW One TMT'!$D19</f>
        <v>50076.923076923071</v>
      </c>
      <c r="K19" s="17">
        <f>QuarterBreakup!L$16*'JSW One TMT'!$C$52*'JSW One TMT'!$D19</f>
        <v>50076.923076923071</v>
      </c>
      <c r="L19" s="28">
        <f t="shared" si="1"/>
        <v>143076.92307692306</v>
      </c>
      <c r="M19" s="17">
        <f>QuarterBreakup!J$22*'JSW One TMT'!$C$52*'JSW One TMT'!$D19</f>
        <v>113507.6923076923</v>
      </c>
      <c r="N19" s="17">
        <f>QuarterBreakup!K$22*'JSW One TMT'!$C$52*'JSW One TMT'!$D19</f>
        <v>97292.307692307702</v>
      </c>
      <c r="O19" s="17">
        <f>QuarterBreakup!L$22*'JSW One TMT'!$C$52*'JSW One TMT'!$D19</f>
        <v>113507.6923076923</v>
      </c>
      <c r="P19" s="26">
        <f>SUM(M19:O19)</f>
        <v>324307.69230769231</v>
      </c>
      <c r="Q19" s="17">
        <f>QuarterBreakup!J$28*'JSW One TMT'!$C$52*'JSW One TMT'!$D19</f>
        <v>95384.61538461539</v>
      </c>
      <c r="R19" s="17">
        <f>QuarterBreakup!K$28*'JSW One TMT'!$C$52*'JSW One TMT'!$D19</f>
        <v>71538.461538461532</v>
      </c>
      <c r="S19" s="17">
        <f>QuarterBreakup!L$28*'JSW One TMT'!$C$52*'JSW One TMT'!$D19</f>
        <v>71538.461538461532</v>
      </c>
      <c r="T19" s="191">
        <f t="shared" si="2"/>
        <v>238461.53846153847</v>
      </c>
      <c r="U19" s="283"/>
      <c r="V19" s="283"/>
      <c r="W19" s="283"/>
      <c r="X19" s="283"/>
    </row>
    <row r="20" spans="1:24" ht="24.75">
      <c r="A20" s="256" t="s">
        <v>85</v>
      </c>
      <c r="B20" s="14" t="s">
        <v>86</v>
      </c>
      <c r="C20" s="30">
        <f>(B8*0.25)*(180*30+65*18)</f>
        <v>2611153.846153846</v>
      </c>
      <c r="D20" s="188">
        <f t="shared" ref="D20:D36" si="4">C20/$C$18</f>
        <v>2.570347925182645E-2</v>
      </c>
      <c r="E20" s="17">
        <f>QuarterBreakup!J$10*'JSW One TMT'!$C$52*'JSW One TMT'!$D20</f>
        <v>203670</v>
      </c>
      <c r="F20" s="17">
        <f>QuarterBreakup!K$10*'JSW One TMT'!$C$52*'JSW One TMT'!$D20</f>
        <v>271560.00000000006</v>
      </c>
      <c r="G20" s="17">
        <f>QuarterBreakup!L$10*'JSW One TMT'!$C$52*'JSW One TMT'!$D20</f>
        <v>203670</v>
      </c>
      <c r="H20" s="26">
        <f t="shared" ref="H20:H36" si="5">SUM(E20:G20)</f>
        <v>678900</v>
      </c>
      <c r="I20" s="17">
        <f>QuarterBreakup!J$16*'JSW One TMT'!$C$52*'JSW One TMT'!$D20</f>
        <v>117501.92307692308</v>
      </c>
      <c r="J20" s="17">
        <f>QuarterBreakup!K$16*'JSW One TMT'!$C$52*'JSW One TMT'!$D20</f>
        <v>137085.57692307694</v>
      </c>
      <c r="K20" s="17">
        <f>QuarterBreakup!L$16*'JSW One TMT'!$C$52*'JSW One TMT'!$D20</f>
        <v>137085.57692307694</v>
      </c>
      <c r="L20" s="28">
        <f t="shared" si="1"/>
        <v>391673.07692307694</v>
      </c>
      <c r="M20" s="17">
        <f>QuarterBreakup!J$22*'JSW One TMT'!$C$52*'JSW One TMT'!$D20</f>
        <v>310727.30769230769</v>
      </c>
      <c r="N20" s="17">
        <f>QuarterBreakup!K$22*'JSW One TMT'!$C$52*'JSW One TMT'!$D20</f>
        <v>266337.69230769237</v>
      </c>
      <c r="O20" s="17">
        <f>QuarterBreakup!L$22*'JSW One TMT'!$C$52*'JSW One TMT'!$D20</f>
        <v>310727.30769230769</v>
      </c>
      <c r="P20" s="26">
        <f>SUM(M20:O20)</f>
        <v>887792.30769230775</v>
      </c>
      <c r="Q20" s="17">
        <f>QuarterBreakup!J$28*'JSW One TMT'!$C$52*'JSW One TMT'!$D20</f>
        <v>261115.38461538468</v>
      </c>
      <c r="R20" s="17">
        <f>QuarterBreakup!K$28*'JSW One TMT'!$C$52*'JSW One TMT'!$D20</f>
        <v>195836.53846153844</v>
      </c>
      <c r="S20" s="17">
        <f>QuarterBreakup!L$28*'JSW One TMT'!$C$52*'JSW One TMT'!$D20</f>
        <v>195836.53846153844</v>
      </c>
      <c r="T20" s="191">
        <f t="shared" si="2"/>
        <v>652788.4615384615</v>
      </c>
      <c r="U20" s="283"/>
      <c r="V20" s="283"/>
      <c r="W20" s="283"/>
      <c r="X20" s="283"/>
    </row>
    <row r="21" spans="1:24">
      <c r="A21" s="256" t="s">
        <v>87</v>
      </c>
      <c r="B21" s="14" t="s">
        <v>88</v>
      </c>
      <c r="C21" s="30">
        <f>(B8*0.2)*10000</f>
        <v>3179487.1794871795</v>
      </c>
      <c r="D21" s="188">
        <f t="shared" si="4"/>
        <v>3.1297996044841951E-2</v>
      </c>
      <c r="E21" s="17">
        <f>QuarterBreakup!J$10*'JSW One TMT'!$C$52*'JSW One TMT'!$D21</f>
        <v>248000.00000000003</v>
      </c>
      <c r="F21" s="17">
        <f>QuarterBreakup!K$10*'JSW One TMT'!$C$52*'JSW One TMT'!$D21</f>
        <v>330666.66666666674</v>
      </c>
      <c r="G21" s="17">
        <f>QuarterBreakup!L$10*'JSW One TMT'!$C$52*'JSW One TMT'!$D21</f>
        <v>248000.00000000003</v>
      </c>
      <c r="H21" s="26">
        <f t="shared" si="5"/>
        <v>826666.66666666674</v>
      </c>
      <c r="I21" s="17">
        <f>QuarterBreakup!J$16*'JSW One TMT'!$C$52*'JSW One TMT'!$D21</f>
        <v>143076.92307692309</v>
      </c>
      <c r="J21" s="17">
        <f>QuarterBreakup!K$16*'JSW One TMT'!$C$52*'JSW One TMT'!$D21</f>
        <v>166923.07692307694</v>
      </c>
      <c r="K21" s="17">
        <f>QuarterBreakup!L$16*'JSW One TMT'!$C$52*'JSW One TMT'!$D21</f>
        <v>166923.07692307694</v>
      </c>
      <c r="L21" s="28">
        <f t="shared" si="1"/>
        <v>476923.07692307694</v>
      </c>
      <c r="M21" s="17">
        <f>QuarterBreakup!J$22*'JSW One TMT'!$C$52*'JSW One TMT'!$D21</f>
        <v>378358.97435897443</v>
      </c>
      <c r="N21" s="17">
        <f>QuarterBreakup!K$22*'JSW One TMT'!$C$52*'JSW One TMT'!$D21</f>
        <v>324307.69230769243</v>
      </c>
      <c r="O21" s="17">
        <f>QuarterBreakup!L$22*'JSW One TMT'!$C$52*'JSW One TMT'!$D21</f>
        <v>378358.97435897443</v>
      </c>
      <c r="P21" s="26">
        <f>SUM(M21:O21)</f>
        <v>1081025.6410256412</v>
      </c>
      <c r="Q21" s="17">
        <f>QuarterBreakup!J$28*'JSW One TMT'!$C$52*'JSW One TMT'!$D21</f>
        <v>317948.71794871805</v>
      </c>
      <c r="R21" s="17">
        <f>QuarterBreakup!K$28*'JSW One TMT'!$C$52*'JSW One TMT'!$D21</f>
        <v>238461.53846153847</v>
      </c>
      <c r="S21" s="17">
        <f>QuarterBreakup!L$28*'JSW One TMT'!$C$52*'JSW One TMT'!$D21</f>
        <v>238461.53846153847</v>
      </c>
      <c r="T21" s="191">
        <f t="shared" si="2"/>
        <v>794871.79487179499</v>
      </c>
      <c r="U21" s="283"/>
      <c r="V21" s="283"/>
      <c r="W21" s="283"/>
      <c r="X21" s="283"/>
    </row>
    <row r="22" spans="1:24">
      <c r="A22" s="256" t="s">
        <v>89</v>
      </c>
      <c r="B22" s="14" t="s">
        <v>90</v>
      </c>
      <c r="C22" s="30">
        <f>(B8*0.1)*40000</f>
        <v>6358974.358974359</v>
      </c>
      <c r="D22" s="188">
        <f t="shared" si="4"/>
        <v>6.2595992089683902E-2</v>
      </c>
      <c r="E22" s="17">
        <f>QuarterBreakup!J$10*'JSW One TMT'!$C$52*'JSW One TMT'!$D22</f>
        <v>496000.00000000006</v>
      </c>
      <c r="F22" s="17">
        <f>QuarterBreakup!K$10*'JSW One TMT'!$C$52*'JSW One TMT'!$D22</f>
        <v>661333.33333333349</v>
      </c>
      <c r="G22" s="17">
        <f>QuarterBreakup!L$10*'JSW One TMT'!$C$52*'JSW One TMT'!$D22</f>
        <v>496000.00000000006</v>
      </c>
      <c r="H22" s="26">
        <f t="shared" si="5"/>
        <v>1653333.3333333335</v>
      </c>
      <c r="I22" s="17">
        <f>QuarterBreakup!J$16*'JSW One TMT'!$C$52*'JSW One TMT'!$D22</f>
        <v>286153.84615384619</v>
      </c>
      <c r="J22" s="17">
        <f>QuarterBreakup!K$16*'JSW One TMT'!$C$52*'JSW One TMT'!$D22</f>
        <v>333846.15384615387</v>
      </c>
      <c r="K22" s="17">
        <f>QuarterBreakup!L$16*'JSW One TMT'!$C$52*'JSW One TMT'!$D22</f>
        <v>333846.15384615387</v>
      </c>
      <c r="L22" s="28">
        <f t="shared" si="1"/>
        <v>953846.15384615387</v>
      </c>
      <c r="M22" s="17">
        <f>QuarterBreakup!J$22*'JSW One TMT'!$C$52*'JSW One TMT'!$D22</f>
        <v>756717.94871794886</v>
      </c>
      <c r="N22" s="17">
        <f>QuarterBreakup!K$22*'JSW One TMT'!$C$52*'JSW One TMT'!$D22</f>
        <v>648615.38461538486</v>
      </c>
      <c r="O22" s="17">
        <f>QuarterBreakup!L$22*'JSW One TMT'!$C$52*'JSW One TMT'!$D22</f>
        <v>756717.94871794886</v>
      </c>
      <c r="P22" s="26">
        <f>SUM(M22:O22)</f>
        <v>2162051.2820512825</v>
      </c>
      <c r="Q22" s="17">
        <f>QuarterBreakup!J$28*'JSW One TMT'!$C$52*'JSW One TMT'!$D22</f>
        <v>635897.43589743611</v>
      </c>
      <c r="R22" s="17">
        <f>QuarterBreakup!K$28*'JSW One TMT'!$C$52*'JSW One TMT'!$D22</f>
        <v>476923.07692307694</v>
      </c>
      <c r="S22" s="17">
        <f>QuarterBreakup!L$28*'JSW One TMT'!$C$52*'JSW One TMT'!$D22</f>
        <v>476923.07692307694</v>
      </c>
      <c r="T22" s="191">
        <f t="shared" si="2"/>
        <v>1589743.58974359</v>
      </c>
      <c r="U22" s="283"/>
      <c r="V22" s="283"/>
      <c r="W22" s="283"/>
      <c r="X22" s="283"/>
    </row>
    <row r="23" spans="1:24">
      <c r="A23" s="14" t="s">
        <v>195</v>
      </c>
      <c r="B23" s="14"/>
      <c r="C23" s="30">
        <v>10000000</v>
      </c>
      <c r="D23" s="188">
        <f>C23/$C$18</f>
        <v>9.8437245624906133E-2</v>
      </c>
      <c r="E23" s="17">
        <f>QuarterBreakup!J$10*'JSW One TMT'!$C$52*'JSW One TMT'!$D23</f>
        <v>780000.00000000012</v>
      </c>
      <c r="F23" s="17">
        <f>QuarterBreakup!K$10*'JSW One TMT'!$C$52*'JSW One TMT'!$D23</f>
        <v>1040000.0000000002</v>
      </c>
      <c r="G23" s="17">
        <f>QuarterBreakup!L$10*'JSW One TMT'!$C$52*'JSW One TMT'!$D23</f>
        <v>780000.00000000012</v>
      </c>
      <c r="H23" s="26">
        <f>SUM(E23:G23)</f>
        <v>2600000.0000000005</v>
      </c>
      <c r="I23" s="17">
        <f>QuarterBreakup!J$16*'JSW One TMT'!$C$52*'JSW One TMT'!$D23</f>
        <v>450000</v>
      </c>
      <c r="J23" s="17">
        <f>QuarterBreakup!K$16*'JSW One TMT'!$C$52*'JSW One TMT'!$D23</f>
        <v>525000</v>
      </c>
      <c r="K23" s="17">
        <f>QuarterBreakup!L$16*'JSW One TMT'!$C$52*'JSW One TMT'!$D23</f>
        <v>525000</v>
      </c>
      <c r="L23" s="28">
        <f>I23+J23+K23</f>
        <v>1500000</v>
      </c>
      <c r="M23" s="17">
        <f>QuarterBreakup!J$22*'JSW One TMT'!$C$52*'JSW One TMT'!$D23</f>
        <v>1190000</v>
      </c>
      <c r="N23" s="17">
        <f>QuarterBreakup!K$22*'JSW One TMT'!$C$52*'JSW One TMT'!$D23</f>
        <v>1020000.0000000002</v>
      </c>
      <c r="O23" s="17">
        <f>QuarterBreakup!L$22*'JSW One TMT'!$C$52*'JSW One TMT'!$D23</f>
        <v>1190000</v>
      </c>
      <c r="P23" s="26">
        <f>SUM(M23:O23)</f>
        <v>3400000</v>
      </c>
      <c r="Q23" s="17">
        <f>QuarterBreakup!J$28*'JSW One TMT'!$C$52*'JSW One TMT'!$D23</f>
        <v>1000000.0000000003</v>
      </c>
      <c r="R23" s="17">
        <f>QuarterBreakup!K$28*'JSW One TMT'!$C$52*'JSW One TMT'!$D23</f>
        <v>750000</v>
      </c>
      <c r="S23" s="17">
        <f>QuarterBreakup!L$28*'JSW One TMT'!$C$52*'JSW One TMT'!$D23</f>
        <v>750000</v>
      </c>
      <c r="T23" s="191">
        <f>Q23+R23+S23</f>
        <v>2500000.0000000005</v>
      </c>
      <c r="U23" s="283"/>
      <c r="V23" s="283"/>
      <c r="W23" s="283"/>
      <c r="X23" s="283"/>
    </row>
    <row r="24" spans="1:24" ht="24.75">
      <c r="A24" s="14" t="s">
        <v>91</v>
      </c>
      <c r="B24" s="14" t="s">
        <v>196</v>
      </c>
      <c r="C24" s="30">
        <f>B4*1*2*70*3500</f>
        <v>27440000</v>
      </c>
      <c r="D24" s="188">
        <f t="shared" si="4"/>
        <v>0.27011180199474244</v>
      </c>
      <c r="E24" s="17">
        <f>QuarterBreakup!J$10*'JSW One TMT'!$C$52*'JSW One TMT'!$D24</f>
        <v>2140320.0000000005</v>
      </c>
      <c r="F24" s="17">
        <f>QuarterBreakup!K$10*'JSW One TMT'!$C$52*'JSW One TMT'!$D24</f>
        <v>2853760.0000000009</v>
      </c>
      <c r="G24" s="17">
        <f>QuarterBreakup!L$10*'JSW One TMT'!$C$52*'JSW One TMT'!$D24</f>
        <v>2140320.0000000005</v>
      </c>
      <c r="H24" s="26">
        <f t="shared" si="5"/>
        <v>7134400.0000000019</v>
      </c>
      <c r="I24" s="17">
        <f>QuarterBreakup!J$16*'JSW One TMT'!$C$52*'JSW One TMT'!$D24</f>
        <v>1234800</v>
      </c>
      <c r="J24" s="17">
        <f>QuarterBreakup!K$16*'JSW One TMT'!$C$52*'JSW One TMT'!$D24</f>
        <v>1440600.0000000002</v>
      </c>
      <c r="K24" s="17">
        <f>QuarterBreakup!L$16*'JSW One TMT'!$C$52*'JSW One TMT'!$D24</f>
        <v>1440600.0000000002</v>
      </c>
      <c r="L24" s="28">
        <f t="shared" si="1"/>
        <v>4116000</v>
      </c>
      <c r="M24" s="17">
        <f>QuarterBreakup!J$22*'JSW One TMT'!$C$52*'JSW One TMT'!$D24</f>
        <v>3265360.0000000005</v>
      </c>
      <c r="N24" s="17">
        <f>QuarterBreakup!K$22*'JSW One TMT'!$C$52*'JSW One TMT'!$D24</f>
        <v>2798880.0000000009</v>
      </c>
      <c r="O24" s="17">
        <f>QuarterBreakup!L$22*'JSW One TMT'!$C$52*'JSW One TMT'!$D24</f>
        <v>3265360.0000000005</v>
      </c>
      <c r="P24" s="26">
        <f>SUM(M24:O24)</f>
        <v>9329600.0000000019</v>
      </c>
      <c r="Q24" s="17">
        <f>QuarterBreakup!J$28*'JSW One TMT'!$C$52*'JSW One TMT'!$D24</f>
        <v>2744000.0000000009</v>
      </c>
      <c r="R24" s="17">
        <f>QuarterBreakup!K$28*'JSW One TMT'!$C$52*'JSW One TMT'!$D24</f>
        <v>2058000</v>
      </c>
      <c r="S24" s="17">
        <f>QuarterBreakup!L$28*'JSW One TMT'!$C$52*'JSW One TMT'!$D24</f>
        <v>2058000</v>
      </c>
      <c r="T24" s="191">
        <f t="shared" si="2"/>
        <v>6860000.0000000009</v>
      </c>
      <c r="U24" s="283"/>
      <c r="V24" s="283"/>
      <c r="W24" s="283"/>
      <c r="X24" s="283"/>
    </row>
    <row r="25" spans="1:24" ht="24.75">
      <c r="A25" s="14" t="s">
        <v>93</v>
      </c>
      <c r="B25" s="14" t="s">
        <v>197</v>
      </c>
      <c r="C25" s="30">
        <f>B4*2*2*50*1000</f>
        <v>11200000</v>
      </c>
      <c r="D25" s="188">
        <f t="shared" si="4"/>
        <v>0.11024971509989487</v>
      </c>
      <c r="E25" s="17">
        <f>QuarterBreakup!J$10*'JSW One TMT'!$C$52*'JSW One TMT'!$D25</f>
        <v>873600</v>
      </c>
      <c r="F25" s="17">
        <f>QuarterBreakup!K$10*'JSW One TMT'!$C$52*'JSW One TMT'!$D25</f>
        <v>1164800.0000000002</v>
      </c>
      <c r="G25" s="17">
        <f>QuarterBreakup!L$10*'JSW One TMT'!$C$52*'JSW One TMT'!$D25</f>
        <v>873600</v>
      </c>
      <c r="H25" s="26">
        <f t="shared" si="5"/>
        <v>2912000</v>
      </c>
      <c r="I25" s="17">
        <f>QuarterBreakup!J$16*'JSW One TMT'!$C$52*'JSW One TMT'!$D25</f>
        <v>504000</v>
      </c>
      <c r="J25" s="17">
        <f>QuarterBreakup!K$16*'JSW One TMT'!$C$52*'JSW One TMT'!$D25</f>
        <v>588000</v>
      </c>
      <c r="K25" s="17">
        <f>QuarterBreakup!L$16*'JSW One TMT'!$C$52*'JSW One TMT'!$D25</f>
        <v>588000</v>
      </c>
      <c r="L25" s="28">
        <f t="shared" si="1"/>
        <v>1680000</v>
      </c>
      <c r="M25" s="17">
        <f>QuarterBreakup!J$22*'JSW One TMT'!$C$52*'JSW One TMT'!$D25</f>
        <v>1332800</v>
      </c>
      <c r="N25" s="17">
        <f>QuarterBreakup!K$22*'JSW One TMT'!$C$52*'JSW One TMT'!$D25</f>
        <v>1142400.0000000002</v>
      </c>
      <c r="O25" s="17">
        <f>QuarterBreakup!L$22*'JSW One TMT'!$C$52*'JSW One TMT'!$D25</f>
        <v>1332800</v>
      </c>
      <c r="P25" s="26">
        <f>SUM(M25:O25)</f>
        <v>3808000</v>
      </c>
      <c r="Q25" s="17">
        <f>QuarterBreakup!J$28*'JSW One TMT'!$C$52*'JSW One TMT'!$D25</f>
        <v>1120000.0000000002</v>
      </c>
      <c r="R25" s="17">
        <f>QuarterBreakup!K$28*'JSW One TMT'!$C$52*'JSW One TMT'!$D25</f>
        <v>840000</v>
      </c>
      <c r="S25" s="17">
        <f>QuarterBreakup!L$28*'JSW One TMT'!$C$52*'JSW One TMT'!$D25</f>
        <v>840000</v>
      </c>
      <c r="T25" s="191">
        <f t="shared" si="2"/>
        <v>2800000</v>
      </c>
      <c r="U25" s="283"/>
      <c r="V25" s="283"/>
      <c r="W25" s="283"/>
      <c r="X25" s="283"/>
    </row>
    <row r="26" spans="1:24" ht="24.75">
      <c r="A26" s="256" t="s">
        <v>95</v>
      </c>
      <c r="B26" s="14" t="s">
        <v>96</v>
      </c>
      <c r="C26" s="30">
        <f>B9*1*30*300</f>
        <v>9299999.9999999981</v>
      </c>
      <c r="D26" s="188">
        <f t="shared" si="4"/>
        <v>9.1546638431162689E-2</v>
      </c>
      <c r="E26" s="17">
        <f>QuarterBreakup!J$10*'JSW One TMT'!$C$52*'JSW One TMT'!$D26</f>
        <v>725399.99999999988</v>
      </c>
      <c r="F26" s="17">
        <f>QuarterBreakup!K$10*'JSW One TMT'!$C$52*'JSW One TMT'!$D26</f>
        <v>967200.00000000012</v>
      </c>
      <c r="G26" s="17">
        <f>QuarterBreakup!L$10*'JSW One TMT'!$C$52*'JSW One TMT'!$D26</f>
        <v>725399.99999999988</v>
      </c>
      <c r="H26" s="26">
        <f t="shared" si="5"/>
        <v>2418000</v>
      </c>
      <c r="I26" s="17">
        <f>QuarterBreakup!J$16*'JSW One TMT'!$C$52*'JSW One TMT'!$D26</f>
        <v>418499.99999999994</v>
      </c>
      <c r="J26" s="17">
        <f>QuarterBreakup!K$16*'JSW One TMT'!$C$52*'JSW One TMT'!$D26</f>
        <v>488249.99999999994</v>
      </c>
      <c r="K26" s="17">
        <f>QuarterBreakup!L$16*'JSW One TMT'!$C$52*'JSW One TMT'!$D26</f>
        <v>488249.99999999994</v>
      </c>
      <c r="L26" s="28">
        <f t="shared" si="1"/>
        <v>1394999.9999999998</v>
      </c>
      <c r="M26" s="17">
        <f>QuarterBreakup!J$22*'JSW One TMT'!$C$52*'JSW One TMT'!$D26</f>
        <v>1106700</v>
      </c>
      <c r="N26" s="17">
        <f>QuarterBreakup!K$22*'JSW One TMT'!$C$52*'JSW One TMT'!$D26</f>
        <v>948600.00000000012</v>
      </c>
      <c r="O26" s="17">
        <f>QuarterBreakup!L$22*'JSW One TMT'!$C$52*'JSW One TMT'!$D26</f>
        <v>1106700</v>
      </c>
      <c r="P26" s="26">
        <f>SUM(M26:O26)</f>
        <v>3162000</v>
      </c>
      <c r="Q26" s="17">
        <f>QuarterBreakup!J$28*'JSW One TMT'!$C$52*'JSW One TMT'!$D26</f>
        <v>930000.00000000012</v>
      </c>
      <c r="R26" s="17">
        <f>QuarterBreakup!K$28*'JSW One TMT'!$C$52*'JSW One TMT'!$D26</f>
        <v>697499.99999999988</v>
      </c>
      <c r="S26" s="17">
        <f>QuarterBreakup!L$28*'JSW One TMT'!$C$52*'JSW One TMT'!$D26</f>
        <v>697499.99999999988</v>
      </c>
      <c r="T26" s="191">
        <f t="shared" si="2"/>
        <v>2325000</v>
      </c>
      <c r="U26" s="283"/>
      <c r="V26" s="283"/>
      <c r="W26" s="283"/>
      <c r="X26" s="283"/>
    </row>
    <row r="27" spans="1:24">
      <c r="A27" s="256" t="s">
        <v>97</v>
      </c>
      <c r="B27" s="14" t="s">
        <v>98</v>
      </c>
      <c r="C27" s="30">
        <f>B8*400</f>
        <v>635897.43589743588</v>
      </c>
      <c r="D27" s="188">
        <f t="shared" si="4"/>
        <v>6.2595992089683897E-3</v>
      </c>
      <c r="E27" s="17">
        <f>QuarterBreakup!J$10*'JSW One TMT'!$C$52*'JSW One TMT'!$D27</f>
        <v>49600</v>
      </c>
      <c r="F27" s="17">
        <f>QuarterBreakup!K$10*'JSW One TMT'!$C$52*'JSW One TMT'!$D27</f>
        <v>66133.333333333343</v>
      </c>
      <c r="G27" s="17">
        <f>QuarterBreakup!L$10*'JSW One TMT'!$C$52*'JSW One TMT'!$D27</f>
        <v>49600</v>
      </c>
      <c r="H27" s="26">
        <f t="shared" si="5"/>
        <v>165333.33333333334</v>
      </c>
      <c r="I27" s="17">
        <f>QuarterBreakup!J$16*'JSW One TMT'!$C$52*'JSW One TMT'!$D27</f>
        <v>28615.384615384613</v>
      </c>
      <c r="J27" s="17">
        <f>QuarterBreakup!K$16*'JSW One TMT'!$C$52*'JSW One TMT'!$D27</f>
        <v>33384.615384615383</v>
      </c>
      <c r="K27" s="17">
        <f>QuarterBreakup!L$16*'JSW One TMT'!$C$52*'JSW One TMT'!$D27</f>
        <v>33384.615384615383</v>
      </c>
      <c r="L27" s="28">
        <f t="shared" si="1"/>
        <v>95384.615384615376</v>
      </c>
      <c r="M27" s="17">
        <f>QuarterBreakup!J$22*'JSW One TMT'!$C$52*'JSW One TMT'!$D27</f>
        <v>75671.794871794875</v>
      </c>
      <c r="N27" s="17">
        <f>QuarterBreakup!K$22*'JSW One TMT'!$C$52*'JSW One TMT'!$D27</f>
        <v>64861.538461538476</v>
      </c>
      <c r="O27" s="17">
        <f>QuarterBreakup!L$22*'JSW One TMT'!$C$52*'JSW One TMT'!$D27</f>
        <v>75671.794871794875</v>
      </c>
      <c r="P27" s="26">
        <f>SUM(M27:O27)</f>
        <v>216205.12820512822</v>
      </c>
      <c r="Q27" s="17">
        <f>QuarterBreakup!J$28*'JSW One TMT'!$C$52*'JSW One TMT'!$D27</f>
        <v>63589.743589743608</v>
      </c>
      <c r="R27" s="17">
        <f>QuarterBreakup!K$28*'JSW One TMT'!$C$52*'JSW One TMT'!$D27</f>
        <v>47692.307692307688</v>
      </c>
      <c r="S27" s="17">
        <f>QuarterBreakup!L$28*'JSW One TMT'!$C$52*'JSW One TMT'!$D27</f>
        <v>47692.307692307688</v>
      </c>
      <c r="T27" s="191">
        <f t="shared" si="2"/>
        <v>158974.358974359</v>
      </c>
      <c r="U27" s="283"/>
      <c r="V27" s="283"/>
      <c r="W27" s="283"/>
      <c r="X27" s="283"/>
    </row>
    <row r="28" spans="1:24">
      <c r="A28" s="256" t="s">
        <v>99</v>
      </c>
      <c r="B28" s="14" t="s">
        <v>100</v>
      </c>
      <c r="C28" s="30">
        <f>B4*75*500</f>
        <v>2100000</v>
      </c>
      <c r="D28" s="188">
        <f t="shared" si="4"/>
        <v>2.0671821581230286E-2</v>
      </c>
      <c r="E28" s="17">
        <f>QuarterBreakup!J$10*'JSW One TMT'!$C$52*'JSW One TMT'!$D28</f>
        <v>163800</v>
      </c>
      <c r="F28" s="17">
        <f>QuarterBreakup!K$10*'JSW One TMT'!$C$52*'JSW One TMT'!$D28</f>
        <v>218400.00000000003</v>
      </c>
      <c r="G28" s="17">
        <f>QuarterBreakup!L$10*'JSW One TMT'!$C$52*'JSW One TMT'!$D28</f>
        <v>163800</v>
      </c>
      <c r="H28" s="26">
        <f t="shared" si="5"/>
        <v>546000</v>
      </c>
      <c r="I28" s="17">
        <f>QuarterBreakup!J$16*'JSW One TMT'!$C$52*'JSW One TMT'!$D28</f>
        <v>94500</v>
      </c>
      <c r="J28" s="17">
        <f>QuarterBreakup!K$16*'JSW One TMT'!$C$52*'JSW One TMT'!$D28</f>
        <v>110250</v>
      </c>
      <c r="K28" s="17">
        <f>QuarterBreakup!L$16*'JSW One TMT'!$C$52*'JSW One TMT'!$D28</f>
        <v>110250</v>
      </c>
      <c r="L28" s="28">
        <f t="shared" si="1"/>
        <v>315000</v>
      </c>
      <c r="M28" s="17">
        <f>QuarterBreakup!J$22*'JSW One TMT'!$C$52*'JSW One TMT'!$D28</f>
        <v>249900</v>
      </c>
      <c r="N28" s="17">
        <f>QuarterBreakup!K$22*'JSW One TMT'!$C$52*'JSW One TMT'!$D28</f>
        <v>214200.00000000003</v>
      </c>
      <c r="O28" s="17">
        <f>QuarterBreakup!L$22*'JSW One TMT'!$C$52*'JSW One TMT'!$D28</f>
        <v>249900</v>
      </c>
      <c r="P28" s="26">
        <f>SUM(M28:O28)</f>
        <v>714000</v>
      </c>
      <c r="Q28" s="17">
        <f>QuarterBreakup!J$28*'JSW One TMT'!$C$52*'JSW One TMT'!$D28</f>
        <v>210000.00000000003</v>
      </c>
      <c r="R28" s="17">
        <f>QuarterBreakup!K$28*'JSW One TMT'!$C$52*'JSW One TMT'!$D28</f>
        <v>157499.99999999997</v>
      </c>
      <c r="S28" s="17">
        <f>QuarterBreakup!L$28*'JSW One TMT'!$C$52*'JSW One TMT'!$D28</f>
        <v>157499.99999999997</v>
      </c>
      <c r="T28" s="191">
        <f t="shared" si="2"/>
        <v>525000</v>
      </c>
      <c r="U28" s="283"/>
      <c r="V28" s="283"/>
      <c r="W28" s="283"/>
      <c r="X28" s="283"/>
    </row>
    <row r="29" spans="1:24" ht="24.75">
      <c r="A29" s="256" t="s">
        <v>174</v>
      </c>
      <c r="B29" s="14" t="s">
        <v>198</v>
      </c>
      <c r="C29" s="30">
        <f>82*5*12*1500</f>
        <v>7380000</v>
      </c>
      <c r="D29" s="188">
        <f t="shared" si="4"/>
        <v>7.2646687271180718E-2</v>
      </c>
      <c r="E29" s="17">
        <f>QuarterBreakup!J$10*'JSW One TMT'!$C$52*'JSW One TMT'!$D29</f>
        <v>575640</v>
      </c>
      <c r="F29" s="17">
        <f>QuarterBreakup!K$10*'JSW One TMT'!$C$52*'JSW One TMT'!$D29</f>
        <v>767520.00000000012</v>
      </c>
      <c r="G29" s="17">
        <f>QuarterBreakup!L$10*'JSW One TMT'!$C$52*'JSW One TMT'!$D29</f>
        <v>575640</v>
      </c>
      <c r="H29" s="26">
        <f t="shared" si="5"/>
        <v>1918800</v>
      </c>
      <c r="I29" s="17">
        <f>QuarterBreakup!J$16*'JSW One TMT'!$C$52*'JSW One TMT'!$D29</f>
        <v>332100</v>
      </c>
      <c r="J29" s="17">
        <f>QuarterBreakup!K$16*'JSW One TMT'!$C$52*'JSW One TMT'!$D29</f>
        <v>387450</v>
      </c>
      <c r="K29" s="17">
        <f>QuarterBreakup!L$16*'JSW One TMT'!$C$52*'JSW One TMT'!$D29</f>
        <v>387450</v>
      </c>
      <c r="L29" s="28">
        <f t="shared" si="1"/>
        <v>1107000</v>
      </c>
      <c r="M29" s="17">
        <f>QuarterBreakup!J$22*'JSW One TMT'!$C$52*'JSW One TMT'!$D29</f>
        <v>878220</v>
      </c>
      <c r="N29" s="17">
        <f>QuarterBreakup!K$22*'JSW One TMT'!$C$52*'JSW One TMT'!$D29</f>
        <v>752760.00000000012</v>
      </c>
      <c r="O29" s="17">
        <f>QuarterBreakup!L$22*'JSW One TMT'!$C$52*'JSW One TMT'!$D29</f>
        <v>878220</v>
      </c>
      <c r="P29" s="26">
        <f>SUM(M29:O29)</f>
        <v>2509200</v>
      </c>
      <c r="Q29" s="17">
        <f>QuarterBreakup!J$28*'JSW One TMT'!$C$52*'JSW One TMT'!$D29</f>
        <v>738000.00000000012</v>
      </c>
      <c r="R29" s="17">
        <f>QuarterBreakup!K$28*'JSW One TMT'!$C$52*'JSW One TMT'!$D29</f>
        <v>553499.99999999988</v>
      </c>
      <c r="S29" s="17">
        <f>QuarterBreakup!L$28*'JSW One TMT'!$C$52*'JSW One TMT'!$D29</f>
        <v>553499.99999999988</v>
      </c>
      <c r="T29" s="191">
        <f t="shared" si="2"/>
        <v>1845000</v>
      </c>
      <c r="U29" s="283"/>
      <c r="V29" s="283"/>
      <c r="W29" s="283"/>
      <c r="X29" s="283"/>
    </row>
    <row r="30" spans="1:24">
      <c r="A30" s="256" t="s">
        <v>103</v>
      </c>
      <c r="B30" s="14" t="s">
        <v>104</v>
      </c>
      <c r="C30" s="30">
        <f>B8*3000</f>
        <v>4769230.769230769</v>
      </c>
      <c r="D30" s="188">
        <f t="shared" si="4"/>
        <v>4.6946994067262923E-2</v>
      </c>
      <c r="E30" s="17">
        <f>QuarterBreakup!J$10*'JSW One TMT'!$C$52*'JSW One TMT'!$D30</f>
        <v>372000</v>
      </c>
      <c r="F30" s="17">
        <f>QuarterBreakup!K$10*'JSW One TMT'!$C$52*'JSW One TMT'!$D30</f>
        <v>496000.00000000012</v>
      </c>
      <c r="G30" s="17">
        <f>QuarterBreakup!L$10*'JSW One TMT'!$C$52*'JSW One TMT'!$D30</f>
        <v>372000</v>
      </c>
      <c r="H30" s="26">
        <f t="shared" si="5"/>
        <v>1240000</v>
      </c>
      <c r="I30" s="17">
        <f>QuarterBreakup!J$16*'JSW One TMT'!$C$52*'JSW One TMT'!$D30</f>
        <v>214615.38461538462</v>
      </c>
      <c r="J30" s="17">
        <f>QuarterBreakup!K$16*'JSW One TMT'!$C$52*'JSW One TMT'!$D30</f>
        <v>250384.6153846154</v>
      </c>
      <c r="K30" s="17">
        <f>QuarterBreakup!L$16*'JSW One TMT'!$C$52*'JSW One TMT'!$D30</f>
        <v>250384.6153846154</v>
      </c>
      <c r="L30" s="28">
        <f t="shared" si="1"/>
        <v>715384.61538461538</v>
      </c>
      <c r="M30" s="17">
        <f>QuarterBreakup!J$22*'JSW One TMT'!$C$52*'JSW One TMT'!$D30</f>
        <v>567538.46153846162</v>
      </c>
      <c r="N30" s="17">
        <f>QuarterBreakup!K$22*'JSW One TMT'!$C$52*'JSW One TMT'!$D30</f>
        <v>486461.53846153856</v>
      </c>
      <c r="O30" s="17">
        <f>QuarterBreakup!L$22*'JSW One TMT'!$C$52*'JSW One TMT'!$D30</f>
        <v>567538.46153846162</v>
      </c>
      <c r="P30" s="26">
        <f>SUM(M30:O30)</f>
        <v>1621538.461538462</v>
      </c>
      <c r="Q30" s="17">
        <f>QuarterBreakup!J$28*'JSW One TMT'!$C$52*'JSW One TMT'!$D30</f>
        <v>476923.07692307705</v>
      </c>
      <c r="R30" s="17">
        <f>QuarterBreakup!K$28*'JSW One TMT'!$C$52*'JSW One TMT'!$D30</f>
        <v>357692.30769230769</v>
      </c>
      <c r="S30" s="17">
        <f>QuarterBreakup!L$28*'JSW One TMT'!$C$52*'JSW One TMT'!$D30</f>
        <v>357692.30769230769</v>
      </c>
      <c r="T30" s="191">
        <f t="shared" si="2"/>
        <v>1192307.6923076925</v>
      </c>
      <c r="U30" s="283"/>
      <c r="V30" s="283"/>
      <c r="W30" s="283"/>
      <c r="X30" s="283"/>
    </row>
    <row r="31" spans="1:24">
      <c r="A31" s="256" t="s">
        <v>176</v>
      </c>
      <c r="B31" s="14" t="s">
        <v>106</v>
      </c>
      <c r="C31" s="30">
        <f>(B8*0.1)*5000</f>
        <v>794871.79487179487</v>
      </c>
      <c r="D31" s="188">
        <f t="shared" si="4"/>
        <v>7.8244990112104878E-3</v>
      </c>
      <c r="E31" s="17">
        <f>QuarterBreakup!J$10*'JSW One TMT'!$C$52*'JSW One TMT'!$D31</f>
        <v>62000.000000000007</v>
      </c>
      <c r="F31" s="17">
        <f>QuarterBreakup!K$10*'JSW One TMT'!$C$52*'JSW One TMT'!$D31</f>
        <v>82666.666666666686</v>
      </c>
      <c r="G31" s="17">
        <f>QuarterBreakup!L$10*'JSW One TMT'!$C$52*'JSW One TMT'!$D31</f>
        <v>62000.000000000007</v>
      </c>
      <c r="H31" s="26">
        <f t="shared" si="5"/>
        <v>206666.66666666669</v>
      </c>
      <c r="I31" s="17">
        <f>QuarterBreakup!J$16*'JSW One TMT'!$C$52*'JSW One TMT'!$D31</f>
        <v>35769.230769230773</v>
      </c>
      <c r="J31" s="17">
        <f>QuarterBreakup!K$16*'JSW One TMT'!$C$52*'JSW One TMT'!$D31</f>
        <v>41730.769230769234</v>
      </c>
      <c r="K31" s="17">
        <f>QuarterBreakup!L$16*'JSW One TMT'!$C$52*'JSW One TMT'!$D31</f>
        <v>41730.769230769234</v>
      </c>
      <c r="L31" s="28">
        <f t="shared" si="1"/>
        <v>119230.76923076923</v>
      </c>
      <c r="M31" s="17">
        <f>QuarterBreakup!J$22*'JSW One TMT'!$C$52*'JSW One TMT'!$D31</f>
        <v>94589.743589743608</v>
      </c>
      <c r="N31" s="17">
        <f>QuarterBreakup!K$22*'JSW One TMT'!$C$52*'JSW One TMT'!$D31</f>
        <v>81076.923076923107</v>
      </c>
      <c r="O31" s="17">
        <f>QuarterBreakup!L$22*'JSW One TMT'!$C$52*'JSW One TMT'!$D31</f>
        <v>94589.743589743608</v>
      </c>
      <c r="P31" s="26">
        <f>SUM(M31:O31)</f>
        <v>270256.41025641031</v>
      </c>
      <c r="Q31" s="17">
        <f>QuarterBreakup!J$28*'JSW One TMT'!$C$52*'JSW One TMT'!$D31</f>
        <v>79487.179487179514</v>
      </c>
      <c r="R31" s="17">
        <f>QuarterBreakup!K$28*'JSW One TMT'!$C$52*'JSW One TMT'!$D31</f>
        <v>59615.384615384617</v>
      </c>
      <c r="S31" s="17">
        <f>QuarterBreakup!L$28*'JSW One TMT'!$C$52*'JSW One TMT'!$D31</f>
        <v>59615.384615384617</v>
      </c>
      <c r="T31" s="191">
        <f t="shared" si="2"/>
        <v>198717.94871794875</v>
      </c>
      <c r="U31" s="283"/>
      <c r="V31" s="283"/>
      <c r="W31" s="283"/>
      <c r="X31" s="283"/>
    </row>
    <row r="32" spans="1:24">
      <c r="A32" s="256" t="s">
        <v>107</v>
      </c>
      <c r="B32" s="14" t="s">
        <v>177</v>
      </c>
      <c r="C32" s="30">
        <f>B8*1000*4</f>
        <v>6358974.3589743581</v>
      </c>
      <c r="D32" s="188">
        <f t="shared" si="4"/>
        <v>6.2595992089683888E-2</v>
      </c>
      <c r="E32" s="17">
        <f>QuarterBreakup!J$10*'JSW One TMT'!$C$52*'JSW One TMT'!$D32</f>
        <v>495999.99999999994</v>
      </c>
      <c r="F32" s="17">
        <f>QuarterBreakup!K$10*'JSW One TMT'!$C$52*'JSW One TMT'!$D32</f>
        <v>661333.33333333337</v>
      </c>
      <c r="G32" s="17">
        <f>QuarterBreakup!L$10*'JSW One TMT'!$C$52*'JSW One TMT'!$D32</f>
        <v>495999.99999999994</v>
      </c>
      <c r="H32" s="26">
        <f t="shared" si="5"/>
        <v>1653333.3333333333</v>
      </c>
      <c r="I32" s="17">
        <f>QuarterBreakup!J$16*'JSW One TMT'!$C$52*'JSW One TMT'!$D32</f>
        <v>286153.84615384613</v>
      </c>
      <c r="J32" s="17">
        <f>QuarterBreakup!K$16*'JSW One TMT'!$C$52*'JSW One TMT'!$D32</f>
        <v>333846.15384615381</v>
      </c>
      <c r="K32" s="17">
        <f>QuarterBreakup!L$16*'JSW One TMT'!$C$52*'JSW One TMT'!$D32</f>
        <v>333846.15384615381</v>
      </c>
      <c r="L32" s="28">
        <f t="shared" si="1"/>
        <v>953846.15384615376</v>
      </c>
      <c r="M32" s="17">
        <f>QuarterBreakup!J$22*'JSW One TMT'!$C$52*'JSW One TMT'!$D32</f>
        <v>756717.94871794863</v>
      </c>
      <c r="N32" s="17">
        <f>QuarterBreakup!K$22*'JSW One TMT'!$C$52*'JSW One TMT'!$D32</f>
        <v>648615.38461538462</v>
      </c>
      <c r="O32" s="17">
        <f>QuarterBreakup!L$22*'JSW One TMT'!$C$52*'JSW One TMT'!$D32</f>
        <v>756717.94871794863</v>
      </c>
      <c r="P32" s="26">
        <f>SUM(M32:O32)</f>
        <v>2162051.282051282</v>
      </c>
      <c r="Q32" s="17">
        <f>QuarterBreakup!J$28*'JSW One TMT'!$C$52*'JSW One TMT'!$D32</f>
        <v>635897.43589743599</v>
      </c>
      <c r="R32" s="17">
        <f>QuarterBreakup!K$28*'JSW One TMT'!$C$52*'JSW One TMT'!$D32</f>
        <v>476923.07692307682</v>
      </c>
      <c r="S32" s="17">
        <f>QuarterBreakup!L$28*'JSW One TMT'!$C$52*'JSW One TMT'!$D32</f>
        <v>476923.07692307682</v>
      </c>
      <c r="T32" s="191">
        <f t="shared" si="2"/>
        <v>1589743.5897435895</v>
      </c>
      <c r="U32" s="283"/>
      <c r="V32" s="283"/>
      <c r="W32" s="283"/>
      <c r="X32" s="283"/>
    </row>
    <row r="33" spans="1:24">
      <c r="A33" s="14" t="s">
        <v>109</v>
      </c>
      <c r="B33" s="14" t="s">
        <v>110</v>
      </c>
      <c r="C33" s="30">
        <f>B8*3*250</f>
        <v>1192307.6923076923</v>
      </c>
      <c r="D33" s="188">
        <f t="shared" si="4"/>
        <v>1.1736748516815731E-2</v>
      </c>
      <c r="E33" s="17"/>
      <c r="F33" s="17"/>
      <c r="G33" s="17"/>
      <c r="H33" s="26">
        <f t="shared" si="5"/>
        <v>0</v>
      </c>
      <c r="I33" s="17"/>
      <c r="J33" s="17"/>
      <c r="K33" s="17"/>
      <c r="L33" s="28">
        <f t="shared" si="1"/>
        <v>0</v>
      </c>
      <c r="M33" s="17"/>
      <c r="N33" s="17"/>
      <c r="O33" s="17">
        <f>C33</f>
        <v>1192307.6923076923</v>
      </c>
      <c r="P33" s="26">
        <f>SUM(M33:O33)</f>
        <v>1192307.6923076923</v>
      </c>
      <c r="Q33" s="17"/>
      <c r="R33" s="17"/>
      <c r="S33" s="17"/>
      <c r="T33" s="191">
        <f t="shared" si="2"/>
        <v>0</v>
      </c>
      <c r="U33" s="283"/>
      <c r="V33" s="283"/>
      <c r="W33" s="283"/>
      <c r="X33" s="283"/>
    </row>
    <row r="34" spans="1:24">
      <c r="A34" s="15" t="s">
        <v>111</v>
      </c>
      <c r="B34" s="14" t="s">
        <v>112</v>
      </c>
      <c r="C34" s="30">
        <f>(B8+B8*3)*500</f>
        <v>3179487.179487179</v>
      </c>
      <c r="D34" s="188">
        <f t="shared" si="4"/>
        <v>3.1297996044841944E-2</v>
      </c>
      <c r="E34" s="17"/>
      <c r="F34" s="17"/>
      <c r="G34" s="17"/>
      <c r="H34" s="26">
        <f t="shared" si="5"/>
        <v>0</v>
      </c>
      <c r="I34" s="17"/>
      <c r="J34" s="17"/>
      <c r="K34" s="17"/>
      <c r="L34" s="28">
        <f t="shared" si="1"/>
        <v>0</v>
      </c>
      <c r="M34" s="31">
        <f>C34/2</f>
        <v>1589743.5897435895</v>
      </c>
      <c r="N34" s="17"/>
      <c r="O34" s="17"/>
      <c r="P34" s="26">
        <f>SUM(M34:O34)</f>
        <v>1589743.5897435895</v>
      </c>
      <c r="Q34" s="17">
        <f>C34/2</f>
        <v>1589743.5897435895</v>
      </c>
      <c r="R34" s="17"/>
      <c r="S34" s="17"/>
      <c r="T34" s="191">
        <f t="shared" si="2"/>
        <v>1589743.5897435895</v>
      </c>
      <c r="U34" s="283"/>
      <c r="V34" s="283"/>
      <c r="W34" s="283"/>
      <c r="X34" s="283"/>
    </row>
    <row r="35" spans="1:24">
      <c r="A35" s="14" t="s">
        <v>113</v>
      </c>
      <c r="B35" s="14" t="s">
        <v>114</v>
      </c>
      <c r="C35" s="30">
        <f>B8*1500*1</f>
        <v>2384615.3846153845</v>
      </c>
      <c r="D35" s="188">
        <f t="shared" si="4"/>
        <v>2.3473497033631462E-2</v>
      </c>
      <c r="E35" s="17">
        <f>QuarterBreakup!J$10*'JSW One TMT'!$C$52*'JSW One TMT'!$D35</f>
        <v>186000</v>
      </c>
      <c r="F35" s="17">
        <f>QuarterBreakup!K$10*'JSW One TMT'!$C$52*'JSW One TMT'!$D35</f>
        <v>248000.00000000006</v>
      </c>
      <c r="G35" s="17">
        <f>QuarterBreakup!L$10*'JSW One TMT'!$C$52*'JSW One TMT'!$D35</f>
        <v>186000</v>
      </c>
      <c r="H35" s="26">
        <f t="shared" si="5"/>
        <v>620000</v>
      </c>
      <c r="I35" s="17">
        <f>QuarterBreakup!J$16*'JSW One TMT'!$C$52*'JSW One TMT'!$D35</f>
        <v>107307.69230769231</v>
      </c>
      <c r="J35" s="17">
        <f>QuarterBreakup!K$16*'JSW One TMT'!$C$52*'JSW One TMT'!$D35</f>
        <v>125192.3076923077</v>
      </c>
      <c r="K35" s="17">
        <f>QuarterBreakup!L$16*'JSW One TMT'!$C$52*'JSW One TMT'!$D35</f>
        <v>125192.3076923077</v>
      </c>
      <c r="L35" s="28">
        <f t="shared" si="1"/>
        <v>357692.30769230769</v>
      </c>
      <c r="M35" s="17">
        <f>QuarterBreakup!J$22*'JSW One TMT'!$C$52*'JSW One TMT'!$D35</f>
        <v>283769.23076923081</v>
      </c>
      <c r="N35" s="17">
        <f>QuarterBreakup!K$22*'JSW One TMT'!$C$52*'JSW One TMT'!$D35</f>
        <v>243230.76923076928</v>
      </c>
      <c r="O35" s="17">
        <f>QuarterBreakup!L$22*'JSW One TMT'!$C$52*'JSW One TMT'!$D35</f>
        <v>283769.23076923081</v>
      </c>
      <c r="P35" s="26">
        <f>SUM(M35:O35)</f>
        <v>810769.23076923098</v>
      </c>
      <c r="Q35" s="17">
        <f>QuarterBreakup!J$28*'JSW One TMT'!$C$52*'JSW One TMT'!$D35</f>
        <v>238461.53846153853</v>
      </c>
      <c r="R35" s="17">
        <f>QuarterBreakup!K$28*'JSW One TMT'!$C$52*'JSW One TMT'!$D35</f>
        <v>178846.15384615384</v>
      </c>
      <c r="S35" s="17">
        <f>QuarterBreakup!L$28*'JSW One TMT'!$C$52*'JSW One TMT'!$D35</f>
        <v>178846.15384615384</v>
      </c>
      <c r="T35" s="191">
        <f t="shared" si="2"/>
        <v>596153.84615384624</v>
      </c>
      <c r="U35" s="283"/>
      <c r="V35" s="283"/>
      <c r="W35" s="283"/>
      <c r="X35" s="283"/>
    </row>
    <row r="36" spans="1:24">
      <c r="A36" s="14" t="s">
        <v>115</v>
      </c>
      <c r="B36" s="14" t="s">
        <v>116</v>
      </c>
      <c r="C36" s="30">
        <f>(B8*0.5)*2200</f>
        <v>1748717.9487179485</v>
      </c>
      <c r="D36" s="188">
        <f t="shared" si="4"/>
        <v>1.7213897824663069E-2</v>
      </c>
      <c r="E36" s="17">
        <f>QuarterBreakup!J$10*'JSW One TMT'!$C$52*'JSW One TMT'!$D36</f>
        <v>136399.99999999997</v>
      </c>
      <c r="F36" s="17">
        <f>QuarterBreakup!K$10*'JSW One TMT'!$C$52*'JSW One TMT'!$D36</f>
        <v>181866.66666666669</v>
      </c>
      <c r="G36" s="17">
        <f>QuarterBreakup!L$10*'JSW One TMT'!$C$52*'JSW One TMT'!$D36</f>
        <v>136399.99999999997</v>
      </c>
      <c r="H36" s="26">
        <f t="shared" si="5"/>
        <v>454666.66666666663</v>
      </c>
      <c r="I36" s="17">
        <f>QuarterBreakup!J$16*'JSW One TMT'!$C$52*'JSW One TMT'!$D36</f>
        <v>78692.307692307673</v>
      </c>
      <c r="J36" s="17">
        <f>QuarterBreakup!K$16*'JSW One TMT'!$C$52*'JSW One TMT'!$D36</f>
        <v>91807.692307692298</v>
      </c>
      <c r="K36" s="17">
        <f>QuarterBreakup!L$16*'JSW One TMT'!$C$52*'JSW One TMT'!$D36</f>
        <v>91807.692307692298</v>
      </c>
      <c r="L36" s="28">
        <f t="shared" si="1"/>
        <v>262307.69230769225</v>
      </c>
      <c r="M36" s="17">
        <f>QuarterBreakup!J$22*'JSW One TMT'!$C$52*'JSW One TMT'!$D36</f>
        <v>208097.43589743588</v>
      </c>
      <c r="N36" s="17">
        <f>QuarterBreakup!K$22*'JSW One TMT'!$C$52*'JSW One TMT'!$D36</f>
        <v>178369.23076923078</v>
      </c>
      <c r="O36" s="17">
        <f>QuarterBreakup!L$22*'JSW One TMT'!$C$52*'JSW One TMT'!$D36</f>
        <v>208097.43589743588</v>
      </c>
      <c r="P36" s="26">
        <f>SUM(M36:O36)</f>
        <v>594564.1025641025</v>
      </c>
      <c r="Q36" s="17">
        <f>QuarterBreakup!J$28*'JSW One TMT'!$C$52*'JSW One TMT'!$D36</f>
        <v>174871.7948717949</v>
      </c>
      <c r="R36" s="17">
        <f>QuarterBreakup!K$28*'JSW One TMT'!$C$52*'JSW One TMT'!$D36</f>
        <v>131153.84615384613</v>
      </c>
      <c r="S36" s="17">
        <f>QuarterBreakup!L$28*'JSW One TMT'!$C$52*'JSW One TMT'!$D36</f>
        <v>131153.84615384613</v>
      </c>
      <c r="T36" s="191">
        <f t="shared" si="2"/>
        <v>437179.48717948713</v>
      </c>
      <c r="U36" s="283"/>
      <c r="V36" s="283"/>
      <c r="W36" s="283"/>
      <c r="X36" s="283"/>
    </row>
    <row r="37" spans="1:24">
      <c r="A37" s="12" t="s">
        <v>117</v>
      </c>
      <c r="B37" s="12"/>
      <c r="C37" s="22">
        <f>SUM(C38:C41)</f>
        <v>3625000</v>
      </c>
      <c r="D37" s="22"/>
      <c r="E37" s="42">
        <f>SUM(E38:E41)</f>
        <v>273000</v>
      </c>
      <c r="F37" s="42">
        <f t="shared" ref="F37:T37" si="6">SUM(F38:F41)</f>
        <v>364000.00000000006</v>
      </c>
      <c r="G37" s="42">
        <f t="shared" si="6"/>
        <v>273000</v>
      </c>
      <c r="H37" s="42">
        <f t="shared" si="6"/>
        <v>910000</v>
      </c>
      <c r="I37" s="42">
        <f t="shared" si="6"/>
        <v>157500</v>
      </c>
      <c r="J37" s="42">
        <f t="shared" si="6"/>
        <v>183750</v>
      </c>
      <c r="K37" s="42">
        <f t="shared" si="6"/>
        <v>183750</v>
      </c>
      <c r="L37" s="42">
        <f t="shared" si="6"/>
        <v>525000</v>
      </c>
      <c r="M37" s="42">
        <f t="shared" si="6"/>
        <v>466500.00000000006</v>
      </c>
      <c r="N37" s="42">
        <f t="shared" si="6"/>
        <v>357000.00000000006</v>
      </c>
      <c r="O37" s="42">
        <f t="shared" si="6"/>
        <v>441500.00000000006</v>
      </c>
      <c r="P37" s="42">
        <f t="shared" si="6"/>
        <v>1265000.0000000002</v>
      </c>
      <c r="Q37" s="42">
        <f t="shared" si="6"/>
        <v>400000.00000000012</v>
      </c>
      <c r="R37" s="42">
        <f t="shared" si="6"/>
        <v>262500</v>
      </c>
      <c r="S37" s="42">
        <f t="shared" si="6"/>
        <v>262500</v>
      </c>
      <c r="T37" s="42">
        <f t="shared" si="6"/>
        <v>925000</v>
      </c>
      <c r="U37" s="283"/>
      <c r="V37" s="283"/>
      <c r="W37" s="283"/>
      <c r="X37" s="283"/>
    </row>
    <row r="38" spans="1:24">
      <c r="A38" s="15" t="s">
        <v>119</v>
      </c>
      <c r="B38" s="14" t="s">
        <v>120</v>
      </c>
      <c r="C38" s="30">
        <f>2000*500</f>
        <v>1000000</v>
      </c>
      <c r="D38" s="188">
        <f>C38/$C$37</f>
        <v>0.27586206896551724</v>
      </c>
      <c r="E38" s="17">
        <f>$D38*$C$53*QuarterBreakup!J$10</f>
        <v>78000</v>
      </c>
      <c r="F38" s="17">
        <f>$D38*$C$53*QuarterBreakup!K$10</f>
        <v>104000.00000000001</v>
      </c>
      <c r="G38" s="17">
        <f>$D38*$C$53*QuarterBreakup!L$10</f>
        <v>78000</v>
      </c>
      <c r="H38" s="192">
        <f>SUM(E38:G38)</f>
        <v>260000</v>
      </c>
      <c r="I38" s="17">
        <f>$D38*$C$53*QuarterBreakup!J$16</f>
        <v>45000</v>
      </c>
      <c r="J38" s="17">
        <f>$D38*$C$53*QuarterBreakup!K$16</f>
        <v>52500</v>
      </c>
      <c r="K38" s="17">
        <f>$D38*$C$53*QuarterBreakup!L$16</f>
        <v>52500</v>
      </c>
      <c r="L38" s="28">
        <f t="shared" si="1"/>
        <v>150000</v>
      </c>
      <c r="M38" s="31">
        <f>$D38*$C$53*QuarterBreakup!J$22</f>
        <v>119000.00000000001</v>
      </c>
      <c r="N38" s="31">
        <f>$D38*$C$53*QuarterBreakup!K$22</f>
        <v>102000.00000000001</v>
      </c>
      <c r="O38" s="31">
        <f>$D38*$C$53*QuarterBreakup!L$22</f>
        <v>119000.00000000001</v>
      </c>
      <c r="P38" s="26">
        <f>SUM(M38:O38)</f>
        <v>340000.00000000006</v>
      </c>
      <c r="Q38" s="31">
        <f>$D38*$C$53*QuarterBreakup!J$28</f>
        <v>100000.00000000003</v>
      </c>
      <c r="R38" s="31">
        <f>$D38*$C$53*QuarterBreakup!K$28</f>
        <v>75000</v>
      </c>
      <c r="S38" s="31">
        <f>$D38*$C$53*QuarterBreakup!L$28</f>
        <v>75000</v>
      </c>
      <c r="T38" s="191">
        <f t="shared" si="2"/>
        <v>250000.00000000003</v>
      </c>
      <c r="U38" s="283"/>
      <c r="V38" s="283"/>
      <c r="W38" s="283"/>
      <c r="X38" s="283"/>
    </row>
    <row r="39" spans="1:24">
      <c r="A39" s="15" t="s">
        <v>121</v>
      </c>
      <c r="B39" s="14" t="s">
        <v>122</v>
      </c>
      <c r="C39" s="30">
        <f>10*250000</f>
        <v>2500000</v>
      </c>
      <c r="D39" s="188">
        <f t="shared" ref="D39:D41" si="7">C39/$C$37</f>
        <v>0.68965517241379315</v>
      </c>
      <c r="E39" s="17">
        <f>$D39*$C$53*QuarterBreakup!J$10</f>
        <v>195000</v>
      </c>
      <c r="F39" s="17">
        <f>$D39*$C$53*QuarterBreakup!K$10</f>
        <v>260000.00000000006</v>
      </c>
      <c r="G39" s="17">
        <f>$D39*$C$53*QuarterBreakup!L$10</f>
        <v>195000</v>
      </c>
      <c r="H39" s="193">
        <f>SUM(E39:G39)</f>
        <v>650000</v>
      </c>
      <c r="I39" s="17">
        <f>$D39*$C$53*QuarterBreakup!J$16</f>
        <v>112500</v>
      </c>
      <c r="J39" s="17">
        <f>$D39*$C$53*QuarterBreakup!K$16</f>
        <v>131250</v>
      </c>
      <c r="K39" s="17">
        <f>$D39*$C$53*QuarterBreakup!L$16</f>
        <v>131250</v>
      </c>
      <c r="L39" s="28">
        <f t="shared" si="1"/>
        <v>375000</v>
      </c>
      <c r="M39" s="31">
        <f>$D39*$C$53*QuarterBreakup!J$22</f>
        <v>297500.00000000006</v>
      </c>
      <c r="N39" s="31">
        <f>$D39*$C$53*QuarterBreakup!K$22</f>
        <v>255000.00000000006</v>
      </c>
      <c r="O39" s="31">
        <f>$D39*$C$53*QuarterBreakup!L$22</f>
        <v>297500.00000000006</v>
      </c>
      <c r="P39" s="26">
        <f>SUM(M39:O39)</f>
        <v>850000.00000000023</v>
      </c>
      <c r="Q39" s="31">
        <f>$D39*$C$53*QuarterBreakup!J$28</f>
        <v>250000.00000000006</v>
      </c>
      <c r="R39" s="31">
        <f>$D39*$C$53*QuarterBreakup!K$28</f>
        <v>187500</v>
      </c>
      <c r="S39" s="31">
        <f>$D39*$C$53*QuarterBreakup!L$28</f>
        <v>187500</v>
      </c>
      <c r="T39" s="191">
        <f t="shared" si="2"/>
        <v>625000</v>
      </c>
      <c r="U39" s="283"/>
      <c r="V39" s="283"/>
      <c r="W39" s="283"/>
      <c r="X39" s="283"/>
    </row>
    <row r="40" spans="1:24">
      <c r="A40" s="15" t="s">
        <v>109</v>
      </c>
      <c r="B40" s="14" t="s">
        <v>123</v>
      </c>
      <c r="C40" s="30">
        <f>100*250</f>
        <v>25000</v>
      </c>
      <c r="D40" s="188">
        <f t="shared" si="7"/>
        <v>6.8965517241379309E-3</v>
      </c>
      <c r="E40" s="17"/>
      <c r="F40" s="17"/>
      <c r="G40" s="17"/>
      <c r="H40" s="193">
        <f>SUM(E40:G40)</f>
        <v>0</v>
      </c>
      <c r="I40" s="17"/>
      <c r="J40" s="17"/>
      <c r="K40" s="17"/>
      <c r="L40" s="28">
        <f t="shared" si="1"/>
        <v>0</v>
      </c>
      <c r="M40" s="31"/>
      <c r="N40" s="31"/>
      <c r="O40" s="31">
        <v>25000</v>
      </c>
      <c r="P40" s="26">
        <f>SUM(M40:O40)</f>
        <v>25000</v>
      </c>
      <c r="Q40" s="31"/>
      <c r="R40" s="31"/>
      <c r="S40" s="31"/>
      <c r="T40" s="191">
        <f t="shared" si="2"/>
        <v>0</v>
      </c>
      <c r="U40" s="283"/>
      <c r="V40" s="283"/>
      <c r="W40" s="283"/>
      <c r="X40" s="283"/>
    </row>
    <row r="41" spans="1:24">
      <c r="A41" s="15" t="s">
        <v>111</v>
      </c>
      <c r="B41" s="14" t="s">
        <v>124</v>
      </c>
      <c r="C41" s="30">
        <f>100*2*500</f>
        <v>100000</v>
      </c>
      <c r="D41" s="188">
        <f t="shared" si="7"/>
        <v>2.7586206896551724E-2</v>
      </c>
      <c r="E41" s="17"/>
      <c r="F41" s="17"/>
      <c r="G41" s="17"/>
      <c r="H41" s="193">
        <f>SUM(E41:G41)</f>
        <v>0</v>
      </c>
      <c r="I41" s="17"/>
      <c r="J41" s="17"/>
      <c r="K41" s="17"/>
      <c r="L41" s="28">
        <f t="shared" si="1"/>
        <v>0</v>
      </c>
      <c r="M41" s="31">
        <v>50000</v>
      </c>
      <c r="N41" s="31"/>
      <c r="O41" s="31"/>
      <c r="P41" s="26">
        <f>SUM(M41:O41)</f>
        <v>50000</v>
      </c>
      <c r="Q41" s="31">
        <v>50000</v>
      </c>
      <c r="R41" s="31"/>
      <c r="S41" s="31"/>
      <c r="T41" s="191">
        <f t="shared" si="2"/>
        <v>50000</v>
      </c>
      <c r="U41" s="283"/>
      <c r="V41" s="283"/>
      <c r="W41" s="283"/>
      <c r="X41" s="283"/>
    </row>
    <row r="42" spans="1:24">
      <c r="A42" s="12" t="s">
        <v>125</v>
      </c>
      <c r="B42" s="12"/>
      <c r="C42" s="22">
        <f>SUM(C43:C45)</f>
        <v>9800000</v>
      </c>
      <c r="D42" s="22"/>
      <c r="E42" s="42">
        <f>SUM(E43:E45)</f>
        <v>2884000</v>
      </c>
      <c r="F42" s="29">
        <f>SUM(F43:F45)</f>
        <v>2962000</v>
      </c>
      <c r="G42" s="29">
        <f>SUM(G43:G45)</f>
        <v>384000</v>
      </c>
      <c r="H42" s="29">
        <f>SUM(H43:H45)</f>
        <v>6230000</v>
      </c>
      <c r="I42" s="29">
        <f>SUM(I43:I45)</f>
        <v>285000</v>
      </c>
      <c r="J42" s="29">
        <f>SUM(J43:J45)</f>
        <v>307500</v>
      </c>
      <c r="K42" s="29">
        <f>SUM(K43:K45)</f>
        <v>307500</v>
      </c>
      <c r="L42" s="29">
        <f>SUM(L43:L45)</f>
        <v>900000</v>
      </c>
      <c r="M42" s="29">
        <f>SUM(M43:M45)</f>
        <v>507000</v>
      </c>
      <c r="N42" s="29">
        <f>SUM(N43:N45)</f>
        <v>456000.00000000006</v>
      </c>
      <c r="O42" s="29">
        <f>SUM(O43:O45)</f>
        <v>507000</v>
      </c>
      <c r="P42" s="29">
        <f>SUM(P43:P45)</f>
        <v>1470000</v>
      </c>
      <c r="Q42" s="29">
        <f>SUM(Q43:Q45)</f>
        <v>450000.00000000006</v>
      </c>
      <c r="R42" s="29">
        <f>SUM(R43:R45)</f>
        <v>375000</v>
      </c>
      <c r="S42" s="29">
        <f>SUM(S43:S45)</f>
        <v>375000</v>
      </c>
      <c r="T42" s="29">
        <f>SUM(T43:T45)</f>
        <v>1200000</v>
      </c>
      <c r="U42" s="283"/>
      <c r="V42" s="283"/>
      <c r="W42" s="283"/>
      <c r="X42" s="283"/>
    </row>
    <row r="43" spans="1:24">
      <c r="A43" s="14" t="s">
        <v>127</v>
      </c>
      <c r="B43" s="14" t="s">
        <v>128</v>
      </c>
      <c r="C43" s="30">
        <f>150000*12</f>
        <v>1800000</v>
      </c>
      <c r="D43" s="188">
        <f>C43/$C$42</f>
        <v>0.18367346938775511</v>
      </c>
      <c r="E43" s="17">
        <v>150000</v>
      </c>
      <c r="F43" s="17">
        <v>150000</v>
      </c>
      <c r="G43" s="17">
        <v>150000</v>
      </c>
      <c r="H43" s="26">
        <f>SUM(E43:G43)</f>
        <v>450000</v>
      </c>
      <c r="I43" s="17">
        <v>150000</v>
      </c>
      <c r="J43" s="17">
        <v>150000</v>
      </c>
      <c r="K43" s="17">
        <v>150000</v>
      </c>
      <c r="L43" s="28">
        <f t="shared" si="1"/>
        <v>450000</v>
      </c>
      <c r="M43" s="17">
        <v>150000</v>
      </c>
      <c r="N43" s="17">
        <v>150000</v>
      </c>
      <c r="O43" s="17">
        <v>150000</v>
      </c>
      <c r="P43" s="26">
        <f>SUM(M43:O43)</f>
        <v>450000</v>
      </c>
      <c r="Q43" s="17">
        <v>150000</v>
      </c>
      <c r="R43" s="17">
        <v>150000</v>
      </c>
      <c r="S43" s="17">
        <v>150000</v>
      </c>
      <c r="T43" s="32">
        <f>SUM(Q43:S43)</f>
        <v>450000</v>
      </c>
      <c r="U43" s="283"/>
      <c r="V43" s="283"/>
      <c r="W43" s="283"/>
      <c r="X43" s="283"/>
    </row>
    <row r="44" spans="1:24">
      <c r="A44" s="14" t="s">
        <v>129</v>
      </c>
      <c r="B44" s="14" t="s">
        <v>199</v>
      </c>
      <c r="C44" s="30">
        <v>3000000</v>
      </c>
      <c r="D44" s="188">
        <f t="shared" ref="D44:D45" si="8">C44/$C$42</f>
        <v>0.30612244897959184</v>
      </c>
      <c r="E44" s="17">
        <f>$D44*$C$54*QuarterBreakup!J$10</f>
        <v>234000</v>
      </c>
      <c r="F44" s="17">
        <f>$D44*$C$54*QuarterBreakup!K$10</f>
        <v>312000.00000000006</v>
      </c>
      <c r="G44" s="17">
        <f>$D44*$C$54*QuarterBreakup!L$10</f>
        <v>234000</v>
      </c>
      <c r="H44" s="26">
        <f>SUM(E44:G44)</f>
        <v>780000</v>
      </c>
      <c r="I44" s="17">
        <f>$D44*$C$54*QuarterBreakup!J$16</f>
        <v>135000</v>
      </c>
      <c r="J44" s="17">
        <f>$D44*$C$54*QuarterBreakup!K$16</f>
        <v>157500</v>
      </c>
      <c r="K44" s="17">
        <f>$D44*$C$54*QuarterBreakup!L$16</f>
        <v>157500</v>
      </c>
      <c r="L44" s="28">
        <f t="shared" si="1"/>
        <v>450000</v>
      </c>
      <c r="M44" s="17">
        <f>$D44*$C$54*QuarterBreakup!J$22</f>
        <v>357000</v>
      </c>
      <c r="N44" s="17">
        <f>$D44*$C$54*QuarterBreakup!K$22</f>
        <v>306000.00000000006</v>
      </c>
      <c r="O44" s="17">
        <f>$D44*$C$54*QuarterBreakup!L$22</f>
        <v>357000</v>
      </c>
      <c r="P44" s="26">
        <f>SUM(M44:O44)</f>
        <v>1020000</v>
      </c>
      <c r="Q44" s="31">
        <f>$D44*$C$54*QuarterBreakup!J$28</f>
        <v>300000.00000000006</v>
      </c>
      <c r="R44" s="31">
        <f>$D44*$C$54*QuarterBreakup!K$28</f>
        <v>225000</v>
      </c>
      <c r="S44" s="31">
        <f>$D44*$C$54*QuarterBreakup!L$28</f>
        <v>225000</v>
      </c>
      <c r="T44" s="32">
        <f>SUM(Q44:S44)</f>
        <v>750000</v>
      </c>
      <c r="U44" s="283"/>
      <c r="V44" s="283"/>
      <c r="W44" s="283"/>
      <c r="X44" s="283"/>
    </row>
    <row r="45" spans="1:24">
      <c r="A45" s="5" t="s">
        <v>130</v>
      </c>
      <c r="B45" s="14" t="s">
        <v>131</v>
      </c>
      <c r="C45" s="30">
        <v>5000000</v>
      </c>
      <c r="D45" s="188">
        <f t="shared" si="8"/>
        <v>0.51020408163265307</v>
      </c>
      <c r="E45" s="31">
        <v>2500000</v>
      </c>
      <c r="F45" s="31">
        <v>2500000</v>
      </c>
      <c r="G45" s="31"/>
      <c r="H45" s="32">
        <f>SUM(E45:G45)</f>
        <v>5000000</v>
      </c>
      <c r="I45" s="17"/>
      <c r="J45" s="17"/>
      <c r="K45" s="17"/>
      <c r="L45" s="28">
        <f t="shared" si="1"/>
        <v>0</v>
      </c>
      <c r="M45" s="31"/>
      <c r="N45" s="31"/>
      <c r="O45" s="31"/>
      <c r="P45" s="32">
        <f>SUM(M45:O45)</f>
        <v>0</v>
      </c>
      <c r="Q45" s="31"/>
      <c r="R45" s="31"/>
      <c r="S45" s="31"/>
      <c r="T45" s="32">
        <f>SUM(Q45:S45)</f>
        <v>0</v>
      </c>
      <c r="U45" s="283"/>
      <c r="V45" s="283"/>
      <c r="W45" s="283"/>
      <c r="X45" s="283"/>
    </row>
    <row r="46" spans="1:24">
      <c r="A46" s="12" t="s">
        <v>178</v>
      </c>
      <c r="B46" s="12"/>
      <c r="C46" s="22">
        <f>SUM(C47)</f>
        <v>5000000</v>
      </c>
      <c r="D46" s="22"/>
      <c r="E46" s="29">
        <f>SUM(E47)</f>
        <v>389999.99999999994</v>
      </c>
      <c r="F46" s="29">
        <f t="shared" ref="F46:T46" si="9">SUM(F47)</f>
        <v>520000.00000000006</v>
      </c>
      <c r="G46" s="29">
        <f t="shared" si="9"/>
        <v>389999.99999999994</v>
      </c>
      <c r="H46" s="29">
        <f t="shared" si="9"/>
        <v>1300000</v>
      </c>
      <c r="I46" s="29">
        <f t="shared" si="9"/>
        <v>224999.99999999997</v>
      </c>
      <c r="J46" s="29">
        <f t="shared" si="9"/>
        <v>262500</v>
      </c>
      <c r="K46" s="29">
        <f t="shared" si="9"/>
        <v>262500</v>
      </c>
      <c r="L46" s="29">
        <f t="shared" si="9"/>
        <v>750000</v>
      </c>
      <c r="M46" s="29">
        <f t="shared" si="9"/>
        <v>595000</v>
      </c>
      <c r="N46" s="29">
        <f t="shared" si="9"/>
        <v>510000.00000000006</v>
      </c>
      <c r="O46" s="29">
        <f t="shared" si="9"/>
        <v>595000</v>
      </c>
      <c r="P46" s="29">
        <f t="shared" si="9"/>
        <v>1700000</v>
      </c>
      <c r="Q46" s="29">
        <f t="shared" si="9"/>
        <v>500000.00000000006</v>
      </c>
      <c r="R46" s="29">
        <f t="shared" si="9"/>
        <v>375000</v>
      </c>
      <c r="S46" s="29">
        <f t="shared" si="9"/>
        <v>375000</v>
      </c>
      <c r="T46" s="29">
        <f t="shared" si="9"/>
        <v>1250000</v>
      </c>
      <c r="U46" s="283"/>
      <c r="V46" s="283"/>
      <c r="W46" s="283"/>
      <c r="X46" s="283"/>
    </row>
    <row r="47" spans="1:24">
      <c r="A47" s="176" t="s">
        <v>179</v>
      </c>
      <c r="B47" s="177"/>
      <c r="C47" s="178">
        <v>5000000</v>
      </c>
      <c r="D47" s="189">
        <f>C47/$C$46</f>
        <v>1</v>
      </c>
      <c r="E47" s="179">
        <f>$D47*$C$55*QuarterBreakup!J$10</f>
        <v>389999.99999999994</v>
      </c>
      <c r="F47" s="179">
        <f>$D47*$C$55*QuarterBreakup!K$10</f>
        <v>520000.00000000006</v>
      </c>
      <c r="G47" s="179">
        <f>$D47*$C$55*QuarterBreakup!L$10</f>
        <v>389999.99999999994</v>
      </c>
      <c r="H47" s="180">
        <f>SUM(E47:G47)</f>
        <v>1300000</v>
      </c>
      <c r="I47" s="179">
        <f>$D47*$C$55*QuarterBreakup!J$16</f>
        <v>224999.99999999997</v>
      </c>
      <c r="J47" s="179">
        <f>$D47*$C$55*QuarterBreakup!K$16</f>
        <v>262500</v>
      </c>
      <c r="K47" s="179">
        <f>$D47*$C$55*QuarterBreakup!L$16</f>
        <v>262500</v>
      </c>
      <c r="L47" s="28">
        <f t="shared" si="1"/>
        <v>750000</v>
      </c>
      <c r="M47" s="195">
        <f>$D47*$C$55*QuarterBreakup!J$22</f>
        <v>595000</v>
      </c>
      <c r="N47" s="195">
        <f>$D47*$C$55*QuarterBreakup!K$22</f>
        <v>510000.00000000006</v>
      </c>
      <c r="O47" s="195">
        <f>$D47*$C$55*QuarterBreakup!L$22</f>
        <v>595000</v>
      </c>
      <c r="P47" s="32">
        <f>SUM(M47:O47)</f>
        <v>1700000</v>
      </c>
      <c r="Q47" s="195">
        <f>$D47*$C$55*QuarterBreakup!J$28</f>
        <v>500000.00000000006</v>
      </c>
      <c r="R47" s="195">
        <f>$D47*$C$55*QuarterBreakup!K$28</f>
        <v>375000</v>
      </c>
      <c r="S47" s="195">
        <f>$D47*$C$55*QuarterBreakup!L$28</f>
        <v>375000</v>
      </c>
      <c r="T47" s="32">
        <f>SUM(Q47:S47)</f>
        <v>1250000</v>
      </c>
      <c r="U47" s="283"/>
      <c r="V47" s="283"/>
      <c r="W47" s="283"/>
      <c r="X47" s="283"/>
    </row>
    <row r="48" spans="1:24">
      <c r="A48" s="6" t="s">
        <v>134</v>
      </c>
      <c r="B48" s="6"/>
      <c r="C48" s="35">
        <f>SUM(C11,C18,C37,C42,C46)</f>
        <v>180552564.1025641</v>
      </c>
      <c r="D48" s="35"/>
      <c r="E48" s="35">
        <f>SUM(E11,E18,E37,E42,E46)</f>
        <v>16480375</v>
      </c>
      <c r="F48" s="35">
        <f>SUM(F11,F18,F37,F42,F46)</f>
        <v>21133025</v>
      </c>
      <c r="G48" s="35">
        <f>SUM(G11,G18,G37,G42,G46)</f>
        <v>13603950</v>
      </c>
      <c r="H48" s="35">
        <f>SUM(H11,H18,H37,H42,H46)</f>
        <v>51217350</v>
      </c>
      <c r="I48" s="35">
        <f>SUM(I11,I18,I37,I42,I46)</f>
        <v>6185209.615384615</v>
      </c>
      <c r="J48" s="35">
        <f>SUM(J11,J18,J37,J42,J46)</f>
        <v>7191077.884615384</v>
      </c>
      <c r="K48" s="35">
        <f>SUM(K11,K18,K37,K42,K46)</f>
        <v>9035927.884615384</v>
      </c>
      <c r="L48" s="35">
        <f>SUM(L11,L18,L37,L42,L46)</f>
        <v>22412215.384615388</v>
      </c>
      <c r="M48" s="35">
        <f>SUM(M11,M18,M37,M42,M46)</f>
        <v>22469830.128205128</v>
      </c>
      <c r="N48" s="35">
        <f>SUM(N11,N18,N37,N42,N46)</f>
        <v>17952738.461538464</v>
      </c>
      <c r="O48" s="35">
        <f>SUM(O11,O18,O37,O42,O46)</f>
        <v>21508744.230769232</v>
      </c>
      <c r="P48" s="35">
        <f>SUM(P11,P18,P37,P42,P46)</f>
        <v>61931312.820512831</v>
      </c>
      <c r="Q48" s="35">
        <f>SUM(Q11,Q18,Q37,Q42,Q46)</f>
        <v>19009320.512820516</v>
      </c>
      <c r="R48" s="35">
        <f>SUM(R11,R18,R37,R42,R46)</f>
        <v>13138182.692307694</v>
      </c>
      <c r="S48" s="35">
        <f>SUM(S11,S18,S37,S42,S46)</f>
        <v>12844182.692307694</v>
      </c>
      <c r="T48" s="35">
        <f>SUM(T11,T18,T37,T42,T46)</f>
        <v>44991685.897435904</v>
      </c>
      <c r="U48" s="283"/>
      <c r="V48" s="283"/>
      <c r="W48" s="283"/>
      <c r="X48" s="283"/>
    </row>
    <row r="49" spans="1:24" ht="15.75">
      <c r="A49" s="7"/>
      <c r="B49" s="7"/>
      <c r="C49" s="3"/>
      <c r="D49" s="3"/>
      <c r="E49" s="3"/>
      <c r="F49" s="3"/>
      <c r="G49" s="18"/>
      <c r="H49" s="198">
        <f>SUM(H48,L48,P48,T48)</f>
        <v>180552564.10256413</v>
      </c>
      <c r="I49" s="18"/>
      <c r="J49" s="18"/>
      <c r="K49" s="18"/>
      <c r="L49" s="18"/>
      <c r="M49" s="18"/>
      <c r="N49" s="18"/>
      <c r="O49" s="18"/>
      <c r="P49" s="18"/>
      <c r="Q49" s="18"/>
      <c r="R49" s="3"/>
      <c r="S49" s="3"/>
      <c r="T49" s="3"/>
      <c r="U49" s="283"/>
      <c r="V49" s="283"/>
      <c r="W49" s="283"/>
      <c r="X49" s="283"/>
    </row>
    <row r="50" spans="1:24" s="200" customFormat="1" ht="15.75">
      <c r="A50" s="205" t="s">
        <v>135</v>
      </c>
      <c r="B50" s="204" t="s">
        <v>180</v>
      </c>
      <c r="C50" s="9" t="s">
        <v>181</v>
      </c>
      <c r="D50" s="210"/>
      <c r="F50" s="203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1"/>
      <c r="S50" s="201"/>
      <c r="T50" s="201"/>
    </row>
    <row r="51" spans="1:24" ht="15.75">
      <c r="A51" s="44" t="str">
        <f>A11</f>
        <v>ATL Activities</v>
      </c>
      <c r="B51" s="37">
        <f>C11</f>
        <v>60540000</v>
      </c>
      <c r="C51" s="211">
        <f>B51/$B$56</f>
        <v>0.33530401687128547</v>
      </c>
      <c r="D51" s="208"/>
      <c r="E51" s="283"/>
      <c r="F51" s="255"/>
      <c r="G51" s="18"/>
      <c r="H51" s="215"/>
      <c r="I51" s="18"/>
      <c r="J51" s="18"/>
      <c r="K51" s="18"/>
      <c r="L51" s="216"/>
      <c r="M51" s="18"/>
      <c r="N51" s="18"/>
      <c r="O51" s="18"/>
      <c r="P51" s="216"/>
      <c r="Q51" s="18"/>
      <c r="R51" s="3"/>
      <c r="S51" s="3"/>
      <c r="T51" s="216"/>
      <c r="U51" s="283"/>
      <c r="V51" s="283"/>
      <c r="W51" s="283"/>
      <c r="X51" s="283"/>
    </row>
    <row r="52" spans="1:24" ht="15.75">
      <c r="A52" s="45" t="str">
        <f>A18</f>
        <v>BTL Activities</v>
      </c>
      <c r="B52" s="38">
        <f>C18</f>
        <v>101587564.10256411</v>
      </c>
      <c r="C52" s="212">
        <f t="shared" ref="C52:C55" si="10">B52/$B$56</f>
        <v>0.56264813854904117</v>
      </c>
      <c r="D52" s="208"/>
      <c r="E52" s="283"/>
      <c r="F52" s="255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3"/>
      <c r="S52" s="3"/>
      <c r="T52" s="3"/>
      <c r="U52" s="283"/>
      <c r="V52" s="283"/>
      <c r="W52" s="283"/>
      <c r="X52" s="283"/>
    </row>
    <row r="53" spans="1:24" ht="15.75">
      <c r="A53" s="45" t="str">
        <f>A37</f>
        <v>Project BTL Activities</v>
      </c>
      <c r="B53" s="38">
        <f>C37</f>
        <v>3625000</v>
      </c>
      <c r="C53" s="212">
        <f>B53/$B$56</f>
        <v>2.0077255717846215E-2</v>
      </c>
      <c r="D53" s="208"/>
      <c r="E53" s="283"/>
      <c r="F53" s="255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3"/>
      <c r="S53" s="3"/>
      <c r="T53" s="3"/>
      <c r="U53" s="283"/>
      <c r="V53" s="283"/>
      <c r="W53" s="283"/>
      <c r="X53" s="283"/>
    </row>
    <row r="54" spans="1:24" ht="15.75">
      <c r="A54" s="44" t="str">
        <f>A42</f>
        <v>Digital Marketing Collaterals</v>
      </c>
      <c r="B54" s="37">
        <f>C42</f>
        <v>9800000</v>
      </c>
      <c r="C54" s="211">
        <f t="shared" si="10"/>
        <v>5.4277822354453213E-2</v>
      </c>
      <c r="D54" s="208"/>
      <c r="E54" s="283"/>
      <c r="F54" s="255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3"/>
      <c r="S54" s="3"/>
      <c r="T54" s="3"/>
      <c r="U54" s="283"/>
      <c r="V54" s="283"/>
      <c r="W54" s="283"/>
      <c r="X54" s="283"/>
    </row>
    <row r="55" spans="1:24" ht="15.75">
      <c r="A55" s="44" t="str">
        <f>A46</f>
        <v>Discretionary Budget</v>
      </c>
      <c r="B55" s="37">
        <f>C46</f>
        <v>5000000</v>
      </c>
      <c r="C55" s="211">
        <f>B55/$B$56</f>
        <v>2.7692766507374088E-2</v>
      </c>
      <c r="D55" s="208"/>
      <c r="E55" s="283"/>
      <c r="F55" s="255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3"/>
      <c r="S55" s="3"/>
      <c r="T55" s="3"/>
      <c r="U55" s="283"/>
      <c r="V55" s="283"/>
      <c r="W55" s="283"/>
      <c r="X55" s="283"/>
    </row>
    <row r="56" spans="1:24" ht="15.75">
      <c r="A56" s="8" t="s">
        <v>134</v>
      </c>
      <c r="B56" s="207">
        <f>SUM(B51:B55)</f>
        <v>180552564.1025641</v>
      </c>
      <c r="C56" s="39"/>
      <c r="D56" s="209"/>
      <c r="E56" s="283"/>
      <c r="F56" s="20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3"/>
      <c r="S56" s="3"/>
      <c r="T56" s="3"/>
      <c r="U56" s="283"/>
      <c r="V56" s="283"/>
      <c r="W56" s="283"/>
      <c r="X56" s="283"/>
    </row>
    <row r="57" spans="1:24" ht="15.75">
      <c r="A57" s="7"/>
      <c r="B57" s="7"/>
      <c r="C57" s="3"/>
      <c r="D57" s="3"/>
      <c r="E57" s="3"/>
      <c r="F57" s="3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3"/>
      <c r="S57" s="3"/>
      <c r="T57" s="3"/>
      <c r="U57" s="283"/>
      <c r="V57" s="283"/>
      <c r="W57" s="283"/>
      <c r="X57" s="283"/>
    </row>
    <row r="58" spans="1:24" ht="15.75">
      <c r="A58" s="9" t="s">
        <v>182</v>
      </c>
      <c r="B58" s="204" t="s">
        <v>180</v>
      </c>
      <c r="C58" s="9" t="s">
        <v>181</v>
      </c>
      <c r="D58" s="3"/>
      <c r="E58" s="3"/>
      <c r="F58" s="3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3"/>
      <c r="S58" s="3"/>
      <c r="T58" s="3"/>
      <c r="U58" s="283"/>
      <c r="V58" s="283"/>
      <c r="W58" s="283"/>
      <c r="X58" s="283"/>
    </row>
    <row r="59" spans="1:24" ht="15.75">
      <c r="A59" s="44" t="s">
        <v>48</v>
      </c>
      <c r="B59" s="199">
        <f>H48</f>
        <v>51217350</v>
      </c>
      <c r="C59" s="211">
        <f>B59/$B$63</f>
        <v>0.2836700229352912</v>
      </c>
      <c r="D59" s="3"/>
      <c r="E59" s="3"/>
      <c r="F59" s="255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3"/>
      <c r="S59" s="3"/>
      <c r="T59" s="3"/>
      <c r="U59" s="283"/>
      <c r="V59" s="283"/>
      <c r="W59" s="283"/>
      <c r="X59" s="283"/>
    </row>
    <row r="60" spans="1:24" ht="15.75">
      <c r="A60" s="45" t="s">
        <v>49</v>
      </c>
      <c r="B60" s="206">
        <f>L48</f>
        <v>22412215.384615388</v>
      </c>
      <c r="C60" s="212">
        <f t="shared" ref="C60:C62" si="11">B60/$B$63</f>
        <v>0.12413124951182623</v>
      </c>
      <c r="D60" s="3"/>
      <c r="E60" s="3"/>
      <c r="F60" s="3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3"/>
      <c r="S60" s="3"/>
      <c r="T60" s="3"/>
      <c r="U60" s="283"/>
      <c r="V60" s="283"/>
      <c r="W60" s="283"/>
      <c r="X60" s="283"/>
    </row>
    <row r="61" spans="1:24" ht="15.75">
      <c r="A61" s="45" t="s">
        <v>50</v>
      </c>
      <c r="B61" s="206">
        <f>P48</f>
        <v>61931312.820512831</v>
      </c>
      <c r="C61" s="212">
        <f t="shared" si="11"/>
        <v>0.34300987708672098</v>
      </c>
      <c r="D61" s="3"/>
      <c r="E61" s="3"/>
      <c r="F61" s="3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3"/>
      <c r="S61" s="3"/>
      <c r="T61" s="3"/>
      <c r="U61" s="283"/>
      <c r="V61" s="283"/>
      <c r="W61" s="283"/>
      <c r="X61" s="283"/>
    </row>
    <row r="62" spans="1:24">
      <c r="A62" s="44" t="s">
        <v>51</v>
      </c>
      <c r="B62" s="199">
        <f>T48</f>
        <v>44991685.897435904</v>
      </c>
      <c r="C62" s="211">
        <f t="shared" si="11"/>
        <v>0.24918885046616157</v>
      </c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</row>
    <row r="63" spans="1:24">
      <c r="A63" s="8" t="s">
        <v>134</v>
      </c>
      <c r="B63" s="207">
        <f>SUM(B59:B62)</f>
        <v>180552564.10256413</v>
      </c>
      <c r="C63" s="39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</row>
    <row r="64" spans="1:24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</row>
    <row r="65" spans="1:24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</row>
    <row r="66" spans="1:24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</row>
    <row r="67" spans="1:24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</row>
    <row r="68" spans="1:24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</row>
    <row r="69" spans="1:24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</row>
    <row r="70" spans="1:24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</row>
    <row r="71" spans="1:24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</row>
    <row r="72" spans="1:24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</row>
    <row r="73" spans="1:24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</row>
    <row r="74" spans="1:24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</row>
    <row r="75" spans="1:24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</row>
    <row r="76" spans="1:24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</row>
    <row r="77" spans="1:24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</row>
    <row r="78" spans="1:24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</row>
    <row r="79" spans="1:24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</row>
    <row r="80" spans="1:24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</row>
    <row r="81" spans="1:24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</row>
    <row r="82" spans="1:24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</row>
    <row r="83" spans="1:24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</row>
    <row r="84" spans="1:24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</row>
    <row r="85" spans="1:24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</row>
    <row r="86" spans="1:24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</row>
    <row r="87" spans="1:24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</row>
    <row r="88" spans="1:24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</row>
    <row r="89" spans="1:24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</row>
    <row r="90" spans="1:24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</row>
    <row r="91" spans="1:24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</row>
    <row r="92" spans="1:24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</row>
    <row r="93" spans="1:24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</row>
    <row r="94" spans="1:24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</row>
    <row r="95" spans="1:24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</row>
    <row r="96" spans="1:24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</row>
    <row r="97" spans="1:24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</row>
    <row r="98" spans="1:24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</row>
  </sheetData>
  <mergeCells count="8">
    <mergeCell ref="M1:P1"/>
    <mergeCell ref="Q1:T1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D0F4-009A-41D4-87FE-5F4A504B95E1}">
  <dimension ref="B1:AC35"/>
  <sheetViews>
    <sheetView workbookViewId="0">
      <selection activeCell="S10" sqref="S10"/>
    </sheetView>
  </sheetViews>
  <sheetFormatPr defaultRowHeight="15"/>
  <cols>
    <col min="2" max="2" width="17.7109375" hidden="1" customWidth="1"/>
    <col min="3" max="3" width="15.85546875" hidden="1" customWidth="1"/>
    <col min="4" max="4" width="11.28515625" hidden="1" customWidth="1"/>
    <col min="5" max="5" width="13" hidden="1" customWidth="1"/>
    <col min="6" max="6" width="10.7109375" hidden="1" customWidth="1"/>
    <col min="7" max="7" width="13" hidden="1" customWidth="1"/>
    <col min="8" max="8" width="12.28515625" hidden="1" customWidth="1"/>
    <col min="9" max="9" width="13.28515625" hidden="1" customWidth="1"/>
    <col min="10" max="13" width="16.7109375" hidden="1" customWidth="1"/>
    <col min="14" max="14" width="14.85546875" hidden="1" customWidth="1"/>
    <col min="16" max="16" width="19" customWidth="1"/>
    <col min="17" max="17" width="21.28515625" customWidth="1"/>
    <col min="18" max="18" width="17.42578125" bestFit="1" customWidth="1"/>
    <col min="19" max="20" width="14.85546875" bestFit="1" customWidth="1"/>
    <col min="21" max="21" width="19.28515625" bestFit="1" customWidth="1"/>
    <col min="22" max="22" width="14.85546875" bestFit="1" customWidth="1"/>
  </cols>
  <sheetData>
    <row r="1" spans="2:22">
      <c r="B1" s="214" t="s">
        <v>5</v>
      </c>
      <c r="I1" s="214" t="s">
        <v>200</v>
      </c>
    </row>
    <row r="2" spans="2:22">
      <c r="B2" s="65" t="s">
        <v>47</v>
      </c>
      <c r="C2" s="59" t="s">
        <v>48</v>
      </c>
      <c r="D2" s="59" t="s">
        <v>49</v>
      </c>
      <c r="E2" s="59" t="s">
        <v>50</v>
      </c>
      <c r="F2" s="59" t="s">
        <v>51</v>
      </c>
      <c r="G2" s="69" t="s">
        <v>60</v>
      </c>
      <c r="I2" s="65" t="s">
        <v>47</v>
      </c>
      <c r="J2" s="59" t="s">
        <v>48</v>
      </c>
      <c r="K2" s="59" t="s">
        <v>49</v>
      </c>
      <c r="L2" s="59" t="s">
        <v>50</v>
      </c>
      <c r="M2" s="59" t="s">
        <v>51</v>
      </c>
      <c r="N2" s="69" t="s">
        <v>60</v>
      </c>
      <c r="P2" s="59"/>
      <c r="Q2" s="59" t="s">
        <v>201</v>
      </c>
      <c r="R2" s="59" t="s">
        <v>202</v>
      </c>
      <c r="S2" s="59" t="s">
        <v>203</v>
      </c>
      <c r="T2" s="59" t="s">
        <v>204</v>
      </c>
      <c r="U2" s="69" t="s">
        <v>205</v>
      </c>
      <c r="V2" s="69" t="s">
        <v>206</v>
      </c>
    </row>
    <row r="3" spans="2:22">
      <c r="B3" s="58" t="s">
        <v>63</v>
      </c>
      <c r="C3" s="60">
        <v>0.25</v>
      </c>
      <c r="D3" s="60">
        <v>0.15</v>
      </c>
      <c r="E3" s="60">
        <v>0.35</v>
      </c>
      <c r="F3" s="66">
        <v>0.25</v>
      </c>
      <c r="G3" s="185"/>
      <c r="I3" s="58" t="s">
        <v>63</v>
      </c>
      <c r="J3" s="60">
        <v>0.26</v>
      </c>
      <c r="K3" s="60">
        <v>0.15</v>
      </c>
      <c r="L3" s="60">
        <v>0.34</v>
      </c>
      <c r="M3" s="66">
        <v>0.25</v>
      </c>
      <c r="N3" s="185"/>
      <c r="P3" s="58" t="s">
        <v>200</v>
      </c>
      <c r="Q3" s="61">
        <v>50000</v>
      </c>
      <c r="R3" s="61">
        <v>268</v>
      </c>
      <c r="S3" s="61">
        <f>Q3*R3*1000</f>
        <v>13400000000</v>
      </c>
      <c r="T3" s="67">
        <f>'JSW One TMT'!B56</f>
        <v>180552564.1025641</v>
      </c>
      <c r="U3" s="249">
        <f>T3/S3</f>
        <v>1.3474071947952545E-2</v>
      </c>
      <c r="V3" s="246">
        <f>T3/(R3*1000)</f>
        <v>673.70359739762728</v>
      </c>
    </row>
    <row r="4" spans="2:22">
      <c r="B4" s="58" t="s">
        <v>207</v>
      </c>
      <c r="C4" s="61">
        <f>$G$4*C3</f>
        <v>65722403.846153848</v>
      </c>
      <c r="D4" s="61">
        <f t="shared" ref="D4:F4" si="0">$G$4*D3</f>
        <v>39433442.307692304</v>
      </c>
      <c r="E4" s="61">
        <f t="shared" si="0"/>
        <v>92011365.384615377</v>
      </c>
      <c r="F4" s="61">
        <f>$G$4*F3</f>
        <v>65722403.846153848</v>
      </c>
      <c r="G4" s="186">
        <f>'One Helix'!B61</f>
        <v>262889615.38461539</v>
      </c>
      <c r="H4" s="194"/>
      <c r="I4" s="58" t="s">
        <v>207</v>
      </c>
      <c r="J4" s="61">
        <f>J3*N4</f>
        <v>46943666.666666664</v>
      </c>
      <c r="K4" s="61">
        <f>K3*N4</f>
        <v>27082884.615384612</v>
      </c>
      <c r="L4" s="61">
        <f>L3*N4</f>
        <v>61387871.7948718</v>
      </c>
      <c r="M4" s="61">
        <f>M3*N4</f>
        <v>45138141.025641024</v>
      </c>
      <c r="N4" s="186">
        <f>'JSW One TMT'!C48</f>
        <v>180552564.1025641</v>
      </c>
      <c r="P4" s="58" t="s">
        <v>5</v>
      </c>
      <c r="Q4" s="61">
        <v>48868.047576098281</v>
      </c>
      <c r="R4" s="61">
        <v>121</v>
      </c>
      <c r="S4" s="61">
        <f>Q4*R4*1000</f>
        <v>5913033756.7078915</v>
      </c>
      <c r="T4" s="67">
        <f>'One Helix'!B61</f>
        <v>262889615.38461539</v>
      </c>
      <c r="U4" s="249">
        <f>T4/S4</f>
        <v>4.4459346285041404E-2</v>
      </c>
      <c r="V4" s="246">
        <f>T4/(R4*1000)</f>
        <v>2172.6414494596315</v>
      </c>
    </row>
    <row r="5" spans="2:22">
      <c r="B5" s="58" t="s">
        <v>69</v>
      </c>
      <c r="C5" s="61">
        <v>13</v>
      </c>
      <c r="D5" s="61">
        <v>11</v>
      </c>
      <c r="E5" s="61">
        <v>31</v>
      </c>
      <c r="F5" s="67">
        <v>66</v>
      </c>
      <c r="G5" s="70">
        <v>121</v>
      </c>
      <c r="I5" s="58" t="s">
        <v>69</v>
      </c>
      <c r="J5" s="61">
        <f>M11</f>
        <v>67.995000000000005</v>
      </c>
      <c r="K5" s="61">
        <f>M17</f>
        <v>51.272999999999996</v>
      </c>
      <c r="L5" s="61">
        <f>M23</f>
        <v>64.622500000000002</v>
      </c>
      <c r="M5" s="67">
        <f>M29</f>
        <v>84.253999999999991</v>
      </c>
      <c r="N5" s="70">
        <f>SUM(J5:M5)</f>
        <v>268.14449999999999</v>
      </c>
      <c r="P5" s="58" t="s">
        <v>60</v>
      </c>
      <c r="Q5" s="61"/>
      <c r="R5" s="244">
        <f>SUM(R3:R4)</f>
        <v>389</v>
      </c>
      <c r="S5" s="244">
        <f>SUM(S3:S4)</f>
        <v>19313033756.707893</v>
      </c>
      <c r="T5" s="245">
        <f>SUM(T3:T4)</f>
        <v>443442179.48717952</v>
      </c>
      <c r="U5" s="250">
        <f>T5/S5</f>
        <v>2.296077276482578E-2</v>
      </c>
      <c r="V5" s="247">
        <f>T5/(R5*1000)</f>
        <v>1139.9541889130578</v>
      </c>
    </row>
    <row r="6" spans="2:22">
      <c r="B6" s="58" t="s">
        <v>57</v>
      </c>
      <c r="C6" s="61">
        <f>C4/(C5*1000)</f>
        <v>5055.5695266272187</v>
      </c>
      <c r="D6" s="61">
        <f t="shared" ref="D6:G6" si="1">D4/(D5*1000)</f>
        <v>3584.8583916083912</v>
      </c>
      <c r="E6" s="61">
        <f t="shared" si="1"/>
        <v>2968.1085607940445</v>
      </c>
      <c r="F6" s="61">
        <f t="shared" si="1"/>
        <v>995.79399766899769</v>
      </c>
      <c r="G6" s="61">
        <f>G4/(G5*1000)</f>
        <v>2172.6414494596315</v>
      </c>
      <c r="I6" s="58" t="s">
        <v>57</v>
      </c>
      <c r="J6" s="62">
        <f>J4/(J5*1000)</f>
        <v>690.39880383361515</v>
      </c>
      <c r="K6" s="62">
        <f t="shared" ref="K6:N6" si="2">K4/(K5*1000)</f>
        <v>528.2094789730387</v>
      </c>
      <c r="L6" s="62">
        <f t="shared" si="2"/>
        <v>949.94578969974543</v>
      </c>
      <c r="M6" s="62">
        <f t="shared" si="2"/>
        <v>535.73884949843364</v>
      </c>
      <c r="N6" s="62">
        <f t="shared" si="2"/>
        <v>673.34054624489443</v>
      </c>
    </row>
    <row r="7" spans="2:22">
      <c r="B7" s="58"/>
      <c r="C7" s="62"/>
      <c r="D7" s="62"/>
      <c r="E7" s="62"/>
      <c r="F7" s="68"/>
      <c r="G7" s="2"/>
      <c r="I7" s="58"/>
      <c r="J7" s="62"/>
      <c r="K7" s="62"/>
      <c r="L7" s="62"/>
      <c r="M7" s="68"/>
      <c r="N7" s="2"/>
      <c r="P7" s="263" t="s">
        <v>47</v>
      </c>
      <c r="Q7" s="259" t="s">
        <v>48</v>
      </c>
      <c r="R7" s="259" t="s">
        <v>49</v>
      </c>
      <c r="S7" s="259" t="s">
        <v>50</v>
      </c>
      <c r="T7" s="259" t="s">
        <v>51</v>
      </c>
      <c r="U7" s="259" t="s">
        <v>60</v>
      </c>
      <c r="V7" s="262"/>
    </row>
    <row r="8" spans="2:22">
      <c r="B8" s="65" t="s">
        <v>48</v>
      </c>
      <c r="C8" s="63">
        <v>46113</v>
      </c>
      <c r="D8" s="63">
        <v>46143</v>
      </c>
      <c r="E8" s="63">
        <v>46174</v>
      </c>
      <c r="F8" s="64" t="s">
        <v>60</v>
      </c>
      <c r="I8" s="65" t="s">
        <v>48</v>
      </c>
      <c r="J8" s="63">
        <v>46113</v>
      </c>
      <c r="K8" s="63">
        <v>46143</v>
      </c>
      <c r="L8" s="63">
        <v>46174</v>
      </c>
      <c r="M8" s="64" t="s">
        <v>60</v>
      </c>
      <c r="P8" s="263" t="s">
        <v>63</v>
      </c>
      <c r="Q8" s="174">
        <v>0.25</v>
      </c>
      <c r="R8" s="174">
        <v>0.15</v>
      </c>
      <c r="S8" s="174">
        <v>0.35</v>
      </c>
      <c r="T8" s="174">
        <v>0.25</v>
      </c>
      <c r="U8" s="257"/>
      <c r="V8" s="260"/>
    </row>
    <row r="9" spans="2:22">
      <c r="B9" s="58" t="s">
        <v>63</v>
      </c>
      <c r="C9" s="60">
        <v>0.3</v>
      </c>
      <c r="D9" s="60">
        <v>0.4</v>
      </c>
      <c r="E9" s="60">
        <v>0.3</v>
      </c>
      <c r="F9" s="60"/>
      <c r="I9" s="58" t="s">
        <v>63</v>
      </c>
      <c r="J9" s="60">
        <v>0.3</v>
      </c>
      <c r="K9" s="60">
        <v>0.4</v>
      </c>
      <c r="L9" s="60">
        <v>0.3</v>
      </c>
      <c r="M9" s="60"/>
      <c r="P9" s="263" t="s">
        <v>208</v>
      </c>
      <c r="Q9" s="252">
        <v>7</v>
      </c>
      <c r="R9" s="252">
        <v>3</v>
      </c>
      <c r="S9" s="252">
        <v>9</v>
      </c>
      <c r="T9" s="252">
        <v>7</v>
      </c>
      <c r="U9" s="252">
        <f>262889615.384615/10000000</f>
        <v>26.2889615384615</v>
      </c>
      <c r="V9" s="260"/>
    </row>
    <row r="10" spans="2:22">
      <c r="B10" s="58" t="s">
        <v>66</v>
      </c>
      <c r="C10" s="61">
        <f>$F$10*C9</f>
        <v>19716721.153846152</v>
      </c>
      <c r="D10" s="61">
        <f t="shared" ref="D10:E10" si="3">$F$10*D9</f>
        <v>26288961.53846154</v>
      </c>
      <c r="E10" s="61">
        <f t="shared" si="3"/>
        <v>19716721.153846152</v>
      </c>
      <c r="F10" s="61">
        <f>C4</f>
        <v>65722403.846153848</v>
      </c>
      <c r="G10">
        <f>G4/(G5*1000)</f>
        <v>2172.6414494596315</v>
      </c>
      <c r="I10" s="58" t="s">
        <v>66</v>
      </c>
      <c r="J10" s="61">
        <f>J9*M10</f>
        <v>14083099.999999998</v>
      </c>
      <c r="K10" s="61">
        <f>K9*M10</f>
        <v>18777466.666666668</v>
      </c>
      <c r="L10" s="61">
        <f>L9*M10</f>
        <v>14083099.999999998</v>
      </c>
      <c r="M10" s="61">
        <f>J4</f>
        <v>46943666.666666664</v>
      </c>
      <c r="P10" s="263" t="s">
        <v>69</v>
      </c>
      <c r="Q10" s="252">
        <v>13</v>
      </c>
      <c r="R10" s="252">
        <v>11</v>
      </c>
      <c r="S10" s="252">
        <v>30.727499999999999</v>
      </c>
      <c r="T10" s="252">
        <v>65.846000000000004</v>
      </c>
      <c r="U10" s="252">
        <v>121.4055</v>
      </c>
      <c r="V10" s="261"/>
    </row>
    <row r="11" spans="2:22">
      <c r="B11" s="58" t="s">
        <v>69</v>
      </c>
      <c r="C11" s="61">
        <v>3.6059999999999999</v>
      </c>
      <c r="D11" s="61">
        <v>4.9350000000000005</v>
      </c>
      <c r="E11" s="61">
        <v>4.4640000000000004</v>
      </c>
      <c r="F11" s="61">
        <f>SUM(C11:E11)</f>
        <v>13.005000000000001</v>
      </c>
      <c r="I11" s="58" t="s">
        <v>69</v>
      </c>
      <c r="J11" s="61">
        <v>19.244</v>
      </c>
      <c r="K11" s="61">
        <v>26.164999999999999</v>
      </c>
      <c r="L11" s="61">
        <v>22.585999999999999</v>
      </c>
      <c r="M11" s="61">
        <f>SUM(J11:L11)</f>
        <v>67.995000000000005</v>
      </c>
      <c r="P11" s="263" t="s">
        <v>57</v>
      </c>
      <c r="Q11" s="252">
        <v>5402</v>
      </c>
      <c r="R11" s="252">
        <v>3147</v>
      </c>
      <c r="S11" s="252">
        <v>2987</v>
      </c>
      <c r="T11" s="252">
        <v>992</v>
      </c>
      <c r="U11" s="252">
        <v>2172.6414494596315</v>
      </c>
    </row>
    <row r="12" spans="2:22">
      <c r="B12" s="58" t="s">
        <v>72</v>
      </c>
      <c r="C12" s="62">
        <f>C10/(C11*1000)</f>
        <v>5467.7540637399197</v>
      </c>
      <c r="D12" s="62">
        <f t="shared" ref="D12:F12" si="4">D10/(D11*1000)</f>
        <v>5327.0438781077073</v>
      </c>
      <c r="E12" s="62">
        <f t="shared" si="4"/>
        <v>4416.8282154673279</v>
      </c>
      <c r="F12" s="62">
        <f>F10/(F11*1000)</f>
        <v>5053.6258243870698</v>
      </c>
      <c r="I12" s="58" t="s">
        <v>72</v>
      </c>
      <c r="J12" s="62">
        <f>J10/(J11*1000)</f>
        <v>731.81770941592174</v>
      </c>
      <c r="K12" s="62">
        <f t="shared" ref="K12:M12" si="5">K10/(K11*1000)</f>
        <v>717.65590164978664</v>
      </c>
      <c r="L12" s="62">
        <f t="shared" si="5"/>
        <v>623.53227663154155</v>
      </c>
      <c r="M12" s="62">
        <f>M10/(M11*1000)</f>
        <v>690.39880383361515</v>
      </c>
      <c r="P12" s="258"/>
      <c r="Q12" s="129"/>
      <c r="R12" s="129"/>
      <c r="S12" s="129"/>
      <c r="T12" s="129"/>
      <c r="U12" s="129"/>
    </row>
    <row r="13" spans="2:22">
      <c r="B13" s="58"/>
      <c r="C13" s="62"/>
      <c r="D13" s="62"/>
      <c r="E13" s="62"/>
      <c r="F13" s="62"/>
      <c r="I13" s="58"/>
      <c r="J13" s="62"/>
      <c r="K13" s="62"/>
      <c r="L13" s="62"/>
      <c r="M13" s="62"/>
      <c r="P13" s="59" t="s">
        <v>47</v>
      </c>
      <c r="Q13" s="259" t="s">
        <v>48</v>
      </c>
      <c r="R13" s="259" t="s">
        <v>49</v>
      </c>
      <c r="S13" s="259" t="s">
        <v>50</v>
      </c>
      <c r="T13" s="259" t="s">
        <v>51</v>
      </c>
      <c r="U13" s="259" t="s">
        <v>60</v>
      </c>
    </row>
    <row r="14" spans="2:22">
      <c r="B14" s="65" t="s">
        <v>49</v>
      </c>
      <c r="C14" s="63">
        <v>46204</v>
      </c>
      <c r="D14" s="63">
        <v>46235</v>
      </c>
      <c r="E14" s="63">
        <v>46266</v>
      </c>
      <c r="F14" s="64" t="s">
        <v>60</v>
      </c>
      <c r="I14" s="65" t="s">
        <v>49</v>
      </c>
      <c r="J14" s="63">
        <v>46204</v>
      </c>
      <c r="K14" s="63">
        <v>46235</v>
      </c>
      <c r="L14" s="63">
        <v>46266</v>
      </c>
      <c r="M14" s="64" t="s">
        <v>60</v>
      </c>
      <c r="P14" s="59" t="s">
        <v>63</v>
      </c>
      <c r="Q14" s="174">
        <f>Q$15/$U$15</f>
        <v>0.28454083333333335</v>
      </c>
      <c r="R14" s="174">
        <f>R$15/$U$15</f>
        <v>0.12451230769230776</v>
      </c>
      <c r="S14" s="174">
        <f>S$15/$U$15</f>
        <v>0.34406284900284889</v>
      </c>
      <c r="T14" s="174">
        <f>T$15/$U$15</f>
        <v>0.24995381054131055</v>
      </c>
      <c r="U14" s="78"/>
    </row>
    <row r="15" spans="2:22">
      <c r="B15" s="58" t="s">
        <v>63</v>
      </c>
      <c r="C15" s="60">
        <v>0.3</v>
      </c>
      <c r="D15" s="60">
        <v>0.35</v>
      </c>
      <c r="E15" s="60">
        <v>0.35</v>
      </c>
      <c r="F15" s="60"/>
      <c r="I15" s="58" t="s">
        <v>63</v>
      </c>
      <c r="J15" s="60">
        <v>0.3</v>
      </c>
      <c r="K15" s="60">
        <v>0.35</v>
      </c>
      <c r="L15" s="60">
        <v>0.35</v>
      </c>
      <c r="M15" s="60"/>
      <c r="P15" s="59" t="s">
        <v>208</v>
      </c>
      <c r="Q15" s="252">
        <f>51217350/10000000</f>
        <v>5.1217350000000001</v>
      </c>
      <c r="R15" s="252">
        <f>22412215.3846154/10000000</f>
        <v>2.2412215384615397</v>
      </c>
      <c r="S15" s="252">
        <f>61931312.8205128/10000000</f>
        <v>6.1931312820512803</v>
      </c>
      <c r="T15" s="252">
        <f>44991685.8974359/10000000</f>
        <v>4.49916858974359</v>
      </c>
      <c r="U15" s="252">
        <v>18</v>
      </c>
    </row>
    <row r="16" spans="2:22">
      <c r="B16" s="58" t="s">
        <v>66</v>
      </c>
      <c r="C16" s="184">
        <f>$F$16*C15</f>
        <v>11830032.69230769</v>
      </c>
      <c r="D16" s="184">
        <f t="shared" ref="D16:E16" si="6">$F$16*D15</f>
        <v>13801704.807692306</v>
      </c>
      <c r="E16" s="184">
        <f t="shared" si="6"/>
        <v>13801704.807692306</v>
      </c>
      <c r="F16" s="61">
        <f>D4</f>
        <v>39433442.307692304</v>
      </c>
      <c r="I16" s="58" t="s">
        <v>66</v>
      </c>
      <c r="J16" s="184">
        <f>M16*J15</f>
        <v>8124865.3846153831</v>
      </c>
      <c r="K16" s="184">
        <f>M16*K15</f>
        <v>9479009.6153846141</v>
      </c>
      <c r="L16" s="184">
        <f>M16*L15</f>
        <v>9479009.6153846141</v>
      </c>
      <c r="M16" s="61">
        <f>K4</f>
        <v>27082884.615384612</v>
      </c>
      <c r="N16">
        <v>70221730.769230768</v>
      </c>
      <c r="O16" s="253"/>
      <c r="P16" s="59" t="s">
        <v>69</v>
      </c>
      <c r="Q16" s="257">
        <v>68</v>
      </c>
      <c r="R16" s="257">
        <v>51</v>
      </c>
      <c r="S16" s="257">
        <v>65</v>
      </c>
      <c r="T16" s="257">
        <v>84</v>
      </c>
      <c r="U16" s="257">
        <v>268</v>
      </c>
    </row>
    <row r="17" spans="2:29">
      <c r="B17" s="58" t="s">
        <v>69</v>
      </c>
      <c r="C17" s="61">
        <v>3.774</v>
      </c>
      <c r="D17" s="61">
        <v>3.7090000000000001</v>
      </c>
      <c r="E17" s="61">
        <v>4.3440000000000003</v>
      </c>
      <c r="F17" s="61">
        <f>SUM(C17:E17)</f>
        <v>11.827000000000002</v>
      </c>
      <c r="I17" s="58" t="s">
        <v>69</v>
      </c>
      <c r="J17" s="61">
        <v>19.076000000000001</v>
      </c>
      <c r="K17" s="61">
        <v>15.391000000000002</v>
      </c>
      <c r="L17" s="61">
        <v>16.805999999999997</v>
      </c>
      <c r="M17" s="61">
        <f>SUM(J17:L17)</f>
        <v>51.272999999999996</v>
      </c>
      <c r="N17">
        <v>34612788.461538456</v>
      </c>
      <c r="O17" s="253"/>
      <c r="P17" s="59" t="s">
        <v>57</v>
      </c>
      <c r="Q17" s="257">
        <v>753</v>
      </c>
      <c r="R17" s="257">
        <v>439</v>
      </c>
      <c r="S17" s="257">
        <v>953</v>
      </c>
      <c r="T17" s="257">
        <v>536</v>
      </c>
      <c r="U17" s="257">
        <v>674</v>
      </c>
    </row>
    <row r="18" spans="2:29">
      <c r="B18" s="58" t="s">
        <v>72</v>
      </c>
      <c r="C18" s="62">
        <f>C16/(C17*1000)</f>
        <v>3134.6138559373849</v>
      </c>
      <c r="D18" s="62">
        <f t="shared" ref="D18:F18" si="7">D16/(D17*1000)</f>
        <v>3721.1390692079553</v>
      </c>
      <c r="E18" s="62">
        <f t="shared" si="7"/>
        <v>3177.1880312367189</v>
      </c>
      <c r="F18" s="62">
        <f t="shared" si="7"/>
        <v>3334.1880703214929</v>
      </c>
      <c r="I18" s="58" t="s">
        <v>72</v>
      </c>
      <c r="J18" s="62">
        <f>J16/(J17*1000)</f>
        <v>425.9208106843879</v>
      </c>
      <c r="K18" s="62">
        <f t="shared" ref="K18:M18" si="8">K16/(K17*1000)</f>
        <v>615.88003478556379</v>
      </c>
      <c r="L18" s="62">
        <f t="shared" si="8"/>
        <v>564.02532520436841</v>
      </c>
      <c r="M18" s="62">
        <f t="shared" si="8"/>
        <v>528.2094789730387</v>
      </c>
      <c r="N18">
        <v>92587019.230769217</v>
      </c>
      <c r="O18" s="253"/>
    </row>
    <row r="19" spans="2:29">
      <c r="B19" s="58"/>
      <c r="C19" s="62"/>
      <c r="D19" s="62"/>
      <c r="E19" s="62"/>
      <c r="F19" s="62"/>
      <c r="I19" s="58"/>
      <c r="J19" s="62"/>
      <c r="K19" s="62"/>
      <c r="L19" s="62"/>
      <c r="M19" s="62"/>
      <c r="N19">
        <v>65468076.923076928</v>
      </c>
      <c r="O19" s="253"/>
    </row>
    <row r="20" spans="2:29">
      <c r="B20" s="65" t="s">
        <v>50</v>
      </c>
      <c r="C20" s="63">
        <v>46296</v>
      </c>
      <c r="D20" s="63">
        <v>46327</v>
      </c>
      <c r="E20" s="63">
        <v>46357</v>
      </c>
      <c r="F20" s="64" t="s">
        <v>60</v>
      </c>
      <c r="I20" s="65" t="s">
        <v>50</v>
      </c>
      <c r="J20" s="63">
        <v>46296</v>
      </c>
      <c r="K20" s="63">
        <v>46327</v>
      </c>
      <c r="L20" s="63">
        <v>46357</v>
      </c>
      <c r="M20" s="64" t="s">
        <v>60</v>
      </c>
      <c r="N20">
        <f>SUM(N16:N19)</f>
        <v>262889615.38461536</v>
      </c>
    </row>
    <row r="21" spans="2:29">
      <c r="B21" s="58" t="s">
        <v>63</v>
      </c>
      <c r="C21" s="60">
        <v>0.35</v>
      </c>
      <c r="D21" s="60">
        <v>0.3</v>
      </c>
      <c r="E21" s="60">
        <v>0.35</v>
      </c>
      <c r="F21" s="60"/>
      <c r="I21" s="58" t="s">
        <v>63</v>
      </c>
      <c r="J21" s="60">
        <v>0.35</v>
      </c>
      <c r="K21" s="60">
        <v>0.3</v>
      </c>
      <c r="L21" s="60">
        <v>0.35</v>
      </c>
      <c r="M21" s="60"/>
      <c r="V21" s="218"/>
      <c r="W21" s="218"/>
      <c r="X21" s="218"/>
      <c r="Y21" s="218"/>
      <c r="Z21" s="218"/>
      <c r="AA21" s="218"/>
      <c r="AB21" s="218"/>
      <c r="AC21" s="218"/>
    </row>
    <row r="22" spans="2:29">
      <c r="B22" s="58" t="s">
        <v>66</v>
      </c>
      <c r="C22" s="61">
        <f>$F$22*C21</f>
        <v>32203977.88461538</v>
      </c>
      <c r="D22" s="61">
        <f t="shared" ref="D22:E22" si="9">$F$22*D21</f>
        <v>27603409.615384612</v>
      </c>
      <c r="E22" s="61">
        <f t="shared" si="9"/>
        <v>32203977.88461538</v>
      </c>
      <c r="F22" s="187">
        <f>E4</f>
        <v>92011365.384615377</v>
      </c>
      <c r="I22" s="58" t="s">
        <v>66</v>
      </c>
      <c r="J22" s="61">
        <f>J21*M22</f>
        <v>21485755.128205128</v>
      </c>
      <c r="K22" s="61">
        <f>K21*M22</f>
        <v>18416361.53846154</v>
      </c>
      <c r="L22" s="61">
        <f>M22*L21</f>
        <v>21485755.128205128</v>
      </c>
      <c r="M22" s="187">
        <f>L4</f>
        <v>61387871.7948718</v>
      </c>
    </row>
    <row r="23" spans="2:29">
      <c r="B23" s="58" t="s">
        <v>69</v>
      </c>
      <c r="C23" s="61">
        <v>7.168499999999999</v>
      </c>
      <c r="D23" s="61">
        <v>10.382499999999999</v>
      </c>
      <c r="E23" s="61">
        <v>13.176500000000003</v>
      </c>
      <c r="F23" s="61">
        <f>SUM(C23:E23)</f>
        <v>30.727499999999999</v>
      </c>
      <c r="I23" s="58" t="s">
        <v>69</v>
      </c>
      <c r="J23" s="61">
        <v>19.881499999999999</v>
      </c>
      <c r="K23" s="61">
        <v>22.767499999999998</v>
      </c>
      <c r="L23" s="61">
        <v>21.973500000000001</v>
      </c>
      <c r="M23" s="61">
        <f>SUM(J23:L23)</f>
        <v>64.622500000000002</v>
      </c>
    </row>
    <row r="24" spans="2:29">
      <c r="B24" s="58" t="s">
        <v>72</v>
      </c>
      <c r="C24" s="62">
        <f>C22/(C23*1000)</f>
        <v>4492.4290834366166</v>
      </c>
      <c r="D24" s="62">
        <f t="shared" ref="D24:F24" si="10">D22/(D23*1000)</f>
        <v>2658.6476874918967</v>
      </c>
      <c r="E24" s="62">
        <f t="shared" si="10"/>
        <v>2444.0464375680472</v>
      </c>
      <c r="F24" s="62">
        <f t="shared" si="10"/>
        <v>2994.4305714625457</v>
      </c>
      <c r="I24" s="58" t="s">
        <v>72</v>
      </c>
      <c r="J24" s="62">
        <f>J22/(J23*1000)</f>
        <v>1080.6908496946976</v>
      </c>
      <c r="K24" s="62">
        <f t="shared" ref="K24:M24" si="11">K22/(K23*1000)</f>
        <v>808.88817562145778</v>
      </c>
      <c r="L24" s="62">
        <f t="shared" si="11"/>
        <v>977.80304130908269</v>
      </c>
      <c r="M24" s="62">
        <f t="shared" si="11"/>
        <v>949.94578969974543</v>
      </c>
    </row>
    <row r="25" spans="2:29">
      <c r="B25" s="58"/>
      <c r="C25" s="62"/>
      <c r="D25" s="62"/>
      <c r="E25" s="62"/>
      <c r="F25" s="62"/>
      <c r="I25" s="58"/>
      <c r="J25" s="62"/>
      <c r="K25" s="62"/>
      <c r="L25" s="62"/>
      <c r="M25" s="62"/>
    </row>
    <row r="26" spans="2:29">
      <c r="B26" s="65" t="s">
        <v>51</v>
      </c>
      <c r="C26" s="63">
        <v>46388</v>
      </c>
      <c r="D26" s="63">
        <v>46419</v>
      </c>
      <c r="E26" s="63">
        <v>46447</v>
      </c>
      <c r="F26" s="64" t="s">
        <v>60</v>
      </c>
      <c r="I26" s="65" t="s">
        <v>51</v>
      </c>
      <c r="J26" s="63">
        <v>46388</v>
      </c>
      <c r="K26" s="63">
        <v>46419</v>
      </c>
      <c r="L26" s="63">
        <v>46447</v>
      </c>
      <c r="M26" s="64" t="s">
        <v>60</v>
      </c>
    </row>
    <row r="27" spans="2:29">
      <c r="B27" s="58" t="s">
        <v>63</v>
      </c>
      <c r="C27" s="60">
        <v>0.4</v>
      </c>
      <c r="D27" s="60">
        <v>0.3</v>
      </c>
      <c r="E27" s="60">
        <v>0.3</v>
      </c>
      <c r="F27" s="60"/>
      <c r="I27" s="58" t="s">
        <v>63</v>
      </c>
      <c r="J27" s="60">
        <v>0.4</v>
      </c>
      <c r="K27" s="60">
        <v>0.3</v>
      </c>
      <c r="L27" s="60">
        <v>0.3</v>
      </c>
      <c r="M27" s="60"/>
    </row>
    <row r="28" spans="2:29">
      <c r="B28" s="58" t="s">
        <v>66</v>
      </c>
      <c r="C28" s="61">
        <f>$F$28*C27</f>
        <v>26288961.53846154</v>
      </c>
      <c r="D28" s="61">
        <f t="shared" ref="D28:E28" si="12">$F$28*D27</f>
        <v>19716721.153846152</v>
      </c>
      <c r="E28" s="61">
        <f t="shared" si="12"/>
        <v>19716721.153846152</v>
      </c>
      <c r="F28" s="61">
        <f>F4</f>
        <v>65722403.846153848</v>
      </c>
      <c r="I28" s="58" t="s">
        <v>66</v>
      </c>
      <c r="J28" s="61">
        <f>J27*M28</f>
        <v>18055256.410256412</v>
      </c>
      <c r="K28" s="61">
        <f>K27*M28</f>
        <v>13541442.307692306</v>
      </c>
      <c r="L28" s="61">
        <f>L27*M28</f>
        <v>13541442.307692306</v>
      </c>
      <c r="M28" s="61">
        <f>M4</f>
        <v>45138141.025641024</v>
      </c>
    </row>
    <row r="29" spans="2:29">
      <c r="B29" s="58" t="s">
        <v>69</v>
      </c>
      <c r="C29" s="61">
        <v>17.537999999999997</v>
      </c>
      <c r="D29" s="61">
        <v>21.254000000000005</v>
      </c>
      <c r="E29" s="61">
        <v>27.053999999999998</v>
      </c>
      <c r="F29" s="61">
        <f>SUM(C29:E29)</f>
        <v>65.846000000000004</v>
      </c>
      <c r="I29" s="58" t="s">
        <v>69</v>
      </c>
      <c r="J29" s="61">
        <v>25.861999999999998</v>
      </c>
      <c r="K29" s="61">
        <v>28.146000000000001</v>
      </c>
      <c r="L29" s="61">
        <v>30.245999999999999</v>
      </c>
      <c r="M29" s="61">
        <f>SUM(J29:L29)</f>
        <v>84.253999999999991</v>
      </c>
    </row>
    <row r="30" spans="2:29">
      <c r="B30" s="58" t="s">
        <v>72</v>
      </c>
      <c r="C30" s="62">
        <f>C28/(C29*1000)</f>
        <v>1498.971464161338</v>
      </c>
      <c r="D30" s="62">
        <f t="shared" ref="D30:F30" si="13">D28/(D29*1000)</f>
        <v>927.67108091870466</v>
      </c>
      <c r="E30" s="62">
        <f t="shared" si="13"/>
        <v>728.79134892607942</v>
      </c>
      <c r="F30" s="62">
        <f t="shared" si="13"/>
        <v>998.12295122184867</v>
      </c>
      <c r="I30" s="58" t="s">
        <v>72</v>
      </c>
      <c r="J30" s="62">
        <f>J28/(J29*1000)</f>
        <v>698.13844289909571</v>
      </c>
      <c r="K30" s="62">
        <f t="shared" ref="K30:M30" si="14">K28/(K29*1000)</f>
        <v>481.1142722835325</v>
      </c>
      <c r="L30" s="62">
        <f t="shared" si="14"/>
        <v>447.71018672526304</v>
      </c>
      <c r="M30" s="62">
        <f t="shared" si="14"/>
        <v>535.73884949843364</v>
      </c>
    </row>
    <row r="32" spans="2:29">
      <c r="P32" s="254"/>
      <c r="Q32" s="253"/>
    </row>
    <row r="33" spans="16:17">
      <c r="P33" s="254"/>
      <c r="Q33" s="253"/>
    </row>
    <row r="34" spans="16:17">
      <c r="P34" s="254"/>
      <c r="Q34" s="253"/>
    </row>
    <row r="35" spans="16:17">
      <c r="P35" s="254"/>
      <c r="Q35" s="25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4A4D-595C-468D-89F4-92F230EBD731}">
  <dimension ref="A1:L29"/>
  <sheetViews>
    <sheetView topLeftCell="A13" workbookViewId="0">
      <selection activeCell="B26" sqref="B26:E26"/>
    </sheetView>
  </sheetViews>
  <sheetFormatPr defaultRowHeight="15"/>
  <cols>
    <col min="1" max="1" width="26.5703125" bestFit="1" customWidth="1"/>
    <col min="7" max="10" width="13.85546875" customWidth="1"/>
    <col min="12" max="12" width="13.140625" customWidth="1"/>
  </cols>
  <sheetData>
    <row r="1" spans="1:12">
      <c r="A1" s="46" t="s">
        <v>47</v>
      </c>
      <c r="B1" s="47" t="s">
        <v>48</v>
      </c>
      <c r="C1" s="47" t="s">
        <v>49</v>
      </c>
      <c r="D1" s="47" t="s">
        <v>50</v>
      </c>
      <c r="E1" s="47" t="s">
        <v>51</v>
      </c>
      <c r="G1" t="s">
        <v>48</v>
      </c>
      <c r="H1" t="s">
        <v>49</v>
      </c>
      <c r="I1" t="s">
        <v>50</v>
      </c>
      <c r="J1" t="s">
        <v>51</v>
      </c>
    </row>
    <row r="2" spans="1:12" ht="14.25">
      <c r="A2" s="46" t="s">
        <v>63</v>
      </c>
      <c r="B2" s="48">
        <v>0.3</v>
      </c>
      <c r="C2" s="48">
        <v>0.1</v>
      </c>
      <c r="D2" s="48">
        <v>0.2</v>
      </c>
      <c r="E2" s="48">
        <v>0.4</v>
      </c>
      <c r="G2" s="36">
        <v>128518055</v>
      </c>
      <c r="H2" s="36">
        <v>86749687</v>
      </c>
      <c r="I2" s="36">
        <v>102814444</v>
      </c>
      <c r="J2" s="36">
        <v>70684930</v>
      </c>
      <c r="L2" s="35">
        <v>388767115.38461536</v>
      </c>
    </row>
    <row r="3" spans="1:12">
      <c r="A3" s="49" t="s">
        <v>209</v>
      </c>
      <c r="B3" s="50">
        <v>110332.32</v>
      </c>
      <c r="C3" s="50">
        <v>36777.440000000002</v>
      </c>
      <c r="D3" s="50">
        <v>73554.880000000005</v>
      </c>
      <c r="E3" s="50">
        <v>147109.76000000001</v>
      </c>
      <c r="G3" s="57">
        <f>G2/$L$2</f>
        <v>0.33057851323884335</v>
      </c>
      <c r="H3" s="57">
        <f t="shared" ref="H3:J3" si="0">H2/$L$2</f>
        <v>0.22314049611469</v>
      </c>
      <c r="I3" s="57">
        <f t="shared" si="0"/>
        <v>0.26446281059107468</v>
      </c>
      <c r="J3" s="57">
        <f t="shared" si="0"/>
        <v>0.18181818163830532</v>
      </c>
    </row>
    <row r="4" spans="1:12">
      <c r="A4" s="51" t="s">
        <v>69</v>
      </c>
      <c r="B4" s="50">
        <v>93.138142645910648</v>
      </c>
      <c r="C4" s="50">
        <v>97.426569447489769</v>
      </c>
      <c r="D4" s="50">
        <v>179.27037119548896</v>
      </c>
      <c r="E4" s="50">
        <v>270.75491671111058</v>
      </c>
    </row>
    <row r="5" spans="1:12">
      <c r="A5" s="51" t="s">
        <v>57</v>
      </c>
      <c r="B5" s="50">
        <v>1184.6094077638802</v>
      </c>
      <c r="C5" s="50">
        <v>377.48881243141813</v>
      </c>
      <c r="D5" s="50">
        <v>410.30137612528625</v>
      </c>
      <c r="E5" s="50">
        <v>543.33181382985856</v>
      </c>
    </row>
    <row r="6" spans="1:12">
      <c r="A6" s="52"/>
      <c r="B6" s="52"/>
      <c r="C6" s="52"/>
      <c r="D6" s="52"/>
      <c r="E6" s="52"/>
    </row>
    <row r="7" spans="1:12">
      <c r="A7" s="53" t="s">
        <v>48</v>
      </c>
      <c r="B7" s="54">
        <v>45748</v>
      </c>
      <c r="C7" s="54">
        <v>45778</v>
      </c>
      <c r="D7" s="54">
        <v>45809</v>
      </c>
      <c r="E7" s="47" t="s">
        <v>60</v>
      </c>
    </row>
    <row r="8" spans="1:12">
      <c r="A8" s="51" t="s">
        <v>63</v>
      </c>
      <c r="B8" s="48">
        <v>0.3</v>
      </c>
      <c r="C8" s="48">
        <v>0.4</v>
      </c>
      <c r="D8" s="48">
        <v>0.3</v>
      </c>
      <c r="E8" s="48">
        <v>1</v>
      </c>
    </row>
    <row r="9" spans="1:12">
      <c r="A9" s="51" t="s">
        <v>209</v>
      </c>
      <c r="B9" s="50">
        <v>33099.696000000004</v>
      </c>
      <c r="C9" s="50">
        <v>44132.928000000007</v>
      </c>
      <c r="D9" s="50">
        <v>33099.696000000004</v>
      </c>
      <c r="E9" s="50">
        <v>110332.32</v>
      </c>
    </row>
    <row r="10" spans="1:12">
      <c r="A10" s="51" t="s">
        <v>69</v>
      </c>
      <c r="B10" s="50">
        <v>24.756783279108845</v>
      </c>
      <c r="C10" s="50">
        <v>31.503126477529722</v>
      </c>
      <c r="D10" s="50">
        <v>36.878232889272077</v>
      </c>
      <c r="E10" s="50">
        <v>93.138142645910648</v>
      </c>
    </row>
    <row r="11" spans="1:12">
      <c r="A11" s="51" t="s">
        <v>72</v>
      </c>
      <c r="B11" s="50">
        <v>1336.9950218020197</v>
      </c>
      <c r="C11" s="50">
        <v>1400.9062888243413</v>
      </c>
      <c r="D11" s="50">
        <v>897.54018581591924</v>
      </c>
      <c r="E11" s="50">
        <v>1184.6094077638802</v>
      </c>
    </row>
    <row r="12" spans="1:12">
      <c r="A12" s="51"/>
      <c r="B12" s="55"/>
      <c r="C12" s="55"/>
      <c r="D12" s="55"/>
      <c r="E12" s="51"/>
    </row>
    <row r="13" spans="1:12">
      <c r="A13" s="53" t="s">
        <v>49</v>
      </c>
      <c r="B13" s="54">
        <v>45839</v>
      </c>
      <c r="C13" s="54">
        <v>45870</v>
      </c>
      <c r="D13" s="54">
        <v>45901</v>
      </c>
      <c r="E13" s="47" t="s">
        <v>60</v>
      </c>
    </row>
    <row r="14" spans="1:12">
      <c r="A14" s="51" t="s">
        <v>63</v>
      </c>
      <c r="B14" s="48">
        <v>0.25</v>
      </c>
      <c r="C14" s="48">
        <v>0.25</v>
      </c>
      <c r="D14" s="48">
        <v>0.5</v>
      </c>
      <c r="E14" s="48">
        <v>1</v>
      </c>
    </row>
    <row r="15" spans="1:12">
      <c r="A15" s="51" t="s">
        <v>209</v>
      </c>
      <c r="B15" s="50">
        <v>9194.36</v>
      </c>
      <c r="C15" s="50">
        <v>9194.36</v>
      </c>
      <c r="D15" s="50">
        <v>18388.72</v>
      </c>
      <c r="E15" s="50">
        <v>36777.440000000002</v>
      </c>
    </row>
    <row r="16" spans="1:12">
      <c r="A16" s="51" t="s">
        <v>69</v>
      </c>
      <c r="B16" s="50">
        <v>28.39170327910885</v>
      </c>
      <c r="C16" s="50">
        <v>28.898823279108846</v>
      </c>
      <c r="D16" s="50">
        <v>40.136042889272076</v>
      </c>
      <c r="E16" s="50">
        <v>97.426569447489769</v>
      </c>
    </row>
    <row r="17" spans="1:5">
      <c r="A17" s="51" t="s">
        <v>72</v>
      </c>
      <c r="B17" s="50">
        <v>323.839676317179</v>
      </c>
      <c r="C17" s="50">
        <v>318.15689902663496</v>
      </c>
      <c r="D17" s="50">
        <v>458.15976554368052</v>
      </c>
      <c r="E17" s="50">
        <v>377.48881243141813</v>
      </c>
    </row>
    <row r="18" spans="1:5">
      <c r="A18" s="52"/>
      <c r="B18" s="56"/>
      <c r="C18" s="56"/>
      <c r="D18" s="56"/>
      <c r="E18" s="56"/>
    </row>
    <row r="19" spans="1:5">
      <c r="A19" s="53" t="s">
        <v>50</v>
      </c>
      <c r="B19" s="54">
        <v>45931</v>
      </c>
      <c r="C19" s="54">
        <v>45962</v>
      </c>
      <c r="D19" s="54">
        <v>45992</v>
      </c>
      <c r="E19" s="47" t="s">
        <v>60</v>
      </c>
    </row>
    <row r="20" spans="1:5">
      <c r="A20" s="51" t="s">
        <v>63</v>
      </c>
      <c r="B20" s="48">
        <v>0.3</v>
      </c>
      <c r="C20" s="48">
        <v>0.3</v>
      </c>
      <c r="D20" s="48">
        <v>0.4</v>
      </c>
      <c r="E20" s="48">
        <v>1</v>
      </c>
    </row>
    <row r="21" spans="1:5">
      <c r="A21" s="51" t="s">
        <v>209</v>
      </c>
      <c r="B21" s="50">
        <v>22066.464</v>
      </c>
      <c r="C21" s="50">
        <v>22066.464</v>
      </c>
      <c r="D21" s="50">
        <v>29421.952000000005</v>
      </c>
      <c r="E21" s="50">
        <v>73554.880000000005</v>
      </c>
    </row>
    <row r="22" spans="1:5">
      <c r="A22" s="51" t="s">
        <v>69</v>
      </c>
      <c r="B22" s="50">
        <v>52.447660124173495</v>
      </c>
      <c r="C22" s="50">
        <v>59.793314567582897</v>
      </c>
      <c r="D22" s="50">
        <v>67.029396503732571</v>
      </c>
      <c r="E22" s="50">
        <v>179.27037119548896</v>
      </c>
    </row>
    <row r="23" spans="1:5">
      <c r="A23" s="51" t="s">
        <v>72</v>
      </c>
      <c r="B23" s="50">
        <v>420.73304982064224</v>
      </c>
      <c r="C23" s="50">
        <v>369.04567274086844</v>
      </c>
      <c r="D23" s="50">
        <v>438.94102490332921</v>
      </c>
      <c r="E23" s="50">
        <v>410.30137612528625</v>
      </c>
    </row>
    <row r="24" spans="1:5">
      <c r="A24" s="52"/>
      <c r="B24" s="56"/>
      <c r="C24" s="56"/>
      <c r="D24" s="56"/>
      <c r="E24" s="56"/>
    </row>
    <row r="25" spans="1:5">
      <c r="A25" s="53" t="s">
        <v>51</v>
      </c>
      <c r="B25" s="54">
        <v>46023</v>
      </c>
      <c r="C25" s="54">
        <v>46054</v>
      </c>
      <c r="D25" s="54">
        <v>46082</v>
      </c>
      <c r="E25" s="47" t="s">
        <v>60</v>
      </c>
    </row>
    <row r="26" spans="1:5">
      <c r="A26" s="51" t="s">
        <v>63</v>
      </c>
      <c r="B26" s="48">
        <v>0.4</v>
      </c>
      <c r="C26" s="48">
        <v>0.3</v>
      </c>
      <c r="D26" s="48">
        <v>0.3</v>
      </c>
      <c r="E26" s="48">
        <v>1</v>
      </c>
    </row>
    <row r="27" spans="1:5">
      <c r="A27" s="51" t="s">
        <v>209</v>
      </c>
      <c r="B27" s="50">
        <v>58843.90400000001</v>
      </c>
      <c r="C27" s="50">
        <v>44132.928</v>
      </c>
      <c r="D27" s="50">
        <v>44132.928</v>
      </c>
      <c r="E27" s="50">
        <v>147109.76000000001</v>
      </c>
    </row>
    <row r="28" spans="1:5">
      <c r="A28" s="51" t="s">
        <v>69</v>
      </c>
      <c r="B28" s="50">
        <v>77.87284463767763</v>
      </c>
      <c r="C28" s="50">
        <v>90.773824214091007</v>
      </c>
      <c r="D28" s="50">
        <v>102.10824785934196</v>
      </c>
      <c r="E28" s="50">
        <v>270.75491671111058</v>
      </c>
    </row>
    <row r="29" spans="1:5">
      <c r="A29" s="51" t="s">
        <v>72</v>
      </c>
      <c r="B29" s="50">
        <v>755.64086908325487</v>
      </c>
      <c r="C29" s="50">
        <v>486.18561994162582</v>
      </c>
      <c r="D29" s="50">
        <v>432.21707281467417</v>
      </c>
      <c r="E29" s="50">
        <v>543.33181382985856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Tanvi .</cp:lastModifiedBy>
  <cp:revision/>
  <dcterms:created xsi:type="dcterms:W3CDTF">2026-02-02T05:06:47Z</dcterms:created>
  <dcterms:modified xsi:type="dcterms:W3CDTF">2026-02-05T13:08:40Z</dcterms:modified>
  <cp:category/>
  <cp:contentStatus/>
</cp:coreProperties>
</file>