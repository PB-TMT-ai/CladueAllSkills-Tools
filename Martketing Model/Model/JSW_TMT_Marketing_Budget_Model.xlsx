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Martketing Model\Model\"/>
    </mc:Choice>
  </mc:AlternateContent>
  <bookViews>
    <workbookView xWindow="0" yWindow="0" windowWidth="28800" windowHeight="10380" activeTab="4"/>
  </bookViews>
  <sheets>
    <sheet name="Dashboard" sheetId="1" r:id="rId1"/>
    <sheet name="Master Inputs" sheetId="2" r:id="rId2"/>
    <sheet name="Obj1 Helix" sheetId="3" r:id="rId3"/>
    <sheet name="Obj2A East" sheetId="4" r:id="rId4"/>
    <sheet name="Obj2B UPHR" sheetId="5" r:id="rId5"/>
    <sheet name="Consolidated" sheetId="6" r:id="rId6"/>
    <sheet name="Vol Projections" sheetId="7" r:id="rId7"/>
    <sheet name="Activity Costs" sheetId="8" r:id="rId8"/>
    <sheet name="ROI Metrics" sheetId="9" r:id="rId9"/>
    <sheet name="Quarterly Review" sheetId="10" r:id="rId10"/>
  </sheets>
  <calcPr calcId="162913"/>
</workbook>
</file>

<file path=xl/calcChain.xml><?xml version="1.0" encoding="utf-8"?>
<calcChain xmlns="http://schemas.openxmlformats.org/spreadsheetml/2006/main">
  <c r="E31" i="10" l="1"/>
  <c r="E23" i="10"/>
  <c r="E15" i="10"/>
  <c r="E7" i="10"/>
  <c r="B9" i="9"/>
  <c r="D9" i="9" s="1"/>
  <c r="B8" i="9"/>
  <c r="B7" i="9"/>
  <c r="D6" i="9"/>
  <c r="C6" i="9"/>
  <c r="B6" i="9"/>
  <c r="B5" i="9"/>
  <c r="C24" i="7"/>
  <c r="B24" i="7"/>
  <c r="C23" i="7"/>
  <c r="C25" i="7" s="1"/>
  <c r="B23" i="7"/>
  <c r="B25" i="7" s="1"/>
  <c r="E6" i="7"/>
  <c r="D6" i="7"/>
  <c r="C6" i="7"/>
  <c r="B6" i="7"/>
  <c r="E5" i="7"/>
  <c r="E7" i="7" s="1"/>
  <c r="D5" i="7"/>
  <c r="D7" i="7" s="1"/>
  <c r="C5" i="7"/>
  <c r="B5" i="7"/>
  <c r="F11" i="6"/>
  <c r="E11" i="6"/>
  <c r="D11" i="6"/>
  <c r="C11" i="6"/>
  <c r="B11" i="6"/>
  <c r="C24" i="5"/>
  <c r="D7" i="6" s="1"/>
  <c r="D10" i="6" s="1"/>
  <c r="C23" i="5"/>
  <c r="R22" i="5"/>
  <c r="Q22" i="5"/>
  <c r="T22" i="5" s="1"/>
  <c r="O22" i="5"/>
  <c r="M22" i="5"/>
  <c r="L22" i="5"/>
  <c r="K22" i="5"/>
  <c r="J22" i="5"/>
  <c r="I22" i="5"/>
  <c r="G22" i="5"/>
  <c r="E22" i="5"/>
  <c r="C22" i="5"/>
  <c r="S22" i="5" s="1"/>
  <c r="R21" i="5"/>
  <c r="Q21" i="5"/>
  <c r="O21" i="5"/>
  <c r="M21" i="5"/>
  <c r="C21" i="5"/>
  <c r="E21" i="5" s="1"/>
  <c r="S20" i="5"/>
  <c r="R20" i="5"/>
  <c r="Q20" i="5"/>
  <c r="O20" i="5"/>
  <c r="N20" i="5"/>
  <c r="J20" i="5"/>
  <c r="I20" i="5"/>
  <c r="G20" i="5"/>
  <c r="F20" i="5"/>
  <c r="E20" i="5"/>
  <c r="H20" i="5" s="1"/>
  <c r="C20" i="5"/>
  <c r="M20" i="5" s="1"/>
  <c r="S19" i="5"/>
  <c r="T19" i="5" s="1"/>
  <c r="R19" i="5"/>
  <c r="Q19" i="5"/>
  <c r="O19" i="5"/>
  <c r="M19" i="5"/>
  <c r="P19" i="5" s="1"/>
  <c r="K19" i="5"/>
  <c r="J19" i="5"/>
  <c r="I19" i="5"/>
  <c r="L19" i="5" s="1"/>
  <c r="G19" i="5"/>
  <c r="F19" i="5"/>
  <c r="E19" i="5"/>
  <c r="H19" i="5" s="1"/>
  <c r="C19" i="5"/>
  <c r="N19" i="5" s="1"/>
  <c r="S18" i="5"/>
  <c r="C18" i="5"/>
  <c r="C17" i="5"/>
  <c r="S17" i="5" s="1"/>
  <c r="P16" i="5"/>
  <c r="O16" i="5"/>
  <c r="N16" i="5"/>
  <c r="M16" i="5"/>
  <c r="C16" i="5"/>
  <c r="S15" i="5"/>
  <c r="R15" i="5"/>
  <c r="Q15" i="5"/>
  <c r="T15" i="5" s="1"/>
  <c r="M15" i="5"/>
  <c r="C15" i="5"/>
  <c r="R14" i="5"/>
  <c r="Q14" i="5"/>
  <c r="O14" i="5"/>
  <c r="M14" i="5"/>
  <c r="K14" i="5"/>
  <c r="L14" i="5" s="1"/>
  <c r="J14" i="5"/>
  <c r="I14" i="5"/>
  <c r="G14" i="5"/>
  <c r="E14" i="5"/>
  <c r="C14" i="5"/>
  <c r="S14" i="5" s="1"/>
  <c r="R13" i="5"/>
  <c r="Q13" i="5"/>
  <c r="O13" i="5"/>
  <c r="M13" i="5"/>
  <c r="C13" i="5"/>
  <c r="S12" i="5"/>
  <c r="R12" i="5"/>
  <c r="Q12" i="5"/>
  <c r="T12" i="5" s="1"/>
  <c r="O12" i="5"/>
  <c r="N12" i="5"/>
  <c r="M12" i="5"/>
  <c r="P12" i="5" s="1"/>
  <c r="J12" i="5"/>
  <c r="I12" i="5"/>
  <c r="G12" i="5"/>
  <c r="F12" i="5"/>
  <c r="E12" i="5"/>
  <c r="H12" i="5" s="1"/>
  <c r="C12" i="5"/>
  <c r="K12" i="5" s="1"/>
  <c r="S11" i="5"/>
  <c r="R11" i="5"/>
  <c r="Q11" i="5"/>
  <c r="O11" i="5"/>
  <c r="M11" i="5"/>
  <c r="K11" i="5"/>
  <c r="J11" i="5"/>
  <c r="I11" i="5"/>
  <c r="G11" i="5"/>
  <c r="F11" i="5"/>
  <c r="E11" i="5"/>
  <c r="H11" i="5" s="1"/>
  <c r="C11" i="5"/>
  <c r="N11" i="5" s="1"/>
  <c r="C8" i="5"/>
  <c r="D6" i="6" s="1"/>
  <c r="C7" i="5"/>
  <c r="S7" i="5" s="1"/>
  <c r="O6" i="5"/>
  <c r="N6" i="5"/>
  <c r="M6" i="5"/>
  <c r="C6" i="5"/>
  <c r="K6" i="5" s="1"/>
  <c r="S21" i="4"/>
  <c r="R21" i="4"/>
  <c r="O21" i="4"/>
  <c r="M21" i="4"/>
  <c r="C21" i="4"/>
  <c r="R20" i="4"/>
  <c r="Q20" i="4"/>
  <c r="M20" i="4"/>
  <c r="J20" i="4"/>
  <c r="I20" i="4"/>
  <c r="L20" i="4" s="1"/>
  <c r="G20" i="4"/>
  <c r="E20" i="4"/>
  <c r="C20" i="4"/>
  <c r="K20" i="4" s="1"/>
  <c r="R19" i="4"/>
  <c r="O19" i="4"/>
  <c r="N19" i="4"/>
  <c r="M19" i="4"/>
  <c r="P19" i="4" s="1"/>
  <c r="J19" i="4"/>
  <c r="C19" i="4"/>
  <c r="S18" i="4"/>
  <c r="R18" i="4"/>
  <c r="Q18" i="4"/>
  <c r="T18" i="4" s="1"/>
  <c r="O18" i="4"/>
  <c r="N18" i="4"/>
  <c r="M18" i="4"/>
  <c r="P18" i="4" s="1"/>
  <c r="I18" i="4"/>
  <c r="H18" i="4"/>
  <c r="G18" i="4"/>
  <c r="F18" i="4"/>
  <c r="E18" i="4"/>
  <c r="C18" i="4"/>
  <c r="K18" i="4" s="1"/>
  <c r="S17" i="4"/>
  <c r="R17" i="4"/>
  <c r="N17" i="4"/>
  <c r="M17" i="4"/>
  <c r="P17" i="4" s="1"/>
  <c r="K17" i="4"/>
  <c r="L17" i="4" s="1"/>
  <c r="J17" i="4"/>
  <c r="I17" i="4"/>
  <c r="G17" i="4"/>
  <c r="F17" i="4"/>
  <c r="C17" i="4"/>
  <c r="O17" i="4" s="1"/>
  <c r="S16" i="4"/>
  <c r="R16" i="4"/>
  <c r="Q16" i="4"/>
  <c r="O16" i="4"/>
  <c r="N16" i="4"/>
  <c r="C16" i="4"/>
  <c r="F16" i="4" s="1"/>
  <c r="S15" i="4"/>
  <c r="O15" i="4"/>
  <c r="K15" i="4"/>
  <c r="J15" i="4"/>
  <c r="I15" i="4"/>
  <c r="L15" i="4" s="1"/>
  <c r="C15" i="4"/>
  <c r="O14" i="4"/>
  <c r="N14" i="4"/>
  <c r="M14" i="4"/>
  <c r="P14" i="4" s="1"/>
  <c r="J14" i="4"/>
  <c r="C14" i="4"/>
  <c r="S13" i="4"/>
  <c r="R13" i="4"/>
  <c r="O13" i="4"/>
  <c r="M13" i="4"/>
  <c r="G13" i="4"/>
  <c r="F13" i="4"/>
  <c r="C13" i="4"/>
  <c r="R12" i="4"/>
  <c r="Q12" i="4"/>
  <c r="M12" i="4"/>
  <c r="J12" i="4"/>
  <c r="I12" i="4"/>
  <c r="G12" i="4"/>
  <c r="E12" i="4"/>
  <c r="C12" i="4"/>
  <c r="K12" i="4" s="1"/>
  <c r="C9" i="4"/>
  <c r="C6" i="6" s="1"/>
  <c r="S8" i="4"/>
  <c r="R8" i="4"/>
  <c r="Q8" i="4"/>
  <c r="T8" i="4" s="1"/>
  <c r="O8" i="4"/>
  <c r="N8" i="4"/>
  <c r="M8" i="4"/>
  <c r="P8" i="4" s="1"/>
  <c r="I8" i="4"/>
  <c r="G8" i="4"/>
  <c r="F8" i="4"/>
  <c r="E8" i="4"/>
  <c r="H8" i="4" s="1"/>
  <c r="C8" i="4"/>
  <c r="K8" i="4" s="1"/>
  <c r="S7" i="4"/>
  <c r="R7" i="4"/>
  <c r="N7" i="4"/>
  <c r="M7" i="4"/>
  <c r="P7" i="4" s="1"/>
  <c r="K7" i="4"/>
  <c r="J7" i="4"/>
  <c r="I7" i="4"/>
  <c r="L7" i="4" s="1"/>
  <c r="G7" i="4"/>
  <c r="F7" i="4"/>
  <c r="C7" i="4"/>
  <c r="O7" i="4" s="1"/>
  <c r="R6" i="4"/>
  <c r="R9" i="4" s="1"/>
  <c r="Q6" i="4"/>
  <c r="O6" i="4"/>
  <c r="O9" i="4" s="1"/>
  <c r="N6" i="4"/>
  <c r="N9" i="4" s="1"/>
  <c r="J6" i="4"/>
  <c r="F6" i="4"/>
  <c r="E6" i="4"/>
  <c r="C6" i="4"/>
  <c r="S6" i="4" s="1"/>
  <c r="S9" i="4" s="1"/>
  <c r="S28" i="3"/>
  <c r="R28" i="3"/>
  <c r="O28" i="3"/>
  <c r="N28" i="3"/>
  <c r="K28" i="3"/>
  <c r="J28" i="3"/>
  <c r="I28" i="3"/>
  <c r="L28" i="3" s="1"/>
  <c r="G28" i="3"/>
  <c r="C28" i="3"/>
  <c r="S27" i="3"/>
  <c r="O27" i="3"/>
  <c r="M27" i="3"/>
  <c r="K27" i="3"/>
  <c r="J27" i="3"/>
  <c r="C27" i="3"/>
  <c r="R26" i="3"/>
  <c r="Q26" i="3"/>
  <c r="O26" i="3"/>
  <c r="M26" i="3"/>
  <c r="K26" i="3"/>
  <c r="G26" i="3"/>
  <c r="C26" i="3"/>
  <c r="S26" i="3" s="1"/>
  <c r="R25" i="3"/>
  <c r="Q25" i="3"/>
  <c r="K25" i="3"/>
  <c r="L25" i="3" s="1"/>
  <c r="J25" i="3"/>
  <c r="I25" i="3"/>
  <c r="C25" i="3"/>
  <c r="Q24" i="3"/>
  <c r="O24" i="3"/>
  <c r="N24" i="3"/>
  <c r="M24" i="3"/>
  <c r="P24" i="3" s="1"/>
  <c r="J24" i="3"/>
  <c r="C24" i="3"/>
  <c r="S23" i="3"/>
  <c r="R23" i="3"/>
  <c r="Q23" i="3"/>
  <c r="T23" i="3" s="1"/>
  <c r="O23" i="3"/>
  <c r="M23" i="3"/>
  <c r="P23" i="3" s="1"/>
  <c r="I23" i="3"/>
  <c r="G23" i="3"/>
  <c r="F23" i="3"/>
  <c r="E23" i="3"/>
  <c r="H23" i="3" s="1"/>
  <c r="C23" i="3"/>
  <c r="N23" i="3" s="1"/>
  <c r="S22" i="3"/>
  <c r="R22" i="3"/>
  <c r="Q22" i="3"/>
  <c r="N22" i="3"/>
  <c r="M22" i="3"/>
  <c r="L22" i="3"/>
  <c r="K22" i="3"/>
  <c r="J22" i="3"/>
  <c r="I22" i="3"/>
  <c r="G22" i="3"/>
  <c r="F22" i="3"/>
  <c r="E22" i="3"/>
  <c r="H22" i="3" s="1"/>
  <c r="C22" i="3"/>
  <c r="O22" i="3" s="1"/>
  <c r="C21" i="3"/>
  <c r="R21" i="3" s="1"/>
  <c r="S20" i="3"/>
  <c r="O20" i="3"/>
  <c r="N20" i="3"/>
  <c r="M20" i="3"/>
  <c r="P20" i="3" s="1"/>
  <c r="K20" i="3"/>
  <c r="J20" i="3"/>
  <c r="I20" i="3"/>
  <c r="L20" i="3" s="1"/>
  <c r="G20" i="3"/>
  <c r="F20" i="3"/>
  <c r="C20" i="3"/>
  <c r="R20" i="3" s="1"/>
  <c r="O19" i="3"/>
  <c r="N19" i="3"/>
  <c r="M19" i="3"/>
  <c r="C19" i="3"/>
  <c r="O15" i="3"/>
  <c r="N15" i="3"/>
  <c r="M15" i="3"/>
  <c r="P15" i="3" s="1"/>
  <c r="K15" i="3"/>
  <c r="J15" i="3"/>
  <c r="I15" i="3"/>
  <c r="L15" i="3" s="1"/>
  <c r="C15" i="3"/>
  <c r="S15" i="3" s="1"/>
  <c r="R14" i="3"/>
  <c r="C14" i="3"/>
  <c r="O14" i="3" s="1"/>
  <c r="S13" i="3"/>
  <c r="Q13" i="3"/>
  <c r="O13" i="3"/>
  <c r="N13" i="3"/>
  <c r="M13" i="3"/>
  <c r="P13" i="3" s="1"/>
  <c r="K13" i="3"/>
  <c r="J13" i="3"/>
  <c r="I13" i="3"/>
  <c r="L13" i="3" s="1"/>
  <c r="G13" i="3"/>
  <c r="E13" i="3"/>
  <c r="C13" i="3"/>
  <c r="O12" i="3"/>
  <c r="N12" i="3"/>
  <c r="M12" i="3"/>
  <c r="K12" i="3"/>
  <c r="J12" i="3"/>
  <c r="I12" i="3"/>
  <c r="L12" i="3" s="1"/>
  <c r="C12" i="3"/>
  <c r="G12" i="3" s="1"/>
  <c r="S11" i="3"/>
  <c r="Q11" i="3"/>
  <c r="O11" i="3"/>
  <c r="N11" i="3"/>
  <c r="G11" i="3"/>
  <c r="C11" i="3"/>
  <c r="S10" i="3"/>
  <c r="O10" i="3"/>
  <c r="N10" i="3"/>
  <c r="M10" i="3"/>
  <c r="P10" i="3" s="1"/>
  <c r="K10" i="3"/>
  <c r="J10" i="3"/>
  <c r="I10" i="3"/>
  <c r="L10" i="3" s="1"/>
  <c r="G10" i="3"/>
  <c r="F10" i="3"/>
  <c r="C10" i="3"/>
  <c r="R10" i="3" s="1"/>
  <c r="C9" i="3"/>
  <c r="S8" i="3"/>
  <c r="R8" i="3"/>
  <c r="Q8" i="3"/>
  <c r="T8" i="3" s="1"/>
  <c r="N8" i="3"/>
  <c r="M8" i="3"/>
  <c r="P8" i="3" s="1"/>
  <c r="K8" i="3"/>
  <c r="J8" i="3"/>
  <c r="I8" i="3"/>
  <c r="L8" i="3" s="1"/>
  <c r="G8" i="3"/>
  <c r="F8" i="3"/>
  <c r="H8" i="3" s="1"/>
  <c r="E8" i="3"/>
  <c r="C8" i="3"/>
  <c r="O8" i="3" s="1"/>
  <c r="C7" i="3"/>
  <c r="C16" i="3" s="1"/>
  <c r="S6" i="3"/>
  <c r="R6" i="3"/>
  <c r="Q6" i="3"/>
  <c r="T6" i="3" s="1"/>
  <c r="M6" i="3"/>
  <c r="K6" i="3"/>
  <c r="J6" i="3"/>
  <c r="I6" i="3"/>
  <c r="G6" i="3"/>
  <c r="F6" i="3"/>
  <c r="E6" i="3"/>
  <c r="C6" i="3"/>
  <c r="O6" i="3" s="1"/>
  <c r="C76" i="2"/>
  <c r="C72" i="2"/>
  <c r="C34" i="2"/>
  <c r="C35" i="2" s="1"/>
  <c r="C27" i="2"/>
  <c r="C17" i="2"/>
  <c r="G5" i="6" s="1"/>
  <c r="C14" i="2"/>
  <c r="C13" i="2"/>
  <c r="C9" i="2"/>
  <c r="D11" i="1" s="1"/>
  <c r="C7" i="2"/>
  <c r="C21" i="2" s="1"/>
  <c r="C14" i="1"/>
  <c r="D12" i="1"/>
  <c r="C12" i="1"/>
  <c r="D10" i="1"/>
  <c r="D9" i="1"/>
  <c r="B5" i="1"/>
  <c r="H13" i="3" l="1"/>
  <c r="B6" i="6"/>
  <c r="E6" i="6"/>
  <c r="P21" i="4"/>
  <c r="P21" i="5"/>
  <c r="F16" i="3"/>
  <c r="R9" i="3"/>
  <c r="J9" i="3"/>
  <c r="J16" i="3" s="1"/>
  <c r="I9" i="3"/>
  <c r="G9" i="3"/>
  <c r="S9" i="3"/>
  <c r="Q9" i="3"/>
  <c r="T9" i="3" s="1"/>
  <c r="F9" i="3"/>
  <c r="C32" i="3"/>
  <c r="B20" i="9"/>
  <c r="B5" i="6"/>
  <c r="B2" i="3"/>
  <c r="C18" i="2"/>
  <c r="C23" i="2" s="1"/>
  <c r="C9" i="1"/>
  <c r="H2" i="3"/>
  <c r="E2" i="3"/>
  <c r="M8" i="5"/>
  <c r="P22" i="5"/>
  <c r="M7" i="3"/>
  <c r="P7" i="3" s="1"/>
  <c r="N7" i="3"/>
  <c r="N9" i="3"/>
  <c r="F21" i="3"/>
  <c r="N23" i="5"/>
  <c r="K23" i="5"/>
  <c r="J23" i="5"/>
  <c r="I23" i="5"/>
  <c r="L23" i="5" s="1"/>
  <c r="M23" i="5"/>
  <c r="P23" i="5" s="1"/>
  <c r="E23" i="5"/>
  <c r="H23" i="5" s="1"/>
  <c r="G23" i="5"/>
  <c r="F23" i="5"/>
  <c r="O7" i="3"/>
  <c r="O9" i="3"/>
  <c r="M14" i="3"/>
  <c r="P14" i="3" s="1"/>
  <c r="F6" i="7"/>
  <c r="N14" i="3"/>
  <c r="Q23" i="5"/>
  <c r="K8" i="5"/>
  <c r="H6" i="3"/>
  <c r="K9" i="3"/>
  <c r="P19" i="3"/>
  <c r="L12" i="4"/>
  <c r="P6" i="5"/>
  <c r="T11" i="5"/>
  <c r="M18" i="5"/>
  <c r="J18" i="5"/>
  <c r="I18" i="5"/>
  <c r="L18" i="5" s="1"/>
  <c r="G18" i="5"/>
  <c r="O18" i="5"/>
  <c r="N18" i="5"/>
  <c r="K18" i="5"/>
  <c r="F18" i="5"/>
  <c r="E18" i="5"/>
  <c r="H6" i="4"/>
  <c r="Q7" i="3"/>
  <c r="R11" i="3"/>
  <c r="T11" i="3" s="1"/>
  <c r="F11" i="3"/>
  <c r="M11" i="3"/>
  <c r="P11" i="3" s="1"/>
  <c r="J11" i="3"/>
  <c r="I11" i="3"/>
  <c r="L11" i="3" s="1"/>
  <c r="K11" i="3"/>
  <c r="R19" i="3"/>
  <c r="F19" i="3"/>
  <c r="J19" i="3"/>
  <c r="E19" i="3"/>
  <c r="I19" i="3"/>
  <c r="C29" i="3"/>
  <c r="B7" i="6" s="1"/>
  <c r="G19" i="3"/>
  <c r="Q19" i="3"/>
  <c r="S19" i="3"/>
  <c r="S29" i="3" s="1"/>
  <c r="Q21" i="3"/>
  <c r="T21" i="3" s="1"/>
  <c r="F9" i="4"/>
  <c r="Q7" i="5"/>
  <c r="R23" i="5"/>
  <c r="N17" i="5"/>
  <c r="R17" i="5"/>
  <c r="E17" i="5"/>
  <c r="H17" i="5" s="1"/>
  <c r="O17" i="5"/>
  <c r="M17" i="5"/>
  <c r="P17" i="5" s="1"/>
  <c r="K17" i="5"/>
  <c r="J17" i="5"/>
  <c r="I17" i="5"/>
  <c r="G17" i="5"/>
  <c r="F17" i="5"/>
  <c r="E7" i="3"/>
  <c r="E9" i="3"/>
  <c r="C26" i="5"/>
  <c r="K7" i="3"/>
  <c r="K16" i="3" s="1"/>
  <c r="K31" i="3" s="1"/>
  <c r="L6" i="3"/>
  <c r="O8" i="5"/>
  <c r="M9" i="3"/>
  <c r="P9" i="3" s="1"/>
  <c r="E21" i="3"/>
  <c r="O23" i="5"/>
  <c r="P22" i="3"/>
  <c r="K19" i="3"/>
  <c r="K29" i="3" s="1"/>
  <c r="H20" i="4"/>
  <c r="Q18" i="5"/>
  <c r="T20" i="5"/>
  <c r="S23" i="5"/>
  <c r="J7" i="3"/>
  <c r="I7" i="3"/>
  <c r="G7" i="3"/>
  <c r="G16" i="3" s="1"/>
  <c r="R7" i="3"/>
  <c r="S7" i="3"/>
  <c r="F7" i="3"/>
  <c r="D5" i="1"/>
  <c r="M22" i="4"/>
  <c r="M24" i="5"/>
  <c r="P11" i="5"/>
  <c r="C16" i="2"/>
  <c r="F5" i="1"/>
  <c r="C15" i="2"/>
  <c r="N21" i="3"/>
  <c r="G21" i="3"/>
  <c r="O21" i="3"/>
  <c r="O29" i="3" s="1"/>
  <c r="J21" i="3"/>
  <c r="I21" i="3"/>
  <c r="L21" i="3" s="1"/>
  <c r="M21" i="3"/>
  <c r="P21" i="3" s="1"/>
  <c r="K21" i="3"/>
  <c r="K14" i="3"/>
  <c r="S14" i="3"/>
  <c r="J14" i="3"/>
  <c r="G14" i="3"/>
  <c r="F14" i="3"/>
  <c r="I14" i="3"/>
  <c r="L14" i="3" s="1"/>
  <c r="Q17" i="5"/>
  <c r="T17" i="5" s="1"/>
  <c r="E14" i="3"/>
  <c r="H14" i="3" s="1"/>
  <c r="N7" i="5"/>
  <c r="N8" i="5" s="1"/>
  <c r="R7" i="5"/>
  <c r="E7" i="5"/>
  <c r="O7" i="5"/>
  <c r="M7" i="5"/>
  <c r="K7" i="5"/>
  <c r="J7" i="5"/>
  <c r="F7" i="5"/>
  <c r="I7" i="5"/>
  <c r="L7" i="5" s="1"/>
  <c r="G7" i="5"/>
  <c r="O16" i="3"/>
  <c r="O31" i="3" s="1"/>
  <c r="E11" i="3"/>
  <c r="H11" i="3" s="1"/>
  <c r="P12" i="3"/>
  <c r="Q14" i="3"/>
  <c r="T14" i="3" s="1"/>
  <c r="S21" i="3"/>
  <c r="T22" i="3"/>
  <c r="T16" i="4"/>
  <c r="T14" i="5"/>
  <c r="R18" i="5"/>
  <c r="N15" i="5"/>
  <c r="P15" i="5" s="1"/>
  <c r="O15" i="5"/>
  <c r="O24" i="5" s="1"/>
  <c r="K15" i="5"/>
  <c r="J15" i="5"/>
  <c r="J24" i="5" s="1"/>
  <c r="I15" i="5"/>
  <c r="Q12" i="3"/>
  <c r="T6" i="4"/>
  <c r="Q21" i="4"/>
  <c r="T21" i="4" s="1"/>
  <c r="E21" i="4"/>
  <c r="N21" i="4"/>
  <c r="K21" i="4"/>
  <c r="J21" i="4"/>
  <c r="I21" i="4"/>
  <c r="L21" i="4" s="1"/>
  <c r="J16" i="5"/>
  <c r="S16" i="5"/>
  <c r="F16" i="5"/>
  <c r="R16" i="5"/>
  <c r="R24" i="5" s="1"/>
  <c r="E16" i="5"/>
  <c r="Q16" i="5"/>
  <c r="E12" i="3"/>
  <c r="K24" i="3"/>
  <c r="S24" i="3"/>
  <c r="F24" i="3"/>
  <c r="R24" i="3"/>
  <c r="T24" i="3" s="1"/>
  <c r="E24" i="3"/>
  <c r="H24" i="3" s="1"/>
  <c r="R22" i="4"/>
  <c r="R24" i="4" s="1"/>
  <c r="Q15" i="4"/>
  <c r="T15" i="4" s="1"/>
  <c r="E15" i="4"/>
  <c r="R15" i="4"/>
  <c r="N15" i="4"/>
  <c r="M15" i="4"/>
  <c r="P15" i="4" s="1"/>
  <c r="G6" i="5"/>
  <c r="E15" i="5"/>
  <c r="G16" i="5"/>
  <c r="N21" i="5"/>
  <c r="K21" i="5"/>
  <c r="G21" i="5"/>
  <c r="S21" i="5"/>
  <c r="T21" i="5" s="1"/>
  <c r="F21" i="5"/>
  <c r="H21" i="5" s="1"/>
  <c r="N25" i="3"/>
  <c r="S25" i="3"/>
  <c r="T25" i="3" s="1"/>
  <c r="F25" i="3"/>
  <c r="O25" i="3"/>
  <c r="M25" i="3"/>
  <c r="P25" i="3" s="1"/>
  <c r="C22" i="4"/>
  <c r="C7" i="6" s="1"/>
  <c r="N13" i="5"/>
  <c r="P13" i="5" s="1"/>
  <c r="K13" i="5"/>
  <c r="K24" i="5" s="1"/>
  <c r="G13" i="5"/>
  <c r="G24" i="5" s="1"/>
  <c r="S13" i="5"/>
  <c r="S24" i="5" s="1"/>
  <c r="F13" i="5"/>
  <c r="N26" i="3"/>
  <c r="P26" i="3" s="1"/>
  <c r="J26" i="3"/>
  <c r="I26" i="3"/>
  <c r="L26" i="3" s="1"/>
  <c r="N6" i="3"/>
  <c r="N16" i="3" s="1"/>
  <c r="F12" i="3"/>
  <c r="S12" i="3"/>
  <c r="Q15" i="3"/>
  <c r="M16" i="3"/>
  <c r="E25" i="3"/>
  <c r="H25" i="3" s="1"/>
  <c r="N27" i="3"/>
  <c r="P27" i="3" s="1"/>
  <c r="I27" i="3"/>
  <c r="L27" i="3" s="1"/>
  <c r="R27" i="3"/>
  <c r="E27" i="3"/>
  <c r="Q27" i="3"/>
  <c r="Q28" i="3"/>
  <c r="T28" i="3" s="1"/>
  <c r="M28" i="3"/>
  <c r="P28" i="3" s="1"/>
  <c r="F15" i="4"/>
  <c r="E16" i="4"/>
  <c r="H16" i="4" s="1"/>
  <c r="Q19" i="4"/>
  <c r="T19" i="4" s="1"/>
  <c r="E19" i="4"/>
  <c r="H19" i="4" s="1"/>
  <c r="K19" i="4"/>
  <c r="G19" i="4"/>
  <c r="S19" i="4"/>
  <c r="F19" i="4"/>
  <c r="F21" i="4"/>
  <c r="I6" i="5"/>
  <c r="E13" i="5"/>
  <c r="E24" i="5" s="1"/>
  <c r="F15" i="5"/>
  <c r="I16" i="5"/>
  <c r="I21" i="5"/>
  <c r="D7" i="9"/>
  <c r="T26" i="3"/>
  <c r="P20" i="5"/>
  <c r="R12" i="3"/>
  <c r="Q10" i="3"/>
  <c r="T10" i="3" s="1"/>
  <c r="E15" i="3"/>
  <c r="Q20" i="3"/>
  <c r="T20" i="3" s="1"/>
  <c r="G24" i="3"/>
  <c r="G25" i="3"/>
  <c r="E26" i="3"/>
  <c r="H26" i="3" s="1"/>
  <c r="F27" i="3"/>
  <c r="E28" i="3"/>
  <c r="H28" i="3" s="1"/>
  <c r="K6" i="4"/>
  <c r="K9" i="4" s="1"/>
  <c r="M6" i="4"/>
  <c r="I6" i="4"/>
  <c r="G6" i="4"/>
  <c r="G9" i="4" s="1"/>
  <c r="Q13" i="4"/>
  <c r="T13" i="4" s="1"/>
  <c r="E13" i="4"/>
  <c r="H13" i="4" s="1"/>
  <c r="N13" i="4"/>
  <c r="P13" i="4" s="1"/>
  <c r="K13" i="4"/>
  <c r="K22" i="4" s="1"/>
  <c r="J13" i="4"/>
  <c r="J22" i="4" s="1"/>
  <c r="I13" i="4"/>
  <c r="L13" i="4" s="1"/>
  <c r="K14" i="4"/>
  <c r="I14" i="4"/>
  <c r="L14" i="4" s="1"/>
  <c r="S14" i="4"/>
  <c r="F14" i="4"/>
  <c r="R14" i="4"/>
  <c r="E14" i="4"/>
  <c r="Q14" i="4"/>
  <c r="G15" i="4"/>
  <c r="G21" i="4"/>
  <c r="I13" i="5"/>
  <c r="G15" i="5"/>
  <c r="K16" i="5"/>
  <c r="J21" i="5"/>
  <c r="D8" i="9"/>
  <c r="P12" i="4"/>
  <c r="K16" i="4"/>
  <c r="M16" i="4"/>
  <c r="P16" i="4" s="1"/>
  <c r="I16" i="4"/>
  <c r="G16" i="4"/>
  <c r="J6" i="5"/>
  <c r="J8" i="5" s="1"/>
  <c r="S6" i="5"/>
  <c r="S8" i="5" s="1"/>
  <c r="F6" i="5"/>
  <c r="F8" i="5" s="1"/>
  <c r="R6" i="5"/>
  <c r="E6" i="5"/>
  <c r="Q6" i="5"/>
  <c r="R15" i="3"/>
  <c r="F15" i="3"/>
  <c r="E10" i="3"/>
  <c r="H10" i="3" s="1"/>
  <c r="R13" i="3"/>
  <c r="T13" i="3" s="1"/>
  <c r="F13" i="3"/>
  <c r="G15" i="3"/>
  <c r="E20" i="3"/>
  <c r="H20" i="3" s="1"/>
  <c r="I24" i="3"/>
  <c r="L24" i="3" s="1"/>
  <c r="F26" i="3"/>
  <c r="G27" i="3"/>
  <c r="F28" i="3"/>
  <c r="G14" i="4"/>
  <c r="G22" i="4" s="1"/>
  <c r="J16" i="4"/>
  <c r="I19" i="4"/>
  <c r="L11" i="5"/>
  <c r="L12" i="5"/>
  <c r="J13" i="5"/>
  <c r="L20" i="5"/>
  <c r="C8" i="9"/>
  <c r="J23" i="3"/>
  <c r="L23" i="3" s="1"/>
  <c r="J8" i="4"/>
  <c r="J9" i="4" s="1"/>
  <c r="N12" i="4"/>
  <c r="J18" i="4"/>
  <c r="L18" i="4" s="1"/>
  <c r="N20" i="4"/>
  <c r="P20" i="4" s="1"/>
  <c r="N14" i="5"/>
  <c r="P14" i="5" s="1"/>
  <c r="K20" i="5"/>
  <c r="N22" i="5"/>
  <c r="K23" i="3"/>
  <c r="Q7" i="4"/>
  <c r="T7" i="4" s="1"/>
  <c r="E7" i="4"/>
  <c r="H7" i="4" s="1"/>
  <c r="O12" i="4"/>
  <c r="Q17" i="4"/>
  <c r="T17" i="4" s="1"/>
  <c r="E17" i="4"/>
  <c r="H17" i="4" s="1"/>
  <c r="O20" i="4"/>
  <c r="B7" i="7"/>
  <c r="D5" i="9"/>
  <c r="C7" i="7"/>
  <c r="F12" i="4"/>
  <c r="S12" i="4"/>
  <c r="T12" i="4" s="1"/>
  <c r="F20" i="4"/>
  <c r="S20" i="4"/>
  <c r="T20" i="4" s="1"/>
  <c r="F14" i="5"/>
  <c r="F24" i="5" s="1"/>
  <c r="F22" i="5"/>
  <c r="H22" i="5" s="1"/>
  <c r="F5" i="7"/>
  <c r="C5" i="9"/>
  <c r="C7" i="9"/>
  <c r="C9" i="9"/>
  <c r="G31" i="3" l="1"/>
  <c r="N26" i="5"/>
  <c r="P22" i="4"/>
  <c r="O26" i="5"/>
  <c r="C17" i="7"/>
  <c r="F7" i="9"/>
  <c r="H5" i="1"/>
  <c r="I12" i="1"/>
  <c r="F6" i="9"/>
  <c r="F9" i="9"/>
  <c r="F5" i="9"/>
  <c r="F8" i="9"/>
  <c r="T6" i="5"/>
  <c r="T8" i="5" s="1"/>
  <c r="Q8" i="5"/>
  <c r="L21" i="5"/>
  <c r="N29" i="3"/>
  <c r="N31" i="3" s="1"/>
  <c r="H6" i="5"/>
  <c r="E8" i="5"/>
  <c r="E26" i="5" s="1"/>
  <c r="Q29" i="3"/>
  <c r="T19" i="3"/>
  <c r="T29" i="3" s="1"/>
  <c r="H15" i="5"/>
  <c r="I16" i="3"/>
  <c r="M26" i="5"/>
  <c r="N22" i="4"/>
  <c r="N24" i="4" s="1"/>
  <c r="C10" i="6"/>
  <c r="E7" i="6"/>
  <c r="E10" i="6" s="1"/>
  <c r="J24" i="4"/>
  <c r="P18" i="5"/>
  <c r="O22" i="4"/>
  <c r="O24" i="4" s="1"/>
  <c r="L13" i="5"/>
  <c r="L24" i="5" s="1"/>
  <c r="B10" i="6"/>
  <c r="F7" i="6"/>
  <c r="F10" i="6" s="1"/>
  <c r="S26" i="5"/>
  <c r="I24" i="5"/>
  <c r="H21" i="4"/>
  <c r="L19" i="3"/>
  <c r="L29" i="3" s="1"/>
  <c r="I29" i="3"/>
  <c r="H9" i="4"/>
  <c r="P6" i="3"/>
  <c r="P16" i="3" s="1"/>
  <c r="P31" i="3" s="1"/>
  <c r="B17" i="6" s="1"/>
  <c r="K26" i="5"/>
  <c r="J26" i="5"/>
  <c r="G8" i="5"/>
  <c r="G26" i="5" s="1"/>
  <c r="C20" i="9"/>
  <c r="E20" i="9" s="1"/>
  <c r="C5" i="6"/>
  <c r="B2" i="4"/>
  <c r="C25" i="4"/>
  <c r="C10" i="1"/>
  <c r="C22" i="2"/>
  <c r="T9" i="4"/>
  <c r="H7" i="3"/>
  <c r="J29" i="3"/>
  <c r="J31" i="3" s="1"/>
  <c r="H18" i="5"/>
  <c r="C24" i="4"/>
  <c r="T13" i="5"/>
  <c r="T24" i="5" s="1"/>
  <c r="C31" i="3"/>
  <c r="E5" i="9"/>
  <c r="B17" i="7"/>
  <c r="E7" i="9"/>
  <c r="F7" i="7"/>
  <c r="E6" i="9"/>
  <c r="I11" i="1"/>
  <c r="E9" i="9"/>
  <c r="E8" i="9"/>
  <c r="K24" i="4"/>
  <c r="E22" i="4"/>
  <c r="T15" i="3"/>
  <c r="S16" i="3"/>
  <c r="S31" i="3" s="1"/>
  <c r="G29" i="3"/>
  <c r="F26" i="5"/>
  <c r="H14" i="5"/>
  <c r="R16" i="3"/>
  <c r="T7" i="3"/>
  <c r="Q16" i="3"/>
  <c r="Q24" i="5"/>
  <c r="F22" i="4"/>
  <c r="H12" i="4"/>
  <c r="N24" i="5"/>
  <c r="E16" i="3"/>
  <c r="E31" i="3" s="1"/>
  <c r="H15" i="3"/>
  <c r="I8" i="5"/>
  <c r="I26" i="5" s="1"/>
  <c r="L6" i="5"/>
  <c r="L8" i="5" s="1"/>
  <c r="H12" i="3"/>
  <c r="H16" i="3" s="1"/>
  <c r="L7" i="3"/>
  <c r="H9" i="3"/>
  <c r="E29" i="3"/>
  <c r="H19" i="3"/>
  <c r="E9" i="4"/>
  <c r="E24" i="4" s="1"/>
  <c r="I22" i="4"/>
  <c r="F6" i="6"/>
  <c r="T14" i="4"/>
  <c r="T22" i="4" s="1"/>
  <c r="T27" i="3"/>
  <c r="T16" i="5"/>
  <c r="L16" i="4"/>
  <c r="L22" i="4" s="1"/>
  <c r="H14" i="4"/>
  <c r="G24" i="4"/>
  <c r="H27" i="3"/>
  <c r="H16" i="5"/>
  <c r="Q9" i="4"/>
  <c r="P7" i="5"/>
  <c r="P8" i="5" s="1"/>
  <c r="P26" i="5" s="1"/>
  <c r="D17" i="6" s="1"/>
  <c r="D20" i="9"/>
  <c r="D5" i="6"/>
  <c r="C27" i="5"/>
  <c r="B2" i="5"/>
  <c r="C11" i="1"/>
  <c r="H21" i="3"/>
  <c r="F29" i="3"/>
  <c r="F31" i="3" s="1"/>
  <c r="T23" i="5"/>
  <c r="F24" i="4"/>
  <c r="P29" i="3"/>
  <c r="L16" i="5"/>
  <c r="M29" i="3"/>
  <c r="M31" i="3" s="1"/>
  <c r="R8" i="5"/>
  <c r="R26" i="5" s="1"/>
  <c r="Q22" i="4"/>
  <c r="L9" i="3"/>
  <c r="L16" i="3" s="1"/>
  <c r="L31" i="3" s="1"/>
  <c r="B16" i="6" s="1"/>
  <c r="S22" i="4"/>
  <c r="S24" i="4" s="1"/>
  <c r="H13" i="5"/>
  <c r="D19" i="5"/>
  <c r="D11" i="5"/>
  <c r="D16" i="5"/>
  <c r="D6" i="5"/>
  <c r="D12" i="5"/>
  <c r="D22" i="5"/>
  <c r="D21" i="5"/>
  <c r="D14" i="5"/>
  <c r="D23" i="5"/>
  <c r="D8" i="6"/>
  <c r="D20" i="5"/>
  <c r="D15" i="5"/>
  <c r="D24" i="5"/>
  <c r="D13" i="5"/>
  <c r="D7" i="5"/>
  <c r="D17" i="5"/>
  <c r="D8" i="5"/>
  <c r="D18" i="5"/>
  <c r="L6" i="4"/>
  <c r="L9" i="4" s="1"/>
  <c r="I9" i="4"/>
  <c r="I24" i="4" s="1"/>
  <c r="T12" i="3"/>
  <c r="R29" i="3"/>
  <c r="L8" i="4"/>
  <c r="C33" i="3"/>
  <c r="C34" i="3"/>
  <c r="L19" i="4"/>
  <c r="P6" i="4"/>
  <c r="P9" i="4" s="1"/>
  <c r="P24" i="4" s="1"/>
  <c r="C17" i="6" s="1"/>
  <c r="M9" i="4"/>
  <c r="M24" i="4" s="1"/>
  <c r="H15" i="4"/>
  <c r="L15" i="5"/>
  <c r="H7" i="5"/>
  <c r="P24" i="5"/>
  <c r="T18" i="5"/>
  <c r="L17" i="5"/>
  <c r="T7" i="5"/>
  <c r="B14" i="10" l="1"/>
  <c r="C19" i="1"/>
  <c r="C11" i="7"/>
  <c r="E20" i="1"/>
  <c r="D22" i="10"/>
  <c r="L26" i="5"/>
  <c r="D16" i="6" s="1"/>
  <c r="C8" i="6"/>
  <c r="D15" i="4"/>
  <c r="D17" i="4"/>
  <c r="D7" i="4"/>
  <c r="D22" i="4"/>
  <c r="D14" i="4"/>
  <c r="D13" i="4"/>
  <c r="D12" i="4"/>
  <c r="D8" i="4"/>
  <c r="D6" i="4"/>
  <c r="D19" i="4"/>
  <c r="D21" i="4"/>
  <c r="D20" i="4"/>
  <c r="D18" i="4"/>
  <c r="D16" i="4"/>
  <c r="D9" i="4"/>
  <c r="L24" i="4"/>
  <c r="C16" i="6" s="1"/>
  <c r="B22" i="10"/>
  <c r="D11" i="7"/>
  <c r="C20" i="1"/>
  <c r="E17" i="6"/>
  <c r="F17" i="6" s="1"/>
  <c r="D20" i="1"/>
  <c r="C22" i="10"/>
  <c r="D12" i="7"/>
  <c r="T24" i="4"/>
  <c r="C18" i="6" s="1"/>
  <c r="H8" i="5"/>
  <c r="Q24" i="4"/>
  <c r="Q26" i="5"/>
  <c r="Q31" i="3"/>
  <c r="T16" i="3"/>
  <c r="T31" i="3" s="1"/>
  <c r="B18" i="6" s="1"/>
  <c r="D28" i="3"/>
  <c r="D27" i="3"/>
  <c r="D8" i="3"/>
  <c r="D6" i="3"/>
  <c r="D12" i="3"/>
  <c r="D19" i="3"/>
  <c r="D29" i="3"/>
  <c r="D20" i="3"/>
  <c r="D10" i="3"/>
  <c r="D26" i="3"/>
  <c r="D24" i="3"/>
  <c r="D15" i="3"/>
  <c r="B8" i="6"/>
  <c r="D25" i="3"/>
  <c r="D23" i="3"/>
  <c r="D16" i="3"/>
  <c r="D13" i="3"/>
  <c r="D11" i="3"/>
  <c r="D14" i="3"/>
  <c r="D21" i="3"/>
  <c r="D22" i="3"/>
  <c r="D7" i="3"/>
  <c r="D9" i="3"/>
  <c r="I31" i="3"/>
  <c r="D13" i="9"/>
  <c r="D21" i="9"/>
  <c r="D22" i="9" s="1"/>
  <c r="C29" i="5"/>
  <c r="C28" i="5"/>
  <c r="G7" i="9"/>
  <c r="G9" i="9"/>
  <c r="J5" i="1"/>
  <c r="G6" i="9"/>
  <c r="G5" i="9"/>
  <c r="G8" i="9"/>
  <c r="H22" i="4"/>
  <c r="H24" i="4" s="1"/>
  <c r="C15" i="6" s="1"/>
  <c r="D17" i="7"/>
  <c r="H29" i="3"/>
  <c r="H31" i="3" s="1"/>
  <c r="B15" i="6" s="1"/>
  <c r="C26" i="4"/>
  <c r="C27" i="4"/>
  <c r="T26" i="5"/>
  <c r="D18" i="6" s="1"/>
  <c r="H24" i="5"/>
  <c r="R31" i="3"/>
  <c r="E5" i="6"/>
  <c r="F5" i="6" s="1"/>
  <c r="C6" i="10" l="1"/>
  <c r="E15" i="6"/>
  <c r="C19" i="6"/>
  <c r="D18" i="1"/>
  <c r="B12" i="7"/>
  <c r="F20" i="1"/>
  <c r="D13" i="7"/>
  <c r="F15" i="6"/>
  <c r="B6" i="10"/>
  <c r="C18" i="1"/>
  <c r="B19" i="6"/>
  <c r="B11" i="7"/>
  <c r="C24" i="10"/>
  <c r="C25" i="10" s="1"/>
  <c r="B18" i="7"/>
  <c r="B19" i="7" s="1"/>
  <c r="I9" i="1" s="1"/>
  <c r="B15" i="9"/>
  <c r="B13" i="9"/>
  <c r="F8" i="6"/>
  <c r="B14" i="9"/>
  <c r="B21" i="9"/>
  <c r="F11" i="7"/>
  <c r="C21" i="1"/>
  <c r="F18" i="6"/>
  <c r="E11" i="7"/>
  <c r="B30" i="10"/>
  <c r="D14" i="10"/>
  <c r="E19" i="1"/>
  <c r="B24" i="10"/>
  <c r="E22" i="10"/>
  <c r="B25" i="10"/>
  <c r="C30" i="10"/>
  <c r="E18" i="6"/>
  <c r="D21" i="1"/>
  <c r="E12" i="7"/>
  <c r="C13" i="9"/>
  <c r="C15" i="9"/>
  <c r="C21" i="9"/>
  <c r="C22" i="9" s="1"/>
  <c r="E8" i="6"/>
  <c r="C18" i="7" s="1"/>
  <c r="C19" i="7" s="1"/>
  <c r="I10" i="1" s="1"/>
  <c r="F12" i="7"/>
  <c r="D24" i="10"/>
  <c r="D25" i="10" s="1"/>
  <c r="D30" i="10"/>
  <c r="E21" i="1"/>
  <c r="C14" i="10"/>
  <c r="D19" i="1"/>
  <c r="E16" i="6"/>
  <c r="F16" i="6" s="1"/>
  <c r="C12" i="7"/>
  <c r="H26" i="5"/>
  <c r="D15" i="6" s="1"/>
  <c r="B16" i="10"/>
  <c r="B17" i="10" s="1"/>
  <c r="C16" i="10" l="1"/>
  <c r="C17" i="10"/>
  <c r="F19" i="6"/>
  <c r="F18" i="1"/>
  <c r="B13" i="7"/>
  <c r="D18" i="7"/>
  <c r="D19" i="7" s="1"/>
  <c r="E37" i="10"/>
  <c r="H16" i="6"/>
  <c r="H6" i="6"/>
  <c r="H7" i="6"/>
  <c r="H15" i="6"/>
  <c r="H18" i="6"/>
  <c r="H17" i="6"/>
  <c r="H8" i="6"/>
  <c r="H5" i="6"/>
  <c r="F13" i="7"/>
  <c r="E24" i="10"/>
  <c r="E25" i="10" s="1"/>
  <c r="F21" i="1"/>
  <c r="E13" i="7"/>
  <c r="E21" i="9"/>
  <c r="E22" i="9" s="1"/>
  <c r="B22" i="9"/>
  <c r="C32" i="10"/>
  <c r="C33" i="10" s="1"/>
  <c r="F19" i="1"/>
  <c r="C13" i="7"/>
  <c r="B8" i="10"/>
  <c r="B9" i="10" s="1"/>
  <c r="D32" i="10"/>
  <c r="D33" i="10" s="1"/>
  <c r="E14" i="10"/>
  <c r="D16" i="10"/>
  <c r="D17" i="10" s="1"/>
  <c r="E19" i="6"/>
  <c r="D6" i="10"/>
  <c r="E6" i="10" s="1"/>
  <c r="D19" i="6"/>
  <c r="E18" i="1"/>
  <c r="B32" i="10"/>
  <c r="B33" i="10" s="1"/>
  <c r="E30" i="10"/>
  <c r="C8" i="10"/>
  <c r="C9" i="10" s="1"/>
  <c r="E8" i="10" l="1"/>
  <c r="E9" i="10" s="1"/>
  <c r="E16" i="10"/>
  <c r="E17" i="10" s="1"/>
  <c r="D8" i="10"/>
  <c r="D9" i="10" s="1"/>
  <c r="E32" i="10"/>
  <c r="E33" i="10"/>
</calcChain>
</file>

<file path=xl/sharedStrings.xml><?xml version="1.0" encoding="utf-8"?>
<sst xmlns="http://schemas.openxmlformats.org/spreadsheetml/2006/main" count="576" uniqueCount="371">
  <si>
    <t>JSW STEEL TMT - MARKETING BUDGET MODEL FY 2026-27</t>
  </si>
  <si>
    <t>Executive Summary Dashboard | Total Budget: Rs. 5 Crore | Period: Apr 2026 - Mar 2027</t>
  </si>
  <si>
    <t>Total Budget</t>
  </si>
  <si>
    <t>Helix Budget</t>
  </si>
  <si>
    <t>JSW ONE Budget</t>
  </si>
  <si>
    <t>Blended Cost/MT</t>
  </si>
  <si>
    <t>Total Volume (MT)</t>
  </si>
  <si>
    <t>BUDGET ALLOCATION SUMMARY</t>
  </si>
  <si>
    <t>Objective</t>
  </si>
  <si>
    <t>Budget (Rs.)</t>
  </si>
  <si>
    <t>% of Total</t>
  </si>
  <si>
    <t>ATL Spend</t>
  </si>
  <si>
    <t>BTL Spend</t>
  </si>
  <si>
    <t>Metric</t>
  </si>
  <si>
    <t>Helix</t>
  </si>
  <si>
    <t>JSW ONE</t>
  </si>
  <si>
    <t>Combined</t>
  </si>
  <si>
    <t>Obj 1: Helix Launch</t>
  </si>
  <si>
    <t>A/S Ratio (Helix)</t>
  </si>
  <si>
    <t>Obj 2A: JSW ONE East</t>
  </si>
  <si>
    <t>A/S Ratio (JSW ONE)</t>
  </si>
  <si>
    <t>Obj 2B: JSW ONE UP+HR</t>
  </si>
  <si>
    <t>Helix Volume (MT)</t>
  </si>
  <si>
    <t>Contingency Reserve</t>
  </si>
  <si>
    <t>JSW ONE Volume (MT)</t>
  </si>
  <si>
    <t>TOTAL</t>
  </si>
  <si>
    <t>100.0%</t>
  </si>
  <si>
    <t>QUARTERLY SPEND TRAJECTORY</t>
  </si>
  <si>
    <t>Quarter</t>
  </si>
  <si>
    <t>JSW ONE East</t>
  </si>
  <si>
    <t>JSW ONE UP+HR</t>
  </si>
  <si>
    <t>Total</t>
  </si>
  <si>
    <t>Q1</t>
  </si>
  <si>
    <t>Q2</t>
  </si>
  <si>
    <t>Q3</t>
  </si>
  <si>
    <t>Q4</t>
  </si>
  <si>
    <t>HOW TO USE THIS MODEL</t>
  </si>
  <si>
    <t>1. Go to 'Master Inputs' tab to change budget allocation, quarterly splits, and volume targets.</t>
  </si>
  <si>
    <t>2. Yellow cells are editable - all other cells contain formulas that auto-update.</t>
  </si>
  <si>
    <t>3. Change Helix vs JSW ONE split in Budget Allocation Controls section.</t>
  </si>
  <si>
    <t>4. Adjust ATL/BTL mix in the Helix ATL vs BTL Split section.</t>
  </si>
  <si>
    <t>5. Modify quarterly distribution in the Quarterly Allocation section.</t>
  </si>
  <si>
    <t>6. Update unit costs in 'Activity Costs' tab to reflect market rates.</t>
  </si>
  <si>
    <t>7. Track actuals in 'Quarterly Review' tab after each quarter.</t>
  </si>
  <si>
    <t>8. Color Legend: YELLOW = Input | GREEN = Calculated | GRAY = Totals | RED = Alerts</t>
  </si>
  <si>
    <t>MASTER INPUTS - ALL VARIABLE PARAMETERS</t>
  </si>
  <si>
    <t>Yellow cells are editable inputs. Green cells are auto-calculated. Change inputs here to update ALL tabs.</t>
  </si>
  <si>
    <t>BUDGET ALLOCATION CONTROLS</t>
  </si>
  <si>
    <t>Total Marketing Budget</t>
  </si>
  <si>
    <t>Rs.</t>
  </si>
  <si>
    <t>5 Crores</t>
  </si>
  <si>
    <t>Objective 1 - Helix Share %</t>
  </si>
  <si>
    <t>60% for national launch</t>
  </si>
  <si>
    <t>Objective 2 - JSW ONE Share %</t>
  </si>
  <si>
    <t>Auto = 1 - Helix%</t>
  </si>
  <si>
    <t xml:space="preserve">  Sub-2A East Share (of Obj2) %</t>
  </si>
  <si>
    <t>60% for broader East</t>
  </si>
  <si>
    <t xml:space="preserve">  Sub-2B UP+HR Share (of Obj2) %</t>
  </si>
  <si>
    <t>Auto = 1 - East%</t>
  </si>
  <si>
    <t>Contingency Reserve %</t>
  </si>
  <si>
    <t>5% held back</t>
  </si>
  <si>
    <t>DERIVED BUDGET AMOUNTS (Auto-Calculated)</t>
  </si>
  <si>
    <t>Helix Budget (Rs.)</t>
  </si>
  <si>
    <t>JSW ONE Total Budget (Rs.)</t>
  </si>
  <si>
    <t xml:space="preserve">  Sub-2A East Budget (Rs.)</t>
  </si>
  <si>
    <t xml:space="preserve">  Sub-2B UP+HR Budget (Rs.)</t>
  </si>
  <si>
    <t>Contingency Reserve (Rs.)</t>
  </si>
  <si>
    <t>Total Allocated (Rs.)</t>
  </si>
  <si>
    <t>VERIFICATION CHECKS</t>
  </si>
  <si>
    <t>Budget Allocation = 100%?</t>
  </si>
  <si>
    <t>Sub-Obj sum = Obj2?</t>
  </si>
  <si>
    <t>Total = Budget?</t>
  </si>
  <si>
    <t>HELIX ATL vs BTL SPLIT</t>
  </si>
  <si>
    <t>ATL Share % (Helix)</t>
  </si>
  <si>
    <t>40% ATL, 60% BTL</t>
  </si>
  <si>
    <t>BTL Share % (Helix)</t>
  </si>
  <si>
    <t>QUARTERLY ALLOCATION (Must sum to 100%)</t>
  </si>
  <si>
    <t>Q1 Allocation %</t>
  </si>
  <si>
    <t>Apr-Jun: Launch push</t>
  </si>
  <si>
    <t>Q2 Allocation %</t>
  </si>
  <si>
    <t>Jul-Sep: Monsoon dip</t>
  </si>
  <si>
    <t>Q3 Allocation %</t>
  </si>
  <si>
    <t>Oct-Dec: Peak construction</t>
  </si>
  <si>
    <t>Q4 Allocation %</t>
  </si>
  <si>
    <t>Jan-Mar: Year-end push</t>
  </si>
  <si>
    <t>Quarterly Sum Check</t>
  </si>
  <si>
    <t>Quarterly Check</t>
  </si>
  <si>
    <t>MONTHLY WEIGHTS WITHIN QUARTERS</t>
  </si>
  <si>
    <t>Q1 Month Weights (Apr/May/Jun)</t>
  </si>
  <si>
    <t>Q2 Month Weights (Jul/Aug/Sep)</t>
  </si>
  <si>
    <t>Q3 Month Weights (Oct/Nov/Dec)</t>
  </si>
  <si>
    <t>Q4 Month Weights (Jan/Feb/Mar)</t>
  </si>
  <si>
    <t>VOLUME TARGETS &amp; ASSUMPTIONS</t>
  </si>
  <si>
    <t>Helix - Distributors</t>
  </si>
  <si>
    <t>Nos</t>
  </si>
  <si>
    <t>Helix - Annual Volume Target</t>
  </si>
  <si>
    <t>MT</t>
  </si>
  <si>
    <t>Helix - Volume Mar 27 Exit Rate</t>
  </si>
  <si>
    <t>MT/month</t>
  </si>
  <si>
    <t>Helix - Avg Vol/Retailer/Month</t>
  </si>
  <si>
    <t>Helix - Active Retailers (Mar 27)</t>
  </si>
  <si>
    <t>Helix - Transacting Retailers</t>
  </si>
  <si>
    <t>Helix - Priority Districts</t>
  </si>
  <si>
    <t>Helix - Selling Price/MT</t>
  </si>
  <si>
    <t>Rs/MT</t>
  </si>
  <si>
    <t>JSW ONE - Distributors</t>
  </si>
  <si>
    <t>JSW ONE - Annual Volume Target</t>
  </si>
  <si>
    <t>JSW ONE - Volume Mar 27 Exit Rate</t>
  </si>
  <si>
    <t>JSW ONE - Avg Vol/Retailer/Month</t>
  </si>
  <si>
    <t>JSW ONE - Active Retailers (Mar 27)</t>
  </si>
  <si>
    <t>JSW ONE - Transacting Retailers</t>
  </si>
  <si>
    <t>JSW ONE - Priority Districts (Total)</t>
  </si>
  <si>
    <t>JSW ONE - Priority Districts (East)</t>
  </si>
  <si>
    <t>JSW ONE - Priority Districts (UP+HR)</t>
  </si>
  <si>
    <t>JSW ONE - Selling Price/MT</t>
  </si>
  <si>
    <t>JSW ONE - East Volume Share %</t>
  </si>
  <si>
    <t>JSW ONE - UP+HR Volume Share %</t>
  </si>
  <si>
    <t>Target Growth Multiplier (Sub-2B)</t>
  </si>
  <si>
    <t>x</t>
  </si>
  <si>
    <t>EAST REGION STATES (Sub-2A Coverage)</t>
  </si>
  <si>
    <t>State</t>
  </si>
  <si>
    <t>Budget Share %</t>
  </si>
  <si>
    <t>Dealers</t>
  </si>
  <si>
    <t>Bihar</t>
  </si>
  <si>
    <t>West Bengal</t>
  </si>
  <si>
    <t>Jharkhand</t>
  </si>
  <si>
    <t>Odisha</t>
  </si>
  <si>
    <t>East State Share Check</t>
  </si>
  <si>
    <t>UP &amp; HARYANA SPLIT (Sub-2B)</t>
  </si>
  <si>
    <t>Uttar Pradesh Budget Share %</t>
  </si>
  <si>
    <t>Haryana Budget Share %</t>
  </si>
  <si>
    <t>UP Dealers (Current)</t>
  </si>
  <si>
    <t>Haryana Dealers (Current)</t>
  </si>
  <si>
    <t>OBJECTIVE 1: ONE HELIX INDIA LAUNCH - ATL + BTL PLAN (FY 2026-27)</t>
  </si>
  <si>
    <t>Allocated Budget:</t>
  </si>
  <si>
    <t>ATL Budget:</t>
  </si>
  <si>
    <t>BTL Budget:</t>
  </si>
  <si>
    <t>Activity</t>
  </si>
  <si>
    <t>Remarks</t>
  </si>
  <si>
    <t>Year Total</t>
  </si>
  <si>
    <t>Apr</t>
  </si>
  <si>
    <t>May</t>
  </si>
  <si>
    <t>Jun</t>
  </si>
  <si>
    <t>Q1 Total</t>
  </si>
  <si>
    <t>Jul</t>
  </si>
  <si>
    <t>Aug</t>
  </si>
  <si>
    <t>Sep</t>
  </si>
  <si>
    <t>Q2 Total</t>
  </si>
  <si>
    <t>Oct</t>
  </si>
  <si>
    <t>Nov</t>
  </si>
  <si>
    <t>Dec</t>
  </si>
  <si>
    <t>Q3 Total</t>
  </si>
  <si>
    <t>Jan</t>
  </si>
  <si>
    <t>Feb</t>
  </si>
  <si>
    <t>Mar</t>
  </si>
  <si>
    <t>Q4 Total</t>
  </si>
  <si>
    <t>ATL ACTIVITIES</t>
  </si>
  <si>
    <t>Impact Wall Painting</t>
  </si>
  <si>
    <t>20K sqft x districts</t>
  </si>
  <si>
    <t>FM Radio Campaign</t>
  </si>
  <si>
    <t>5% districts x 4 qtrs</t>
  </si>
  <si>
    <t>Hoardings (Flex/Billboard)</t>
  </si>
  <si>
    <t>2 per district</t>
  </si>
  <si>
    <t>Digital Marketing Campaign</t>
  </si>
  <si>
    <t>4 campaigns/year</t>
  </si>
  <si>
    <t>Local Events / Trade Fairs</t>
  </si>
  <si>
    <t>8 zonal events</t>
  </si>
  <si>
    <t>Van Campaign (Mobile)</t>
  </si>
  <si>
    <t>10 vans x 60 days</t>
  </si>
  <si>
    <t>Syndicate Launch Events</t>
  </si>
  <si>
    <t>15 state launches</t>
  </si>
  <si>
    <t>Transit Auto Branding</t>
  </si>
  <si>
    <t>500 autos nationally</t>
  </si>
  <si>
    <t>Tea Stall Branding</t>
  </si>
  <si>
    <t>10% districts x 25 stalls</t>
  </si>
  <si>
    <t>Paper Advertisement</t>
  </si>
  <si>
    <t>12 insertions/year</t>
  </si>
  <si>
    <t>ATL ACTIVITIES TOTAL</t>
  </si>
  <si>
    <t>BTL ACTIVITIES</t>
  </si>
  <si>
    <t>NLB (Name/Lit Board)</t>
  </si>
  <si>
    <t>50% active retailers</t>
  </si>
  <si>
    <t>GSB (Glow Sign Board)</t>
  </si>
  <si>
    <t>25% active retailers</t>
  </si>
  <si>
    <t>Counter Wall Painting</t>
  </si>
  <si>
    <t>20% active retailers</t>
  </si>
  <si>
    <t>Inshop Branding</t>
  </si>
  <si>
    <t>10% active retailers</t>
  </si>
  <si>
    <t>Architect/Engineer Meets</t>
  </si>
  <si>
    <t>50 pax x 50% dist x 4 qtrs</t>
  </si>
  <si>
    <t>Contractor Meets</t>
  </si>
  <si>
    <t>50 pax x all dist x 4 qtrs</t>
  </si>
  <si>
    <t>Mason Meets</t>
  </si>
  <si>
    <t>30 pax x all dist x 4 qtrs</t>
  </si>
  <si>
    <t>Dealer Certificates</t>
  </si>
  <si>
    <t>All active retailers</t>
  </si>
  <si>
    <t>POP Materials Kit</t>
  </si>
  <si>
    <t>All distributors</t>
  </si>
  <si>
    <t>Distributor Meet (Grand)</t>
  </si>
  <si>
    <t>Annual convention</t>
  </si>
  <si>
    <t>BTL ACTIVITIES TOTAL</t>
  </si>
  <si>
    <t>GRAND TOTAL</t>
  </si>
  <si>
    <t>Allocated Budget</t>
  </si>
  <si>
    <t>Variance (Budget - Spend)</t>
  </si>
  <si>
    <t>Utilization %</t>
  </si>
  <si>
    <t>OBJECTIVE 2A: JSW ONE TMT - EAST INDIA GROWTH (BTL-Focused)</t>
  </si>
  <si>
    <t>15K sqft x East districts</t>
  </si>
  <si>
    <t>Digital Marketing (Regional)</t>
  </si>
  <si>
    <t>2 East-focused campaigns</t>
  </si>
  <si>
    <t>Local Market Events</t>
  </si>
  <si>
    <t>4 events across East</t>
  </si>
  <si>
    <t>40% of East retailers</t>
  </si>
  <si>
    <t>20% of East retailers</t>
  </si>
  <si>
    <t>15% of East retailers</t>
  </si>
  <si>
    <t>50 pax x East dist x 4 qtrs</t>
  </si>
  <si>
    <t>30 pax x East dist x 4 qtrs</t>
  </si>
  <si>
    <t>Construction Site Gate Boards</t>
  </si>
  <si>
    <t>5 boards per district</t>
  </si>
  <si>
    <t>East distributors</t>
  </si>
  <si>
    <t>Retailer Loyalty Program</t>
  </si>
  <si>
    <t>Per transacting retailer x 4 qtrs</t>
  </si>
  <si>
    <t>East active retailers</t>
  </si>
  <si>
    <t>OBJECTIVE 2B: JSW ONE TMT - UP &amp; HARYANA INTENSIVE (2x Volume Target)</t>
  </si>
  <si>
    <t>15K sqft x UP+HR districts</t>
  </si>
  <si>
    <t>200 autos in UP+HR</t>
  </si>
  <si>
    <t>50% UP+HR retailers</t>
  </si>
  <si>
    <t>30% UP+HR retailers</t>
  </si>
  <si>
    <t>20% UP+HR retailers</t>
  </si>
  <si>
    <t>10% premium retailers</t>
  </si>
  <si>
    <t>Monthly Dealer Conclaves</t>
  </si>
  <si>
    <t>30% dealers x 50 pax x 12 months</t>
  </si>
  <si>
    <t>Contractor Meets (Bi-weekly)</t>
  </si>
  <si>
    <t>50% dealers x 30 pax x 24 meets</t>
  </si>
  <si>
    <t>Mason Training Camps</t>
  </si>
  <si>
    <t>4 camps per district/year</t>
  </si>
  <si>
    <t>8 boards per district</t>
  </si>
  <si>
    <t>All UP+HR dealers</t>
  </si>
  <si>
    <t>Per transacting x 4 qtrs</t>
  </si>
  <si>
    <t>Competitive Conversion Scheme</t>
  </si>
  <si>
    <t>15% target conversion</t>
  </si>
  <si>
    <t>UP+HR active retailers</t>
  </si>
  <si>
    <t>Distributor Meet</t>
  </si>
  <si>
    <t>10% of dealers at annual meet</t>
  </si>
  <si>
    <t>CONSOLIDATED BUDGET - ALL OBJECTIVES (FY 2026-27)</t>
  </si>
  <si>
    <t>Category</t>
  </si>
  <si>
    <t>Obj 1: Helix
(India Launch)</t>
  </si>
  <si>
    <t>Obj 2A: JSW ONE
(East Growth)</t>
  </si>
  <si>
    <t>Obj 2B: JSW ONE
(UP+HR 2x)</t>
  </si>
  <si>
    <t>Obj 2 Total</t>
  </si>
  <si>
    <t>Contingency</t>
  </si>
  <si>
    <t>Total Spend</t>
  </si>
  <si>
    <t>Budget Variance</t>
  </si>
  <si>
    <t>QUARTERLY SPEND BREAKDOWN</t>
  </si>
  <si>
    <t>Obj 1: Helix</t>
  </si>
  <si>
    <t>Obj 2A: East</t>
  </si>
  <si>
    <t>Obj 2B: UP+HR</t>
  </si>
  <si>
    <t>Grand Total</t>
  </si>
  <si>
    <t>% of Annual</t>
  </si>
  <si>
    <t>Annual Total</t>
  </si>
  <si>
    <t>VOLUME PROJECTIONS &amp; COST EFFICIENCY (FY 2026-27)</t>
  </si>
  <si>
    <t>VOLUME SUMMARY (MT)</t>
  </si>
  <si>
    <t>Brand</t>
  </si>
  <si>
    <t>One Helix (New Launch)</t>
  </si>
  <si>
    <t>JSW ONE TMT (Total)</t>
  </si>
  <si>
    <t>COMBINED</t>
  </si>
  <si>
    <t>MARKETING COST PER MT (Rs.)</t>
  </si>
  <si>
    <t>Annual Avg</t>
  </si>
  <si>
    <t>One Helix Cost/MT</t>
  </si>
  <si>
    <t>JSW ONE Cost/MT</t>
  </si>
  <si>
    <t>REVENUE &amp; A/S (Advertising-to-Sales) RATIO</t>
  </si>
  <si>
    <t>Projected Revenue (Rs.)</t>
  </si>
  <si>
    <t>Marketing Spend (Rs.)</t>
  </si>
  <si>
    <t>A/S Ratio (%)</t>
  </si>
  <si>
    <t>RETAILER ACTIVATION FUNNEL</t>
  </si>
  <si>
    <t>Total Retailers (Mar 27)</t>
  </si>
  <si>
    <t>Transacting Retailers</t>
  </si>
  <si>
    <t>Conversion Rate</t>
  </si>
  <si>
    <t>ACTIVITY COST REFERENCE - MASTER PRICE LIST</t>
  </si>
  <si>
    <t>All unit costs are editable. Changes cascade to all objective tabs.</t>
  </si>
  <si>
    <t>#</t>
  </si>
  <si>
    <t>Unit Cost (Rs.)</t>
  </si>
  <si>
    <t>Unit</t>
  </si>
  <si>
    <t>Remarks / Basis</t>
  </si>
  <si>
    <t>ATL ACTIVITIES (Above The Line)</t>
  </si>
  <si>
    <t>Rs/sq ft</t>
  </si>
  <si>
    <t>20,000 sq ft per district</t>
  </si>
  <si>
    <t>Rs/campaign</t>
  </si>
  <si>
    <t>Per district per quarter</t>
  </si>
  <si>
    <t>Rs/hoarding</t>
  </si>
  <si>
    <t>5 per priority district</t>
  </si>
  <si>
    <t>Social + YouTube + Display</t>
  </si>
  <si>
    <t>Rs/event</t>
  </si>
  <si>
    <t>Zone-level events</t>
  </si>
  <si>
    <t>Rs/day</t>
  </si>
  <si>
    <t>2 months per state</t>
  </si>
  <si>
    <t>Per state launch</t>
  </si>
  <si>
    <t>Rs/auto</t>
  </si>
  <si>
    <t>Auto rickshaw wraps</t>
  </si>
  <si>
    <t>Rs/stall</t>
  </si>
  <si>
    <t>25 stalls per district</t>
  </si>
  <si>
    <t>Rs/insert</t>
  </si>
  <si>
    <t>Regional dailies</t>
  </si>
  <si>
    <t>BTL ACTIVITIES (Below The Line)</t>
  </si>
  <si>
    <t>Rs/board</t>
  </si>
  <si>
    <t>40/sqft x 30 sqft</t>
  </si>
  <si>
    <t>180x30 + 65x18</t>
  </si>
  <si>
    <t>Rs/counter</t>
  </si>
  <si>
    <t>Retailer counter branding</t>
  </si>
  <si>
    <t>Premium in-store display</t>
  </si>
  <si>
    <t>Architect/Engineer Meet</t>
  </si>
  <si>
    <t>Rs/person</t>
  </si>
  <si>
    <t>50 pax per meet</t>
  </si>
  <si>
    <t>Contractor Meet</t>
  </si>
  <si>
    <t>Mason Meet</t>
  </si>
  <si>
    <t>30 pax per meet</t>
  </si>
  <si>
    <t>Rs/certificate</t>
  </si>
  <si>
    <t>Recognition boards</t>
  </si>
  <si>
    <t>Construction Site Gate Board</t>
  </si>
  <si>
    <t>Per active site</t>
  </si>
  <si>
    <t>Rs/dealer</t>
  </si>
  <si>
    <t>Standees, banners, flyers</t>
  </si>
  <si>
    <t>Architect Gift/Engagement</t>
  </si>
  <si>
    <t>Rs/gift</t>
  </si>
  <si>
    <t>Relationship building</t>
  </si>
  <si>
    <t>Annual convention per dist.</t>
  </si>
  <si>
    <t>Rs/retailer/qtr</t>
  </si>
  <si>
    <t>Volume-linked rewards</t>
  </si>
  <si>
    <t>Mason Training Camp</t>
  </si>
  <si>
    <t>Rs/camp</t>
  </si>
  <si>
    <t>20 masons per camp</t>
  </si>
  <si>
    <t>Rs/retailer</t>
  </si>
  <si>
    <t>Switch-over incentive</t>
  </si>
  <si>
    <t>ROI &amp; METRICS TRACKER (FY 2026-27)</t>
  </si>
  <si>
    <t>SCENARIO ANALYSIS - BUDGET SENSITIVITY</t>
  </si>
  <si>
    <t>Scenario</t>
  </si>
  <si>
    <t>Helix Alloc</t>
  </si>
  <si>
    <t>JSW ONE Alloc</t>
  </si>
  <si>
    <t>Cost/MT (Helix)</t>
  </si>
  <si>
    <t>Cost/MT (JSW ONE)</t>
  </si>
  <si>
    <t>Base Case (Current)</t>
  </si>
  <si>
    <t>-20% Budget</t>
  </si>
  <si>
    <t>-10% Budget</t>
  </si>
  <si>
    <t>+10% Budget</t>
  </si>
  <si>
    <t>+20% Budget</t>
  </si>
  <si>
    <t>EFFICIENCY METRICS</t>
  </si>
  <si>
    <t>JSW ONE (2A)</t>
  </si>
  <si>
    <t>JSW ONE (2B)</t>
  </si>
  <si>
    <t>Cost per Dealer Activated</t>
  </si>
  <si>
    <t>Cost per Retailer Engaged</t>
  </si>
  <si>
    <t>Marketing Spend per Distributor</t>
  </si>
  <si>
    <t>ATL Spend per Priority District</t>
  </si>
  <si>
    <t>OBJECTIVE-WISE COMPARISON</t>
  </si>
  <si>
    <t>Budget Allocated (Rs.)</t>
  </si>
  <si>
    <t>Total Spend (Rs.)</t>
  </si>
  <si>
    <t>Budget Utilization %</t>
  </si>
  <si>
    <t>QUARTERLY REVIEW TRACKER - ACTUAL vs PLAN (FY 2026-27)</t>
  </si>
  <si>
    <t>Enter actuals in yellow cells after each quarter. Variance auto-calculates.</t>
  </si>
  <si>
    <t>Q1 REVIEW (Apr-Jun 2026-27)</t>
  </si>
  <si>
    <t>Obj1: Helix</t>
  </si>
  <si>
    <t>Obj2A: East</t>
  </si>
  <si>
    <t>Obj2B: UP+HR</t>
  </si>
  <si>
    <t>Variance</t>
  </si>
  <si>
    <t>Planned Spend (Rs.)</t>
  </si>
  <si>
    <t>Actual Spend (Rs.)</t>
  </si>
  <si>
    <t>Variance (Plan - Actual)</t>
  </si>
  <si>
    <t>Variance %</t>
  </si>
  <si>
    <t>Key Observations</t>
  </si>
  <si>
    <t>Q2 REVIEW (Jul-Sep 2026-27)</t>
  </si>
  <si>
    <t>Q3 REVIEW (Oct-Dec 2026-27)</t>
  </si>
  <si>
    <t>Q4 REVIEW (Jan-Mar 2026-27)</t>
  </si>
  <si>
    <t>ANNUAL SUMMARY</t>
  </si>
  <si>
    <t>Total Planned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</si>
</sst>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12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i/>
      <sz val="9"/>
      <color rgb="FF808080"/>
      <name val="Calibri"/>
    </font>
    <font>
      <b/>
      <sz val="11"/>
      <color rgb="FFFFFFFF"/>
      <name val="Calibri"/>
    </font>
    <font>
      <sz val="10"/>
      <name val="Calibri"/>
    </font>
    <font>
      <b/>
      <sz val="11"/>
      <name val="Calibri"/>
    </font>
    <font>
      <b/>
      <sz val="12"/>
      <color rgb="FFFFFFFF"/>
      <name val="Calibri"/>
    </font>
    <font>
      <b/>
      <sz val="11"/>
      <color rgb="FFFFFFFF"/>
      <name val="Calibri"/>
    </font>
    <font>
      <b/>
      <sz val="16"/>
      <color rgb="FFFFFFFF"/>
      <name val="Calibri"/>
    </font>
    <font>
      <i/>
      <sz val="10"/>
      <color rgb="FFFFFFFF"/>
      <name val="Calibri"/>
    </font>
    <font>
      <sz val="9"/>
      <color rgb="FF1F4E79"/>
      <name val="Calibri"/>
    </font>
    <font>
      <b/>
      <sz val="14"/>
      <color rgb="FF1F4E79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2E75B6"/>
        <bgColor rgb="FF2E75B6"/>
      </patternFill>
    </fill>
    <fill>
      <patternFill patternType="solid">
        <fgColor rgb="FF9DC3E6"/>
        <bgColor rgb="FF9DC3E6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rgb="FFD6E4F0"/>
        <bgColor rgb="FFD6E4F0"/>
      </patternFill>
    </fill>
    <fill>
      <patternFill patternType="solid">
        <fgColor rgb="FFD9D9D9"/>
        <bgColor rgb="FFD9D9D9"/>
      </patternFill>
    </fill>
    <fill>
      <patternFill patternType="solid">
        <fgColor rgb="FFDAEEF3"/>
        <bgColor rgb="FFDAEEF3"/>
      </patternFill>
    </fill>
    <fill>
      <patternFill patternType="solid">
        <fgColor rgb="FFEBF1DE"/>
        <bgColor rgb="FFEBF1DE"/>
      </patternFill>
    </fill>
    <fill>
      <patternFill patternType="solid">
        <fgColor rgb="FFFDE9D9"/>
        <bgColor rgb="FFFDE9D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0" fillId="8" borderId="1" xfId="0" applyFont="1" applyFill="1" applyBorder="1" applyAlignment="1">
      <alignment horizontal="center"/>
    </xf>
    <xf numFmtId="3" fontId="11" fillId="8" borderId="1" xfId="0" applyNumberFormat="1" applyFont="1" applyFill="1" applyBorder="1" applyAlignment="1">
      <alignment horizontal="center"/>
    </xf>
    <xf numFmtId="0" fontId="3" fillId="4" borderId="1" xfId="0" applyFont="1" applyFill="1" applyBorder="1" applyAlignment="1">
      <alignment vertical="center" wrapText="1"/>
    </xf>
    <xf numFmtId="0" fontId="4" fillId="0" borderId="1" xfId="0" applyFont="1" applyBorder="1"/>
    <xf numFmtId="0" fontId="5" fillId="0" borderId="1" xfId="0" applyFont="1" applyBorder="1"/>
    <xf numFmtId="3" fontId="0" fillId="0" borderId="1" xfId="0" applyNumberFormat="1" applyBorder="1"/>
    <xf numFmtId="164" fontId="0" fillId="0" borderId="1" xfId="0" applyNumberFormat="1" applyBorder="1"/>
    <xf numFmtId="10" fontId="0" fillId="0" borderId="1" xfId="0" applyNumberFormat="1" applyBorder="1"/>
    <xf numFmtId="0" fontId="5" fillId="9" borderId="1" xfId="0" applyFont="1" applyFill="1" applyBorder="1"/>
    <xf numFmtId="3" fontId="5" fillId="9" borderId="1" xfId="0" applyNumberFormat="1" applyFont="1" applyFill="1" applyBorder="1"/>
    <xf numFmtId="164" fontId="0" fillId="9" borderId="1" xfId="0" applyNumberFormat="1" applyFill="1" applyBorder="1"/>
    <xf numFmtId="3" fontId="5" fillId="0" borderId="1" xfId="0" applyNumberFormat="1" applyFont="1" applyBorder="1"/>
    <xf numFmtId="0" fontId="4" fillId="0" borderId="0" xfId="0" applyFont="1"/>
    <xf numFmtId="0" fontId="2" fillId="0" borderId="0" xfId="0" applyFont="1"/>
    <xf numFmtId="0" fontId="5" fillId="0" borderId="0" xfId="0" applyFont="1"/>
    <xf numFmtId="3" fontId="0" fillId="6" borderId="1" xfId="0" applyNumberFormat="1" applyFill="1" applyBorder="1" applyProtection="1">
      <protection locked="0"/>
    </xf>
    <xf numFmtId="164" fontId="0" fillId="6" borderId="1" xfId="0" applyNumberFormat="1" applyFill="1" applyBorder="1" applyProtection="1">
      <protection locked="0"/>
    </xf>
    <xf numFmtId="164" fontId="0" fillId="7" borderId="1" xfId="0" applyNumberFormat="1" applyFill="1" applyBorder="1"/>
    <xf numFmtId="3" fontId="0" fillId="7" borderId="1" xfId="0" applyNumberFormat="1" applyFill="1" applyBorder="1"/>
    <xf numFmtId="0" fontId="3" fillId="3" borderId="1" xfId="0" applyFont="1" applyFill="1" applyBorder="1" applyAlignment="1">
      <alignment vertical="center" wrapText="1"/>
    </xf>
    <xf numFmtId="0" fontId="4" fillId="8" borderId="1" xfId="0" applyFont="1" applyFill="1" applyBorder="1"/>
    <xf numFmtId="0" fontId="2" fillId="8" borderId="1" xfId="0" applyFont="1" applyFill="1" applyBorder="1"/>
    <xf numFmtId="3" fontId="0" fillId="8" borderId="1" xfId="0" applyNumberFormat="1" applyFill="1" applyBorder="1"/>
    <xf numFmtId="164" fontId="0" fillId="8" borderId="1" xfId="0" applyNumberFormat="1" applyFill="1" applyBorder="1"/>
    <xf numFmtId="164" fontId="5" fillId="9" borderId="1" xfId="0" applyNumberFormat="1" applyFont="1" applyFill="1" applyBorder="1"/>
    <xf numFmtId="0" fontId="4" fillId="7" borderId="1" xfId="0" applyFont="1" applyFill="1" applyBorder="1"/>
    <xf numFmtId="0" fontId="2" fillId="7" borderId="1" xfId="0" applyFont="1" applyFill="1" applyBorder="1"/>
    <xf numFmtId="0" fontId="6" fillId="2" borderId="0" xfId="0" applyFont="1" applyFill="1"/>
    <xf numFmtId="0" fontId="7" fillId="2" borderId="1" xfId="0" applyFont="1" applyFill="1" applyBorder="1"/>
    <xf numFmtId="3" fontId="7" fillId="2" borderId="1" xfId="0" applyNumberFormat="1" applyFont="1" applyFill="1" applyBorder="1"/>
    <xf numFmtId="164" fontId="7" fillId="2" borderId="1" xfId="0" applyNumberFormat="1" applyFont="1" applyFill="1" applyBorder="1"/>
    <xf numFmtId="0" fontId="3" fillId="3" borderId="1" xfId="0" applyFont="1" applyFill="1" applyBorder="1" applyAlignment="1">
      <alignment horizontal="center" vertical="center" wrapText="1"/>
    </xf>
    <xf numFmtId="3" fontId="0" fillId="10" borderId="1" xfId="0" applyNumberFormat="1" applyFill="1" applyBorder="1"/>
    <xf numFmtId="3" fontId="0" fillId="11" borderId="1" xfId="0" applyNumberFormat="1" applyFill="1" applyBorder="1"/>
    <xf numFmtId="3" fontId="0" fillId="12" borderId="1" xfId="0" applyNumberFormat="1" applyFill="1" applyBorder="1"/>
    <xf numFmtId="3" fontId="0" fillId="9" borderId="1" xfId="0" applyNumberFormat="1" applyFill="1" applyBorder="1"/>
    <xf numFmtId="10" fontId="0" fillId="9" borderId="1" xfId="0" applyNumberFormat="1" applyFill="1" applyBorder="1"/>
    <xf numFmtId="0" fontId="4" fillId="5" borderId="1" xfId="0" applyFont="1" applyFill="1" applyBorder="1" applyAlignment="1">
      <alignment vertical="center" wrapText="1"/>
    </xf>
    <xf numFmtId="3" fontId="4" fillId="6" borderId="1" xfId="0" applyNumberFormat="1" applyFont="1" applyFill="1" applyBorder="1" applyAlignment="1" applyProtection="1">
      <alignment vertical="center" wrapText="1"/>
      <protection locked="0"/>
    </xf>
    <xf numFmtId="0" fontId="9" fillId="3" borderId="0" xfId="0" applyFont="1" applyFill="1" applyAlignment="1">
      <alignment horizontal="center"/>
    </xf>
    <xf numFmtId="0" fontId="0" fillId="3" borderId="0" xfId="0" applyFill="1"/>
    <xf numFmtId="0" fontId="3" fillId="3" borderId="1" xfId="0" applyFont="1" applyFill="1" applyBorder="1" applyAlignment="1">
      <alignment horizontal="left" vertical="center"/>
    </xf>
    <xf numFmtId="0" fontId="0" fillId="3" borderId="1" xfId="0" applyFill="1" applyBorder="1"/>
    <xf numFmtId="0" fontId="4" fillId="0" borderId="0" xfId="0" applyFont="1"/>
    <xf numFmtId="0" fontId="0" fillId="0" borderId="0" xfId="0"/>
    <xf numFmtId="0" fontId="8" fillId="2" borderId="0" xfId="0" applyFont="1" applyFill="1" applyAlignment="1">
      <alignment horizontal="center" vertical="center"/>
    </xf>
    <xf numFmtId="0" fontId="0" fillId="2" borderId="0" xfId="0" applyFill="1"/>
    <xf numFmtId="0" fontId="2" fillId="0" borderId="0" xfId="0" applyFont="1"/>
    <xf numFmtId="0" fontId="1" fillId="2" borderId="0" xfId="0" applyFont="1" applyFill="1"/>
    <xf numFmtId="0" fontId="3" fillId="4" borderId="1" xfId="0" applyFont="1" applyFill="1" applyBorder="1" applyAlignment="1">
      <alignment horizontal="left" vertical="center"/>
    </xf>
    <xf numFmtId="0" fontId="0" fillId="4" borderId="1" xfId="0" applyFill="1" applyBorder="1"/>
    <xf numFmtId="0" fontId="0" fillId="6" borderId="1" xfId="0" applyFill="1" applyBorder="1" applyProtection="1">
      <protection locked="0"/>
    </xf>
  </cellXfs>
  <cellStyles count="1">
    <cellStyle name="Normal" xfId="0" builtinId="0"/>
  </cellStyles>
  <dxfs count="26">
    <dxf>
      <font>
        <b/>
        <color rgb="FF9C0006"/>
      </font>
      <fill>
        <patternFill>
          <fgColor rgb="FFFFC7CE"/>
        </patternFill>
      </fill>
    </dxf>
    <dxf>
      <font>
        <b/>
        <color rgb="FF9C0006"/>
      </font>
      <fill>
        <patternFill>
          <fgColor rgb="FFFFC7CE"/>
        </patternFill>
      </fill>
    </dxf>
    <dxf>
      <font>
        <b/>
        <color rgb="FF9C0006"/>
      </font>
      <fill>
        <patternFill>
          <fgColor rgb="FFFFC7CE"/>
        </patternFill>
      </fill>
    </dxf>
    <dxf>
      <font>
        <b/>
        <color rgb="FF9C0006"/>
      </font>
      <fill>
        <patternFill>
          <fgColor rgb="FFFFC7CE"/>
        </patternFill>
      </fill>
    </dxf>
    <dxf>
      <font>
        <b/>
        <color rgb="FF9C0006"/>
      </font>
      <fill>
        <patternFill>
          <fgColor rgb="FFFFC7CE"/>
        </patternFill>
      </fill>
    </dxf>
    <dxf>
      <font>
        <b/>
        <color rgb="FF9C0006"/>
      </font>
      <fill>
        <patternFill>
          <fgColor rgb="FFFFC7CE"/>
        </patternFill>
      </fill>
    </dxf>
    <dxf>
      <font>
        <b/>
        <color rgb="FF9C0006"/>
      </font>
      <fill>
        <patternFill>
          <fgColor rgb="FFFFC7CE"/>
        </patternFill>
      </fill>
    </dxf>
    <dxf>
      <font>
        <b/>
        <color rgb="FF9C0006"/>
      </font>
      <fill>
        <patternFill>
          <fgColor rgb="FFFFC7CE"/>
        </patternFill>
      </fill>
    </dxf>
    <dxf>
      <font>
        <b/>
        <color rgb="FF006100"/>
      </font>
      <fill>
        <patternFill>
          <fgColor rgb="FFC6EFCE"/>
        </patternFill>
      </fill>
    </dxf>
    <dxf>
      <font>
        <b/>
        <color rgb="FF9C0006"/>
      </font>
      <fill>
        <patternFill>
          <fgColor rgb="FFFFC7CE"/>
        </patternFill>
      </fill>
    </dxf>
    <dxf>
      <font>
        <b/>
        <color rgb="FF006100"/>
      </font>
      <fill>
        <patternFill>
          <fgColor rgb="FFC6EFCE"/>
        </patternFill>
      </fill>
    </dxf>
    <dxf>
      <font>
        <b/>
        <color rgb="FF9C0006"/>
      </font>
      <fill>
        <patternFill>
          <fgColor rgb="FFFFC7CE"/>
        </patternFill>
      </fill>
    </dxf>
    <dxf>
      <font>
        <b/>
        <color rgb="FF006100"/>
      </font>
      <fill>
        <patternFill>
          <fgColor rgb="FFC6EFCE"/>
        </patternFill>
      </fill>
    </dxf>
    <dxf>
      <font>
        <b/>
        <color rgb="FF9C0006"/>
      </font>
      <fill>
        <patternFill>
          <fgColor rgb="FFFFC7CE"/>
        </patternFill>
      </fill>
    </dxf>
    <dxf>
      <font>
        <b/>
        <color rgb="FF006100"/>
      </font>
      <fill>
        <patternFill>
          <fgColor rgb="FFC6EFCE"/>
        </patternFill>
      </fill>
    </dxf>
    <dxf>
      <font>
        <b/>
        <color rgb="FF9C0006"/>
      </font>
      <fill>
        <patternFill>
          <fgColor rgb="FFFFC7CE"/>
        </patternFill>
      </fill>
    </dxf>
    <dxf>
      <font>
        <b/>
        <color rgb="FF9C0006"/>
      </font>
      <fill>
        <patternFill>
          <fgColor rgb="FFFFC7CE"/>
        </patternFill>
      </fill>
    </dxf>
    <dxf>
      <font>
        <b/>
        <color rgb="FF006100"/>
      </font>
      <fill>
        <patternFill>
          <fgColor rgb="FFC6EFCE"/>
        </patternFill>
      </fill>
    </dxf>
    <dxf>
      <font>
        <b/>
        <color rgb="FF006100"/>
      </font>
      <fill>
        <patternFill>
          <fgColor rgb="FFC6EFCE"/>
        </patternFill>
      </fill>
    </dxf>
    <dxf>
      <font>
        <b/>
        <color rgb="FF9C0006"/>
      </font>
      <fill>
        <patternFill>
          <fgColor rgb="FFFFC7CE"/>
        </patternFill>
      </fill>
    </dxf>
    <dxf>
      <font>
        <b/>
        <color rgb="FF9C0006"/>
      </font>
      <fill>
        <patternFill>
          <fgColor rgb="FFFFC7CE"/>
        </patternFill>
      </fill>
    </dxf>
    <dxf>
      <font>
        <b/>
        <color rgb="FF006100"/>
      </font>
      <fill>
        <patternFill>
          <fgColor rgb="FFC6EFCE"/>
        </patternFill>
      </fill>
    </dxf>
    <dxf>
      <font>
        <b/>
        <color rgb="FF9C0006"/>
      </font>
      <fill>
        <patternFill>
          <fgColor rgb="FFFFC7CE"/>
        </patternFill>
      </fill>
    </dxf>
    <dxf>
      <font>
        <b/>
        <color rgb="FF006100"/>
      </font>
      <fill>
        <patternFill>
          <fgColor rgb="FFC6EFCE"/>
        </patternFill>
      </fill>
    </dxf>
    <dxf>
      <font>
        <b/>
        <color rgb="FF9C0006"/>
      </font>
      <fill>
        <patternFill>
          <fgColor rgb="FFFFC7CE"/>
        </patternFill>
      </fill>
    </dxf>
    <dxf>
      <font>
        <b/>
        <color rgb="FF006100"/>
      </font>
      <fill>
        <patternFill>
          <f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Quarterly Marketing Spend by Objective</a:t>
            </a:r>
          </a:p>
        </c:rich>
      </c:tx>
      <c:layout/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Dashboard!$C$17</c:f>
              <c:strCache>
                <c:ptCount val="1"/>
                <c:pt idx="0">
                  <c:v>Helix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Dashboard!$B$18:$B$21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Dashboard!$C$18:$C$21</c:f>
              <c:numCache>
                <c:formatCode>#,##0</c:formatCode>
                <c:ptCount val="4"/>
                <c:pt idx="0">
                  <c:v>45143103.125</c:v>
                </c:pt>
                <c:pt idx="1">
                  <c:v>27085861.875</c:v>
                </c:pt>
                <c:pt idx="2">
                  <c:v>63200344.375</c:v>
                </c:pt>
                <c:pt idx="3">
                  <c:v>45143103.125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B-4097-910E-1EDD7C5545FC}"/>
            </c:ext>
          </c:extLst>
        </c:ser>
        <c:ser>
          <c:idx val="1"/>
          <c:order val="1"/>
          <c:tx>
            <c:strRef>
              <c:f>Dashboard!$D$17</c:f>
              <c:strCache>
                <c:ptCount val="1"/>
                <c:pt idx="0">
                  <c:v>JSW ONE East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Dashboard!$B$18:$B$21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Dashboard!$D$18:$D$21</c:f>
              <c:numCache>
                <c:formatCode>#,##0</c:formatCode>
                <c:ptCount val="4"/>
                <c:pt idx="0">
                  <c:v>17730357</c:v>
                </c:pt>
                <c:pt idx="1">
                  <c:v>10638214.199999999</c:v>
                </c:pt>
                <c:pt idx="2">
                  <c:v>24822499.799999997</c:v>
                </c:pt>
                <c:pt idx="3">
                  <c:v>17730357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C1B-4097-910E-1EDD7C5545FC}"/>
            </c:ext>
          </c:extLst>
        </c:ser>
        <c:ser>
          <c:idx val="2"/>
          <c:order val="2"/>
          <c:tx>
            <c:strRef>
              <c:f>Dashboard!$E$17</c:f>
              <c:strCache>
                <c:ptCount val="1"/>
                <c:pt idx="0">
                  <c:v>JSW ONE UP+HR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Dashboard!$B$18:$B$21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Dashboard!$E$18:$E$21</c:f>
              <c:numCache>
                <c:formatCode>#,##0</c:formatCode>
                <c:ptCount val="4"/>
                <c:pt idx="0">
                  <c:v>65702677</c:v>
                </c:pt>
                <c:pt idx="1">
                  <c:v>39421606.200000003</c:v>
                </c:pt>
                <c:pt idx="2">
                  <c:v>91983747.799999997</c:v>
                </c:pt>
                <c:pt idx="3">
                  <c:v>65702677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C1B-4097-910E-1EDD7C5545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Quarter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Spend (Rs.)</a:t>
                </a:r>
              </a:p>
            </c:rich>
          </c:tx>
          <c:layout/>
          <c:overlay val="1"/>
        </c:title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layout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22</xdr:row>
      <xdr:rowOff>0</xdr:rowOff>
    </xdr:from>
    <xdr:ext cx="7200000" cy="432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2060"/>
  </sheetPr>
  <dimension ref="A1:L47"/>
  <sheetViews>
    <sheetView workbookViewId="0">
      <selection sqref="A1:L1"/>
    </sheetView>
  </sheetViews>
  <sheetFormatPr defaultRowHeight="15" x14ac:dyDescent="0.25"/>
  <cols>
    <col min="1" max="1" width="3" customWidth="1"/>
    <col min="2" max="2" width="20" customWidth="1"/>
    <col min="3" max="6" width="15" customWidth="1"/>
    <col min="7" max="7" width="3" customWidth="1"/>
    <col min="8" max="8" width="20" customWidth="1"/>
    <col min="9" max="12" width="15" customWidth="1"/>
  </cols>
  <sheetData>
    <row r="1" spans="1:12" ht="39.950000000000003" customHeight="1" x14ac:dyDescent="0.25">
      <c r="A1" s="46" t="s">
        <v>0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</row>
    <row r="2" spans="1:12" x14ac:dyDescent="0.25">
      <c r="A2" s="40" t="s">
        <v>1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</row>
    <row r="4" spans="1:12" x14ac:dyDescent="0.25">
      <c r="B4" s="1" t="s">
        <v>2</v>
      </c>
      <c r="D4" s="1" t="s">
        <v>3</v>
      </c>
      <c r="F4" s="1" t="s">
        <v>4</v>
      </c>
      <c r="H4" s="1" t="s">
        <v>5</v>
      </c>
      <c r="J4" s="1" t="s">
        <v>6</v>
      </c>
    </row>
    <row r="5" spans="1:12" ht="18.75" x14ac:dyDescent="0.3">
      <c r="B5" s="2">
        <f>'Master Inputs'!$C$5</f>
        <v>50000000</v>
      </c>
      <c r="D5" s="2">
        <f>'Master Inputs'!$C$13</f>
        <v>28500000</v>
      </c>
      <c r="F5" s="2">
        <f>'Master Inputs'!$C$14</f>
        <v>19000000</v>
      </c>
      <c r="H5" s="2">
        <f>'Vol Projections'!F6</f>
        <v>268000</v>
      </c>
      <c r="J5" s="2">
        <f>'Vol Projections'!F7</f>
        <v>389000</v>
      </c>
    </row>
    <row r="7" spans="1:12" x14ac:dyDescent="0.25">
      <c r="A7" s="42" t="s">
        <v>7</v>
      </c>
      <c r="B7" s="43"/>
      <c r="C7" s="43"/>
      <c r="D7" s="43"/>
      <c r="E7" s="43"/>
      <c r="F7" s="43"/>
      <c r="G7" s="43"/>
      <c r="H7" s="43"/>
      <c r="I7" s="43"/>
      <c r="J7" s="43"/>
      <c r="K7" s="43"/>
      <c r="L7" s="43"/>
    </row>
    <row r="8" spans="1:12" x14ac:dyDescent="0.25">
      <c r="A8" s="3"/>
      <c r="B8" s="3" t="s">
        <v>8</v>
      </c>
      <c r="C8" s="3" t="s">
        <v>9</v>
      </c>
      <c r="D8" s="3" t="s">
        <v>10</v>
      </c>
      <c r="E8" s="3" t="s">
        <v>11</v>
      </c>
      <c r="F8" s="3" t="s">
        <v>12</v>
      </c>
      <c r="G8" s="3"/>
      <c r="H8" s="3" t="s">
        <v>13</v>
      </c>
      <c r="I8" s="3" t="s">
        <v>14</v>
      </c>
      <c r="J8" s="3" t="s">
        <v>15</v>
      </c>
      <c r="K8" s="3" t="s">
        <v>16</v>
      </c>
      <c r="L8" s="3"/>
    </row>
    <row r="9" spans="1:12" x14ac:dyDescent="0.25">
      <c r="A9" s="4">
        <v>1</v>
      </c>
      <c r="B9" s="5" t="s">
        <v>17</v>
      </c>
      <c r="C9" s="6">
        <f>'Master Inputs'!$C$13</f>
        <v>28500000</v>
      </c>
      <c r="D9" s="7">
        <f>'Master Inputs'!$C$6</f>
        <v>0.6</v>
      </c>
      <c r="H9" s="5" t="s">
        <v>18</v>
      </c>
      <c r="I9" s="8">
        <f>'Vol Projections'!B19</f>
        <v>3.0538061463602068E-2</v>
      </c>
    </row>
    <row r="10" spans="1:12" x14ac:dyDescent="0.25">
      <c r="A10" s="4">
        <v>2</v>
      </c>
      <c r="B10" s="5" t="s">
        <v>19</v>
      </c>
      <c r="C10" s="6">
        <f>'Master Inputs'!$C$15</f>
        <v>11400000</v>
      </c>
      <c r="D10" s="7">
        <f>'Master Inputs'!$C$7*'Master Inputs'!$C$8</f>
        <v>0.24</v>
      </c>
      <c r="H10" s="5" t="s">
        <v>20</v>
      </c>
      <c r="I10" s="8">
        <f>'Vol Projections'!C19</f>
        <v>2.4905383283582088E-2</v>
      </c>
    </row>
    <row r="11" spans="1:12" x14ac:dyDescent="0.25">
      <c r="A11" s="4">
        <v>3</v>
      </c>
      <c r="B11" s="5" t="s">
        <v>21</v>
      </c>
      <c r="C11" s="6">
        <f>'Master Inputs'!$C$16</f>
        <v>7600000</v>
      </c>
      <c r="D11" s="7">
        <f>'Master Inputs'!$C$7*'Master Inputs'!$C$9</f>
        <v>0.16000000000000003</v>
      </c>
      <c r="H11" s="5" t="s">
        <v>22</v>
      </c>
      <c r="I11" s="6">
        <f>'Vol Projections'!F5</f>
        <v>121000</v>
      </c>
    </row>
    <row r="12" spans="1:12" x14ac:dyDescent="0.25">
      <c r="A12" s="4">
        <v>4</v>
      </c>
      <c r="B12" s="5" t="s">
        <v>23</v>
      </c>
      <c r="C12" s="6">
        <f>'Master Inputs'!$C$17</f>
        <v>2500000</v>
      </c>
      <c r="D12" s="7">
        <f>'Master Inputs'!$C$10</f>
        <v>0.05</v>
      </c>
      <c r="H12" s="5" t="s">
        <v>24</v>
      </c>
      <c r="I12" s="6">
        <f>'Vol Projections'!F6</f>
        <v>268000</v>
      </c>
    </row>
    <row r="14" spans="1:12" x14ac:dyDescent="0.25">
      <c r="B14" s="9" t="s">
        <v>25</v>
      </c>
      <c r="C14" s="10">
        <f>'Master Inputs'!$C$5</f>
        <v>50000000</v>
      </c>
      <c r="D14" s="11" t="s">
        <v>26</v>
      </c>
    </row>
    <row r="16" spans="1:12" x14ac:dyDescent="0.25">
      <c r="A16" s="42" t="s">
        <v>27</v>
      </c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43"/>
    </row>
    <row r="17" spans="1:12" ht="30" x14ac:dyDescent="0.25">
      <c r="A17" s="3"/>
      <c r="B17" s="3" t="s">
        <v>28</v>
      </c>
      <c r="C17" s="3" t="s">
        <v>14</v>
      </c>
      <c r="D17" s="3" t="s">
        <v>29</v>
      </c>
      <c r="E17" s="3" t="s">
        <v>30</v>
      </c>
      <c r="F17" s="3" t="s">
        <v>31</v>
      </c>
      <c r="G17" s="3"/>
      <c r="H17" s="3"/>
      <c r="I17" s="3"/>
      <c r="J17" s="3"/>
      <c r="K17" s="3"/>
      <c r="L17" s="3"/>
    </row>
    <row r="18" spans="1:12" x14ac:dyDescent="0.25">
      <c r="B18" s="5" t="s">
        <v>32</v>
      </c>
      <c r="C18" s="6">
        <f>Consolidated!B15</f>
        <v>45143103.125</v>
      </c>
      <c r="D18" s="6">
        <f>Consolidated!C15</f>
        <v>17730357</v>
      </c>
      <c r="E18" s="6">
        <f>Consolidated!D15</f>
        <v>65702677</v>
      </c>
      <c r="F18" s="12">
        <f>Consolidated!F15</f>
        <v>128576137.125</v>
      </c>
    </row>
    <row r="19" spans="1:12" x14ac:dyDescent="0.25">
      <c r="B19" s="5" t="s">
        <v>33</v>
      </c>
      <c r="C19" s="6">
        <f>Consolidated!B16</f>
        <v>27085861.875</v>
      </c>
      <c r="D19" s="6">
        <f>Consolidated!C16</f>
        <v>10638214.199999999</v>
      </c>
      <c r="E19" s="6">
        <f>Consolidated!D16</f>
        <v>39421606.200000003</v>
      </c>
      <c r="F19" s="12">
        <f>Consolidated!F16</f>
        <v>77145682.275000006</v>
      </c>
    </row>
    <row r="20" spans="1:12" x14ac:dyDescent="0.25">
      <c r="B20" s="5" t="s">
        <v>34</v>
      </c>
      <c r="C20" s="6">
        <f>Consolidated!B17</f>
        <v>63200344.375</v>
      </c>
      <c r="D20" s="6">
        <f>Consolidated!C17</f>
        <v>24822499.799999997</v>
      </c>
      <c r="E20" s="6">
        <f>Consolidated!D17</f>
        <v>91983747.799999997</v>
      </c>
      <c r="F20" s="12">
        <f>Consolidated!F17</f>
        <v>180006591.97499999</v>
      </c>
    </row>
    <row r="21" spans="1:12" x14ac:dyDescent="0.25">
      <c r="B21" s="5" t="s">
        <v>35</v>
      </c>
      <c r="C21" s="6">
        <f>Consolidated!B18</f>
        <v>45143103.125</v>
      </c>
      <c r="D21" s="6">
        <f>Consolidated!C18</f>
        <v>17730357</v>
      </c>
      <c r="E21" s="6">
        <f>Consolidated!D18</f>
        <v>65702677</v>
      </c>
      <c r="F21" s="12">
        <f>Consolidated!F18</f>
        <v>128576137.125</v>
      </c>
    </row>
    <row r="39" spans="1:12" x14ac:dyDescent="0.25">
      <c r="A39" s="42" t="s">
        <v>36</v>
      </c>
      <c r="B39" s="43"/>
      <c r="C39" s="43"/>
      <c r="D39" s="43"/>
      <c r="E39" s="43"/>
      <c r="F39" s="43"/>
      <c r="G39" s="43"/>
      <c r="H39" s="43"/>
      <c r="I39" s="43"/>
      <c r="J39" s="43"/>
      <c r="K39" s="43"/>
      <c r="L39" s="43"/>
    </row>
    <row r="40" spans="1:12" x14ac:dyDescent="0.25">
      <c r="B40" s="44" t="s">
        <v>37</v>
      </c>
      <c r="C40" s="45"/>
      <c r="D40" s="45"/>
      <c r="E40" s="45"/>
      <c r="F40" s="45"/>
      <c r="G40" s="45"/>
      <c r="H40" s="45"/>
      <c r="I40" s="45"/>
      <c r="J40" s="45"/>
      <c r="K40" s="45"/>
      <c r="L40" s="45"/>
    </row>
    <row r="41" spans="1:12" x14ac:dyDescent="0.25">
      <c r="B41" s="44" t="s">
        <v>38</v>
      </c>
      <c r="C41" s="45"/>
      <c r="D41" s="45"/>
      <c r="E41" s="45"/>
      <c r="F41" s="45"/>
      <c r="G41" s="45"/>
      <c r="H41" s="45"/>
      <c r="I41" s="45"/>
      <c r="J41" s="45"/>
      <c r="K41" s="45"/>
      <c r="L41" s="45"/>
    </row>
    <row r="42" spans="1:12" x14ac:dyDescent="0.25">
      <c r="B42" s="44" t="s">
        <v>39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</row>
    <row r="43" spans="1:12" x14ac:dyDescent="0.25">
      <c r="B43" s="44" t="s">
        <v>40</v>
      </c>
      <c r="C43" s="45"/>
      <c r="D43" s="45"/>
      <c r="E43" s="45"/>
      <c r="F43" s="45"/>
      <c r="G43" s="45"/>
      <c r="H43" s="45"/>
      <c r="I43" s="45"/>
      <c r="J43" s="45"/>
      <c r="K43" s="45"/>
      <c r="L43" s="45"/>
    </row>
    <row r="44" spans="1:12" x14ac:dyDescent="0.25">
      <c r="B44" s="44" t="s">
        <v>41</v>
      </c>
      <c r="C44" s="45"/>
      <c r="D44" s="45"/>
      <c r="E44" s="45"/>
      <c r="F44" s="45"/>
      <c r="G44" s="45"/>
      <c r="H44" s="45"/>
      <c r="I44" s="45"/>
      <c r="J44" s="45"/>
      <c r="K44" s="45"/>
      <c r="L44" s="45"/>
    </row>
    <row r="45" spans="1:12" x14ac:dyDescent="0.25">
      <c r="B45" s="44" t="s">
        <v>42</v>
      </c>
      <c r="C45" s="45"/>
      <c r="D45" s="45"/>
      <c r="E45" s="45"/>
      <c r="F45" s="45"/>
      <c r="G45" s="45"/>
      <c r="H45" s="45"/>
      <c r="I45" s="45"/>
      <c r="J45" s="45"/>
      <c r="K45" s="45"/>
      <c r="L45" s="45"/>
    </row>
    <row r="46" spans="1:12" x14ac:dyDescent="0.25">
      <c r="B46" s="44" t="s">
        <v>43</v>
      </c>
      <c r="C46" s="45"/>
      <c r="D46" s="45"/>
      <c r="E46" s="45"/>
      <c r="F46" s="45"/>
      <c r="G46" s="45"/>
      <c r="H46" s="45"/>
      <c r="I46" s="45"/>
      <c r="J46" s="45"/>
      <c r="K46" s="45"/>
      <c r="L46" s="45"/>
    </row>
    <row r="47" spans="1:12" x14ac:dyDescent="0.25">
      <c r="B47" s="44" t="s">
        <v>44</v>
      </c>
      <c r="C47" s="45"/>
      <c r="D47" s="45"/>
      <c r="E47" s="45"/>
      <c r="F47" s="45"/>
      <c r="G47" s="45"/>
      <c r="H47" s="45"/>
      <c r="I47" s="45"/>
      <c r="J47" s="45"/>
      <c r="K47" s="45"/>
      <c r="L47" s="45"/>
    </row>
  </sheetData>
  <mergeCells count="13">
    <mergeCell ref="A1:L1"/>
    <mergeCell ref="B47:L47"/>
    <mergeCell ref="B42:L42"/>
    <mergeCell ref="B46:L46"/>
    <mergeCell ref="B45:L45"/>
    <mergeCell ref="A39:L39"/>
    <mergeCell ref="B40:L40"/>
    <mergeCell ref="B41:L41"/>
    <mergeCell ref="A2:L2"/>
    <mergeCell ref="A16:L16"/>
    <mergeCell ref="B43:L43"/>
    <mergeCell ref="A7:L7"/>
    <mergeCell ref="B44:L44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78"/>
  <sheetViews>
    <sheetView topLeftCell="A32" workbookViewId="0">
      <selection sqref="A1:F1"/>
    </sheetView>
  </sheetViews>
  <sheetFormatPr defaultRowHeight="15" x14ac:dyDescent="0.25"/>
  <cols>
    <col min="1" max="1" width="5" customWidth="1"/>
    <col min="2" max="2" width="40" customWidth="1"/>
    <col min="3" max="3" width="18" customWidth="1"/>
    <col min="4" max="4" width="12" customWidth="1"/>
    <col min="5" max="5" width="8" customWidth="1"/>
    <col min="6" max="6" width="35" customWidth="1"/>
  </cols>
  <sheetData>
    <row r="1" spans="1:6" ht="18.75" x14ac:dyDescent="0.3">
      <c r="A1" s="49" t="s">
        <v>45</v>
      </c>
      <c r="B1" s="47"/>
      <c r="C1" s="47"/>
      <c r="D1" s="47"/>
      <c r="E1" s="47"/>
      <c r="F1" s="47"/>
    </row>
    <row r="2" spans="1:6" x14ac:dyDescent="0.25">
      <c r="A2" s="48" t="s">
        <v>46</v>
      </c>
      <c r="B2" s="45"/>
      <c r="C2" s="45"/>
      <c r="D2" s="45"/>
      <c r="E2" s="45"/>
      <c r="F2" s="45"/>
    </row>
    <row r="4" spans="1:6" x14ac:dyDescent="0.25">
      <c r="A4" s="42" t="s">
        <v>47</v>
      </c>
      <c r="B4" s="43"/>
      <c r="C4" s="43"/>
      <c r="D4" s="43"/>
      <c r="E4" s="43"/>
      <c r="F4" s="43"/>
    </row>
    <row r="5" spans="1:6" x14ac:dyDescent="0.25">
      <c r="A5" s="13">
        <v>1</v>
      </c>
      <c r="B5" s="15" t="s">
        <v>48</v>
      </c>
      <c r="C5" s="16">
        <v>50000000</v>
      </c>
      <c r="D5" s="13" t="s">
        <v>49</v>
      </c>
      <c r="F5" s="14" t="s">
        <v>50</v>
      </c>
    </row>
    <row r="6" spans="1:6" x14ac:dyDescent="0.25">
      <c r="A6" s="13">
        <v>2</v>
      </c>
      <c r="B6" s="13" t="s">
        <v>51</v>
      </c>
      <c r="C6" s="17">
        <v>0.6</v>
      </c>
      <c r="D6" s="13"/>
      <c r="F6" s="14" t="s">
        <v>52</v>
      </c>
    </row>
    <row r="7" spans="1:6" x14ac:dyDescent="0.25">
      <c r="A7" s="13">
        <v>3</v>
      </c>
      <c r="B7" s="13" t="s">
        <v>53</v>
      </c>
      <c r="C7" s="18">
        <f>1-C6</f>
        <v>0.4</v>
      </c>
      <c r="D7" s="13"/>
      <c r="F7" s="14" t="s">
        <v>54</v>
      </c>
    </row>
    <row r="8" spans="1:6" x14ac:dyDescent="0.25">
      <c r="A8" s="13">
        <v>4</v>
      </c>
      <c r="B8" s="13" t="s">
        <v>55</v>
      </c>
      <c r="C8" s="17">
        <v>0.6</v>
      </c>
      <c r="D8" s="13"/>
      <c r="F8" s="14" t="s">
        <v>56</v>
      </c>
    </row>
    <row r="9" spans="1:6" x14ac:dyDescent="0.25">
      <c r="A9" s="13">
        <v>5</v>
      </c>
      <c r="B9" s="13" t="s">
        <v>57</v>
      </c>
      <c r="C9" s="18">
        <f>1-C8</f>
        <v>0.4</v>
      </c>
      <c r="D9" s="13"/>
      <c r="F9" s="14" t="s">
        <v>58</v>
      </c>
    </row>
    <row r="10" spans="1:6" x14ac:dyDescent="0.25">
      <c r="A10" s="13">
        <v>6</v>
      </c>
      <c r="B10" s="13" t="s">
        <v>59</v>
      </c>
      <c r="C10" s="17">
        <v>0.05</v>
      </c>
      <c r="D10" s="13"/>
      <c r="F10" s="14" t="s">
        <v>60</v>
      </c>
    </row>
    <row r="12" spans="1:6" x14ac:dyDescent="0.25">
      <c r="A12" s="42" t="s">
        <v>61</v>
      </c>
      <c r="B12" s="43"/>
      <c r="C12" s="43"/>
      <c r="D12" s="43"/>
      <c r="E12" s="43"/>
      <c r="F12" s="43"/>
    </row>
    <row r="13" spans="1:6" x14ac:dyDescent="0.25">
      <c r="B13" s="15" t="s">
        <v>62</v>
      </c>
      <c r="C13" s="19">
        <f>C5*C6*(1-C10)</f>
        <v>28500000</v>
      </c>
    </row>
    <row r="14" spans="1:6" x14ac:dyDescent="0.25">
      <c r="B14" s="15" t="s">
        <v>63</v>
      </c>
      <c r="C14" s="19">
        <f>C5*C7*(1-C10)</f>
        <v>19000000</v>
      </c>
    </row>
    <row r="15" spans="1:6" x14ac:dyDescent="0.25">
      <c r="B15" s="15" t="s">
        <v>64</v>
      </c>
      <c r="C15" s="19">
        <f>C14*C8</f>
        <v>11400000</v>
      </c>
    </row>
    <row r="16" spans="1:6" x14ac:dyDescent="0.25">
      <c r="B16" s="15" t="s">
        <v>65</v>
      </c>
      <c r="C16" s="19">
        <f>C14*C9</f>
        <v>7600000</v>
      </c>
    </row>
    <row r="17" spans="1:6" x14ac:dyDescent="0.25">
      <c r="B17" s="15" t="s">
        <v>66</v>
      </c>
      <c r="C17" s="19">
        <f>C5*C10</f>
        <v>2500000</v>
      </c>
    </row>
    <row r="18" spans="1:6" x14ac:dyDescent="0.25">
      <c r="B18" s="15" t="s">
        <v>67</v>
      </c>
      <c r="C18" s="19">
        <f>C13+C14+C17</f>
        <v>50000000</v>
      </c>
    </row>
    <row r="20" spans="1:6" x14ac:dyDescent="0.25">
      <c r="A20" s="42" t="s">
        <v>68</v>
      </c>
      <c r="B20" s="43"/>
      <c r="C20" s="43"/>
      <c r="D20" s="43"/>
      <c r="E20" s="43"/>
      <c r="F20" s="43"/>
    </row>
    <row r="21" spans="1:6" x14ac:dyDescent="0.25">
      <c r="B21" s="15" t="s">
        <v>69</v>
      </c>
      <c r="C21" s="5" t="str">
        <f>IF(ABS(C6+C7-1)&lt;0.001,"YES","NO")</f>
        <v>YES</v>
      </c>
    </row>
    <row r="22" spans="1:6" x14ac:dyDescent="0.25">
      <c r="B22" s="15" t="s">
        <v>70</v>
      </c>
      <c r="C22" s="5" t="str">
        <f>IF(ABS(C15+C16-C14)&lt;1,"YES","NO")</f>
        <v>YES</v>
      </c>
    </row>
    <row r="23" spans="1:6" x14ac:dyDescent="0.25">
      <c r="B23" s="15" t="s">
        <v>71</v>
      </c>
      <c r="C23" s="5" t="str">
        <f>IF(ABS(C18-C5)&lt;1,"YES","NO")</f>
        <v>YES</v>
      </c>
    </row>
    <row r="25" spans="1:6" x14ac:dyDescent="0.25">
      <c r="A25" s="42" t="s">
        <v>72</v>
      </c>
      <c r="B25" s="43"/>
      <c r="C25" s="43"/>
      <c r="D25" s="43"/>
      <c r="E25" s="43"/>
      <c r="F25" s="43"/>
    </row>
    <row r="26" spans="1:6" x14ac:dyDescent="0.25">
      <c r="B26" s="13" t="s">
        <v>73</v>
      </c>
      <c r="C26" s="17">
        <v>0.4</v>
      </c>
      <c r="F26" s="14" t="s">
        <v>74</v>
      </c>
    </row>
    <row r="27" spans="1:6" x14ac:dyDescent="0.25">
      <c r="B27" s="13" t="s">
        <v>75</v>
      </c>
      <c r="C27" s="18">
        <f>1-C26</f>
        <v>0.6</v>
      </c>
    </row>
    <row r="29" spans="1:6" x14ac:dyDescent="0.25">
      <c r="A29" s="42" t="s">
        <v>76</v>
      </c>
      <c r="B29" s="43"/>
      <c r="C29" s="43"/>
      <c r="D29" s="43"/>
      <c r="E29" s="43"/>
      <c r="F29" s="43"/>
    </row>
    <row r="30" spans="1:6" x14ac:dyDescent="0.25">
      <c r="B30" s="13" t="s">
        <v>77</v>
      </c>
      <c r="C30" s="17">
        <v>0.25</v>
      </c>
      <c r="F30" s="14" t="s">
        <v>78</v>
      </c>
    </row>
    <row r="31" spans="1:6" x14ac:dyDescent="0.25">
      <c r="B31" s="13" t="s">
        <v>79</v>
      </c>
      <c r="C31" s="17">
        <v>0.15</v>
      </c>
      <c r="F31" s="14" t="s">
        <v>80</v>
      </c>
    </row>
    <row r="32" spans="1:6" x14ac:dyDescent="0.25">
      <c r="B32" s="13" t="s">
        <v>81</v>
      </c>
      <c r="C32" s="17">
        <v>0.35</v>
      </c>
      <c r="F32" s="14" t="s">
        <v>82</v>
      </c>
    </row>
    <row r="33" spans="1:6" x14ac:dyDescent="0.25">
      <c r="B33" s="13" t="s">
        <v>83</v>
      </c>
      <c r="C33" s="17">
        <v>0.25</v>
      </c>
      <c r="F33" s="14" t="s">
        <v>84</v>
      </c>
    </row>
    <row r="34" spans="1:6" x14ac:dyDescent="0.25">
      <c r="B34" s="15" t="s">
        <v>85</v>
      </c>
      <c r="C34" s="7">
        <f>SUM(C30:C33)</f>
        <v>1</v>
      </c>
    </row>
    <row r="35" spans="1:6" x14ac:dyDescent="0.25">
      <c r="B35" s="15" t="s">
        <v>86</v>
      </c>
      <c r="C35" s="5" t="str">
        <f>IF(ABS(C34-1)&lt;0.001,"YES","NO")</f>
        <v>YES</v>
      </c>
    </row>
    <row r="37" spans="1:6" x14ac:dyDescent="0.25">
      <c r="A37" s="42" t="s">
        <v>87</v>
      </c>
      <c r="B37" s="43"/>
      <c r="C37" s="43"/>
      <c r="D37" s="43"/>
      <c r="E37" s="43"/>
      <c r="F37" s="43"/>
    </row>
    <row r="38" spans="1:6" x14ac:dyDescent="0.25">
      <c r="B38" s="13" t="s">
        <v>88</v>
      </c>
      <c r="C38" s="17">
        <v>0.3</v>
      </c>
      <c r="D38" s="17">
        <v>0.4</v>
      </c>
      <c r="E38" s="17">
        <v>0.3</v>
      </c>
    </row>
    <row r="39" spans="1:6" x14ac:dyDescent="0.25">
      <c r="B39" s="13" t="s">
        <v>89</v>
      </c>
      <c r="C39" s="17">
        <v>0.3</v>
      </c>
      <c r="D39" s="17">
        <v>0.35</v>
      </c>
      <c r="E39" s="17">
        <v>0.35</v>
      </c>
    </row>
    <row r="40" spans="1:6" x14ac:dyDescent="0.25">
      <c r="B40" s="13" t="s">
        <v>90</v>
      </c>
      <c r="C40" s="17">
        <v>0.35</v>
      </c>
      <c r="D40" s="17">
        <v>0.3</v>
      </c>
      <c r="E40" s="17">
        <v>0.35</v>
      </c>
    </row>
    <row r="41" spans="1:6" x14ac:dyDescent="0.25">
      <c r="B41" s="13" t="s">
        <v>91</v>
      </c>
      <c r="C41" s="17">
        <v>0.4</v>
      </c>
      <c r="D41" s="17">
        <v>0.3</v>
      </c>
      <c r="E41" s="17">
        <v>0.3</v>
      </c>
    </row>
    <row r="43" spans="1:6" x14ac:dyDescent="0.25">
      <c r="A43" s="42" t="s">
        <v>92</v>
      </c>
      <c r="B43" s="43"/>
      <c r="C43" s="43"/>
      <c r="D43" s="43"/>
      <c r="E43" s="43"/>
      <c r="F43" s="43"/>
    </row>
    <row r="44" spans="1:6" x14ac:dyDescent="0.25">
      <c r="B44" s="13" t="s">
        <v>93</v>
      </c>
      <c r="C44" s="16">
        <v>42</v>
      </c>
      <c r="D44" s="13" t="s">
        <v>94</v>
      </c>
    </row>
    <row r="45" spans="1:6" x14ac:dyDescent="0.25">
      <c r="B45" s="13" t="s">
        <v>95</v>
      </c>
      <c r="C45" s="16">
        <v>121000</v>
      </c>
      <c r="D45" s="13" t="s">
        <v>96</v>
      </c>
    </row>
    <row r="46" spans="1:6" x14ac:dyDescent="0.25">
      <c r="B46" s="13" t="s">
        <v>97</v>
      </c>
      <c r="C46" s="16">
        <v>27000</v>
      </c>
      <c r="D46" s="13" t="s">
        <v>98</v>
      </c>
    </row>
    <row r="47" spans="1:6" x14ac:dyDescent="0.25">
      <c r="B47" s="13" t="s">
        <v>99</v>
      </c>
      <c r="C47" s="16">
        <v>20</v>
      </c>
      <c r="D47" s="13" t="s">
        <v>96</v>
      </c>
    </row>
    <row r="48" spans="1:6" x14ac:dyDescent="0.25">
      <c r="B48" s="13" t="s">
        <v>100</v>
      </c>
      <c r="C48" s="16">
        <v>2015</v>
      </c>
      <c r="D48" s="13" t="s">
        <v>94</v>
      </c>
    </row>
    <row r="49" spans="2:4" x14ac:dyDescent="0.25">
      <c r="B49" s="13" t="s">
        <v>101</v>
      </c>
      <c r="C49" s="16">
        <v>1310</v>
      </c>
      <c r="D49" s="13" t="s">
        <v>94</v>
      </c>
    </row>
    <row r="50" spans="2:4" x14ac:dyDescent="0.25">
      <c r="B50" s="13" t="s">
        <v>102</v>
      </c>
      <c r="C50" s="16">
        <v>250</v>
      </c>
      <c r="D50" s="13" t="s">
        <v>94</v>
      </c>
    </row>
    <row r="51" spans="2:4" x14ac:dyDescent="0.25">
      <c r="B51" s="13" t="s">
        <v>103</v>
      </c>
      <c r="C51" s="16">
        <v>48868</v>
      </c>
      <c r="D51" s="13" t="s">
        <v>104</v>
      </c>
    </row>
    <row r="52" spans="2:4" x14ac:dyDescent="0.25">
      <c r="B52" s="13" t="s">
        <v>105</v>
      </c>
      <c r="C52" s="16">
        <v>56</v>
      </c>
      <c r="D52" s="13" t="s">
        <v>94</v>
      </c>
    </row>
    <row r="53" spans="2:4" x14ac:dyDescent="0.25">
      <c r="B53" s="13" t="s">
        <v>106</v>
      </c>
      <c r="C53" s="16">
        <v>268000</v>
      </c>
      <c r="D53" s="13" t="s">
        <v>96</v>
      </c>
    </row>
    <row r="54" spans="2:4" x14ac:dyDescent="0.25">
      <c r="B54" s="13" t="s">
        <v>107</v>
      </c>
      <c r="C54" s="16">
        <v>31000</v>
      </c>
      <c r="D54" s="13" t="s">
        <v>98</v>
      </c>
    </row>
    <row r="55" spans="2:4" x14ac:dyDescent="0.25">
      <c r="B55" s="13" t="s">
        <v>108</v>
      </c>
      <c r="C55" s="16">
        <v>30</v>
      </c>
      <c r="D55" s="13" t="s">
        <v>96</v>
      </c>
    </row>
    <row r="56" spans="2:4" x14ac:dyDescent="0.25">
      <c r="B56" s="13" t="s">
        <v>109</v>
      </c>
      <c r="C56" s="16">
        <v>1590</v>
      </c>
      <c r="D56" s="13" t="s">
        <v>94</v>
      </c>
    </row>
    <row r="57" spans="2:4" x14ac:dyDescent="0.25">
      <c r="B57" s="13" t="s">
        <v>110</v>
      </c>
      <c r="C57" s="16">
        <v>1033</v>
      </c>
      <c r="D57" s="13" t="s">
        <v>94</v>
      </c>
    </row>
    <row r="58" spans="2:4" x14ac:dyDescent="0.25">
      <c r="B58" s="13" t="s">
        <v>111</v>
      </c>
      <c r="C58" s="16">
        <v>194</v>
      </c>
      <c r="D58" s="13" t="s">
        <v>94</v>
      </c>
    </row>
    <row r="59" spans="2:4" x14ac:dyDescent="0.25">
      <c r="B59" s="13" t="s">
        <v>112</v>
      </c>
      <c r="C59" s="16">
        <v>120</v>
      </c>
      <c r="D59" s="13" t="s">
        <v>94</v>
      </c>
    </row>
    <row r="60" spans="2:4" x14ac:dyDescent="0.25">
      <c r="B60" s="13" t="s">
        <v>113</v>
      </c>
      <c r="C60" s="16">
        <v>74</v>
      </c>
      <c r="D60" s="13" t="s">
        <v>94</v>
      </c>
    </row>
    <row r="61" spans="2:4" x14ac:dyDescent="0.25">
      <c r="B61" s="13" t="s">
        <v>114</v>
      </c>
      <c r="C61" s="16">
        <v>50000</v>
      </c>
      <c r="D61" s="13" t="s">
        <v>104</v>
      </c>
    </row>
    <row r="62" spans="2:4" x14ac:dyDescent="0.25">
      <c r="B62" s="13" t="s">
        <v>115</v>
      </c>
      <c r="C62" s="17">
        <v>0.6</v>
      </c>
      <c r="D62" s="13"/>
    </row>
    <row r="63" spans="2:4" x14ac:dyDescent="0.25">
      <c r="B63" s="13" t="s">
        <v>116</v>
      </c>
      <c r="C63" s="17">
        <v>0.4</v>
      </c>
      <c r="D63" s="13"/>
    </row>
    <row r="64" spans="2:4" x14ac:dyDescent="0.25">
      <c r="B64" s="13" t="s">
        <v>117</v>
      </c>
      <c r="C64" s="16">
        <v>2</v>
      </c>
      <c r="D64" s="13" t="s">
        <v>118</v>
      </c>
    </row>
    <row r="66" spans="1:6" x14ac:dyDescent="0.25">
      <c r="A66" s="42" t="s">
        <v>119</v>
      </c>
      <c r="B66" s="43"/>
      <c r="C66" s="43"/>
      <c r="D66" s="43"/>
      <c r="E66" s="43"/>
      <c r="F66" s="43"/>
    </row>
    <row r="67" spans="1:6" x14ac:dyDescent="0.25">
      <c r="B67" s="5" t="s">
        <v>120</v>
      </c>
      <c r="C67" s="5" t="s">
        <v>121</v>
      </c>
      <c r="D67" s="5" t="s">
        <v>122</v>
      </c>
    </row>
    <row r="68" spans="1:6" x14ac:dyDescent="0.25">
      <c r="B68" s="4" t="s">
        <v>123</v>
      </c>
      <c r="C68" s="17">
        <v>0.3</v>
      </c>
      <c r="D68" s="16">
        <v>70</v>
      </c>
    </row>
    <row r="69" spans="1:6" x14ac:dyDescent="0.25">
      <c r="B69" s="4" t="s">
        <v>124</v>
      </c>
      <c r="C69" s="17">
        <v>0.3</v>
      </c>
      <c r="D69" s="16">
        <v>159</v>
      </c>
    </row>
    <row r="70" spans="1:6" x14ac:dyDescent="0.25">
      <c r="B70" s="4" t="s">
        <v>125</v>
      </c>
      <c r="C70" s="17">
        <v>0.2</v>
      </c>
      <c r="D70" s="16">
        <v>61</v>
      </c>
    </row>
    <row r="71" spans="1:6" x14ac:dyDescent="0.25">
      <c r="B71" s="4" t="s">
        <v>126</v>
      </c>
      <c r="C71" s="17">
        <v>0.2</v>
      </c>
      <c r="D71" s="16">
        <v>48</v>
      </c>
    </row>
    <row r="72" spans="1:6" x14ac:dyDescent="0.25">
      <c r="B72" s="15" t="s">
        <v>127</v>
      </c>
      <c r="C72" s="7">
        <f>SUM(C68:C71)</f>
        <v>1</v>
      </c>
    </row>
    <row r="74" spans="1:6" x14ac:dyDescent="0.25">
      <c r="A74" s="42" t="s">
        <v>128</v>
      </c>
      <c r="B74" s="43"/>
      <c r="C74" s="43"/>
      <c r="D74" s="43"/>
      <c r="E74" s="43"/>
      <c r="F74" s="43"/>
    </row>
    <row r="75" spans="1:6" x14ac:dyDescent="0.25">
      <c r="B75" s="13" t="s">
        <v>129</v>
      </c>
      <c r="C75" s="17">
        <v>0.6</v>
      </c>
    </row>
    <row r="76" spans="1:6" x14ac:dyDescent="0.25">
      <c r="B76" s="13" t="s">
        <v>130</v>
      </c>
      <c r="C76" s="18">
        <f>1-C75</f>
        <v>0.4</v>
      </c>
    </row>
    <row r="77" spans="1:6" x14ac:dyDescent="0.25">
      <c r="B77" s="13" t="s">
        <v>131</v>
      </c>
      <c r="C77" s="16">
        <v>152</v>
      </c>
    </row>
    <row r="78" spans="1:6" x14ac:dyDescent="0.25">
      <c r="B78" s="13" t="s">
        <v>132</v>
      </c>
      <c r="C78" s="16">
        <v>81</v>
      </c>
    </row>
  </sheetData>
  <mergeCells count="11">
    <mergeCell ref="A2:F2"/>
    <mergeCell ref="A66:F66"/>
    <mergeCell ref="A1:F1"/>
    <mergeCell ref="A37:F37"/>
    <mergeCell ref="A74:F74"/>
    <mergeCell ref="A12:F12"/>
    <mergeCell ref="A4:F4"/>
    <mergeCell ref="A20:F20"/>
    <mergeCell ref="A29:F29"/>
    <mergeCell ref="A25:F25"/>
    <mergeCell ref="A43:F43"/>
  </mergeCells>
  <conditionalFormatting sqref="C21">
    <cfRule type="cellIs" dxfId="25" priority="1" operator="equal">
      <formula>"YES"</formula>
    </cfRule>
    <cfRule type="cellIs" dxfId="24" priority="2" operator="equal">
      <formula>"NO"</formula>
    </cfRule>
  </conditionalFormatting>
  <conditionalFormatting sqref="C22">
    <cfRule type="cellIs" dxfId="23" priority="3" operator="equal">
      <formula>"YES"</formula>
    </cfRule>
    <cfRule type="cellIs" dxfId="22" priority="4" operator="equal">
      <formula>"NO"</formula>
    </cfRule>
  </conditionalFormatting>
  <conditionalFormatting sqref="C23">
    <cfRule type="cellIs" dxfId="21" priority="5" operator="equal">
      <formula>"YES"</formula>
    </cfRule>
    <cfRule type="cellIs" dxfId="20" priority="6" operator="equal">
      <formula>"NO"</formula>
    </cfRule>
  </conditionalFormatting>
  <conditionalFormatting sqref="C34">
    <cfRule type="expression" dxfId="19" priority="7">
      <formula>ABS(C34-1)&gt;0.001</formula>
    </cfRule>
    <cfRule type="expression" dxfId="18" priority="8">
      <formula>ABS(C34-1)&lt;=0.001</formula>
    </cfRule>
  </conditionalFormatting>
  <conditionalFormatting sqref="C35">
    <cfRule type="cellIs" dxfId="17" priority="9" operator="equal">
      <formula>"YES"</formula>
    </cfRule>
    <cfRule type="cellIs" dxfId="16" priority="10" operator="equal">
      <formula>"NO"</formula>
    </cfRule>
  </conditionalFormatting>
  <dataValidations count="2">
    <dataValidation type="decimal" errorTitle="Invalid" error="Enter 0 to 1 (0%-100%)" sqref="C6 C8 C10 C26 C30 C31 C32 C33">
      <formula1>0</formula1>
      <formula2>1</formula2>
    </dataValidation>
    <dataValidation type="whole" operator="greaterThan" errorTitle="Invalid" error="Enter a positive number" sqref="C5">
      <formula1>0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T34"/>
  <sheetViews>
    <sheetView workbookViewId="0">
      <selection activeCell="D7" sqref="D7"/>
    </sheetView>
  </sheetViews>
  <sheetFormatPr defaultRowHeight="15" x14ac:dyDescent="0.25"/>
  <cols>
    <col min="1" max="1" width="35" customWidth="1"/>
    <col min="2" max="2" width="20" customWidth="1"/>
    <col min="3" max="3" width="15" customWidth="1"/>
    <col min="4" max="4" width="8" customWidth="1"/>
    <col min="5" max="7" width="12" customWidth="1"/>
    <col min="8" max="8" width="14" customWidth="1"/>
    <col min="9" max="11" width="12" customWidth="1"/>
    <col min="12" max="12" width="14" customWidth="1"/>
    <col min="13" max="15" width="12" customWidth="1"/>
    <col min="16" max="16" width="14" customWidth="1"/>
    <col min="17" max="19" width="12" customWidth="1"/>
    <col min="20" max="20" width="14" customWidth="1"/>
  </cols>
  <sheetData>
    <row r="1" spans="1:20" ht="18.75" x14ac:dyDescent="0.3">
      <c r="A1" s="49" t="s">
        <v>133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</row>
    <row r="2" spans="1:20" x14ac:dyDescent="0.25">
      <c r="A2" s="15" t="s">
        <v>134</v>
      </c>
      <c r="B2" s="19">
        <f>'Master Inputs'!$C$13</f>
        <v>28500000</v>
      </c>
      <c r="D2" s="15" t="s">
        <v>135</v>
      </c>
      <c r="E2" s="19">
        <f>'Master Inputs'!$C$13*'Master Inputs'!$C$26</f>
        <v>11400000</v>
      </c>
      <c r="G2" s="15" t="s">
        <v>136</v>
      </c>
      <c r="H2" s="19">
        <f>'Master Inputs'!$C$13*'Master Inputs'!$C$27</f>
        <v>17100000</v>
      </c>
    </row>
    <row r="4" spans="1:20" ht="30" x14ac:dyDescent="0.25">
      <c r="A4" s="20" t="s">
        <v>137</v>
      </c>
      <c r="B4" s="20" t="s">
        <v>138</v>
      </c>
      <c r="C4" s="20" t="s">
        <v>139</v>
      </c>
      <c r="D4" s="20" t="s">
        <v>10</v>
      </c>
      <c r="E4" s="20" t="s">
        <v>140</v>
      </c>
      <c r="F4" s="20" t="s">
        <v>141</v>
      </c>
      <c r="G4" s="20" t="s">
        <v>142</v>
      </c>
      <c r="H4" s="20" t="s">
        <v>143</v>
      </c>
      <c r="I4" s="20" t="s">
        <v>144</v>
      </c>
      <c r="J4" s="20" t="s">
        <v>145</v>
      </c>
      <c r="K4" s="20" t="s">
        <v>146</v>
      </c>
      <c r="L4" s="20" t="s">
        <v>147</v>
      </c>
      <c r="M4" s="20" t="s">
        <v>148</v>
      </c>
      <c r="N4" s="20" t="s">
        <v>149</v>
      </c>
      <c r="O4" s="20" t="s">
        <v>150</v>
      </c>
      <c r="P4" s="20" t="s">
        <v>151</v>
      </c>
      <c r="Q4" s="20" t="s">
        <v>152</v>
      </c>
      <c r="R4" s="20" t="s">
        <v>153</v>
      </c>
      <c r="S4" s="20" t="s">
        <v>154</v>
      </c>
      <c r="T4" s="20" t="s">
        <v>155</v>
      </c>
    </row>
    <row r="5" spans="1:20" x14ac:dyDescent="0.25">
      <c r="A5" s="50" t="s">
        <v>156</v>
      </c>
      <c r="B5" s="51"/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</row>
    <row r="6" spans="1:20" x14ac:dyDescent="0.25">
      <c r="A6" s="21" t="s">
        <v>157</v>
      </c>
      <c r="B6" s="22" t="s">
        <v>158</v>
      </c>
      <c r="C6" s="23">
        <f>'Activity Costs'!C5*'Master Inputs'!$C$50*20000</f>
        <v>75000000</v>
      </c>
      <c r="D6" s="24">
        <f t="shared" ref="D6:D16" si="0">IF(C$31=0,0,C6/C$31)</f>
        <v>0.41534583805818065</v>
      </c>
      <c r="E6" s="23">
        <f>$C$6*'Master Inputs'!$C$30*'Master Inputs'!$C$38</f>
        <v>5625000</v>
      </c>
      <c r="F6" s="23">
        <f>$C$6*'Master Inputs'!$C$30*'Master Inputs'!$D$38</f>
        <v>7500000</v>
      </c>
      <c r="G6" s="23">
        <f>$C$6*'Master Inputs'!$C$30*'Master Inputs'!$E$38</f>
        <v>5625000</v>
      </c>
      <c r="H6" s="10">
        <f t="shared" ref="H6:H15" si="1">SUM(E6:G6)</f>
        <v>18750000</v>
      </c>
      <c r="I6" s="23">
        <f>$C$6*'Master Inputs'!$C$31*'Master Inputs'!$C$39</f>
        <v>3375000</v>
      </c>
      <c r="J6" s="23">
        <f>$C$6*'Master Inputs'!$C$31*'Master Inputs'!$D$39</f>
        <v>3937499.9999999995</v>
      </c>
      <c r="K6" s="23">
        <f>$C$6*'Master Inputs'!$C$31*'Master Inputs'!$E$39</f>
        <v>3937499.9999999995</v>
      </c>
      <c r="L6" s="10">
        <f t="shared" ref="L6:L15" si="2">SUM(I6:K6)</f>
        <v>11250000</v>
      </c>
      <c r="M6" s="23">
        <f>$C$6*'Master Inputs'!$C$32*'Master Inputs'!$C$40</f>
        <v>9187500</v>
      </c>
      <c r="N6" s="23">
        <f>$C$6*'Master Inputs'!$C$32*'Master Inputs'!$D$40</f>
        <v>7875000</v>
      </c>
      <c r="O6" s="23">
        <f>$C$6*'Master Inputs'!$C$32*'Master Inputs'!$E$40</f>
        <v>9187500</v>
      </c>
      <c r="P6" s="10">
        <f t="shared" ref="P6:P15" si="3">SUM(M6:O6)</f>
        <v>26250000</v>
      </c>
      <c r="Q6" s="23">
        <f>$C$6*'Master Inputs'!$C$33*'Master Inputs'!$C$41</f>
        <v>7500000</v>
      </c>
      <c r="R6" s="23">
        <f>$C$6*'Master Inputs'!$C$33*'Master Inputs'!$D$41</f>
        <v>5625000</v>
      </c>
      <c r="S6" s="23">
        <f>$C$6*'Master Inputs'!$C$33*'Master Inputs'!$E$41</f>
        <v>5625000</v>
      </c>
      <c r="T6" s="10">
        <f t="shared" ref="T6:T15" si="4">SUM(Q6:S6)</f>
        <v>18750000</v>
      </c>
    </row>
    <row r="7" spans="1:20" x14ac:dyDescent="0.25">
      <c r="A7" s="21" t="s">
        <v>159</v>
      </c>
      <c r="B7" s="22" t="s">
        <v>160</v>
      </c>
      <c r="C7" s="23">
        <f>'Activity Costs'!C6*'Master Inputs'!$C$50*0.05*4</f>
        <v>12500000</v>
      </c>
      <c r="D7" s="24">
        <f t="shared" si="0"/>
        <v>6.9224306343030118E-2</v>
      </c>
      <c r="E7" s="23">
        <f>$C$7*'Master Inputs'!$C$30*'Master Inputs'!$C$38</f>
        <v>937500</v>
      </c>
      <c r="F7" s="23">
        <f>$C$7*'Master Inputs'!$C$30*'Master Inputs'!$D$38</f>
        <v>1250000</v>
      </c>
      <c r="G7" s="23">
        <f>$C$7*'Master Inputs'!$C$30*'Master Inputs'!$E$38</f>
        <v>937500</v>
      </c>
      <c r="H7" s="10">
        <f t="shared" si="1"/>
        <v>3125000</v>
      </c>
      <c r="I7" s="23">
        <f>$C$7*'Master Inputs'!$C$31*'Master Inputs'!$C$39</f>
        <v>562500</v>
      </c>
      <c r="J7" s="23">
        <f>$C$7*'Master Inputs'!$C$31*'Master Inputs'!$D$39</f>
        <v>656250</v>
      </c>
      <c r="K7" s="23">
        <f>$C$7*'Master Inputs'!$C$31*'Master Inputs'!$E$39</f>
        <v>656250</v>
      </c>
      <c r="L7" s="10">
        <f t="shared" si="2"/>
        <v>1875000</v>
      </c>
      <c r="M7" s="23">
        <f>$C$7*'Master Inputs'!$C$32*'Master Inputs'!$C$40</f>
        <v>1531250</v>
      </c>
      <c r="N7" s="23">
        <f>$C$7*'Master Inputs'!$C$32*'Master Inputs'!$D$40</f>
        <v>1312500</v>
      </c>
      <c r="O7" s="23">
        <f>$C$7*'Master Inputs'!$C$32*'Master Inputs'!$E$40</f>
        <v>1531250</v>
      </c>
      <c r="P7" s="10">
        <f t="shared" si="3"/>
        <v>4375000</v>
      </c>
      <c r="Q7" s="23">
        <f>$C$7*'Master Inputs'!$C$33*'Master Inputs'!$C$41</f>
        <v>1250000</v>
      </c>
      <c r="R7" s="23">
        <f>$C$7*'Master Inputs'!$C$33*'Master Inputs'!$D$41</f>
        <v>937500</v>
      </c>
      <c r="S7" s="23">
        <f>$C$7*'Master Inputs'!$C$33*'Master Inputs'!$E$41</f>
        <v>937500</v>
      </c>
      <c r="T7" s="10">
        <f t="shared" si="4"/>
        <v>3125000</v>
      </c>
    </row>
    <row r="8" spans="1:20" x14ac:dyDescent="0.25">
      <c r="A8" s="21" t="s">
        <v>161</v>
      </c>
      <c r="B8" s="22" t="s">
        <v>162</v>
      </c>
      <c r="C8" s="23">
        <f>'Activity Costs'!C7*'Master Inputs'!$C$50*2</f>
        <v>25000000</v>
      </c>
      <c r="D8" s="24">
        <f t="shared" si="0"/>
        <v>0.13844861268606024</v>
      </c>
      <c r="E8" s="23">
        <f>$C$8*'Master Inputs'!$C$30*'Master Inputs'!$C$38</f>
        <v>1875000</v>
      </c>
      <c r="F8" s="23">
        <f>$C$8*'Master Inputs'!$C$30*'Master Inputs'!$D$38</f>
        <v>2500000</v>
      </c>
      <c r="G8" s="23">
        <f>$C$8*'Master Inputs'!$C$30*'Master Inputs'!$E$38</f>
        <v>1875000</v>
      </c>
      <c r="H8" s="10">
        <f t="shared" si="1"/>
        <v>6250000</v>
      </c>
      <c r="I8" s="23">
        <f>$C$8*'Master Inputs'!$C$31*'Master Inputs'!$C$39</f>
        <v>1125000</v>
      </c>
      <c r="J8" s="23">
        <f>$C$8*'Master Inputs'!$C$31*'Master Inputs'!$D$39</f>
        <v>1312500</v>
      </c>
      <c r="K8" s="23">
        <f>$C$8*'Master Inputs'!$C$31*'Master Inputs'!$E$39</f>
        <v>1312500</v>
      </c>
      <c r="L8" s="10">
        <f t="shared" si="2"/>
        <v>3750000</v>
      </c>
      <c r="M8" s="23">
        <f>$C$8*'Master Inputs'!$C$32*'Master Inputs'!$C$40</f>
        <v>3062500</v>
      </c>
      <c r="N8" s="23">
        <f>$C$8*'Master Inputs'!$C$32*'Master Inputs'!$D$40</f>
        <v>2625000</v>
      </c>
      <c r="O8" s="23">
        <f>$C$8*'Master Inputs'!$C$32*'Master Inputs'!$E$40</f>
        <v>3062500</v>
      </c>
      <c r="P8" s="10">
        <f t="shared" si="3"/>
        <v>8750000</v>
      </c>
      <c r="Q8" s="23">
        <f>$C$8*'Master Inputs'!$C$33*'Master Inputs'!$C$41</f>
        <v>2500000</v>
      </c>
      <c r="R8" s="23">
        <f>$C$8*'Master Inputs'!$C$33*'Master Inputs'!$D$41</f>
        <v>1875000</v>
      </c>
      <c r="S8" s="23">
        <f>$C$8*'Master Inputs'!$C$33*'Master Inputs'!$E$41</f>
        <v>1875000</v>
      </c>
      <c r="T8" s="10">
        <f t="shared" si="4"/>
        <v>6250000</v>
      </c>
    </row>
    <row r="9" spans="1:20" x14ac:dyDescent="0.25">
      <c r="A9" s="21" t="s">
        <v>163</v>
      </c>
      <c r="B9" s="22" t="s">
        <v>164</v>
      </c>
      <c r="C9" s="23">
        <f>'Activity Costs'!C8*4</f>
        <v>2000000</v>
      </c>
      <c r="D9" s="24">
        <f t="shared" si="0"/>
        <v>1.1075889014884818E-2</v>
      </c>
      <c r="E9" s="23">
        <f>$C$9*'Master Inputs'!$C$30*'Master Inputs'!$C$38</f>
        <v>150000</v>
      </c>
      <c r="F9" s="23">
        <f>$C$9*'Master Inputs'!$C$30*'Master Inputs'!$D$38</f>
        <v>200000</v>
      </c>
      <c r="G9" s="23">
        <f>$C$9*'Master Inputs'!$C$30*'Master Inputs'!$E$38</f>
        <v>150000</v>
      </c>
      <c r="H9" s="10">
        <f t="shared" si="1"/>
        <v>500000</v>
      </c>
      <c r="I9" s="23">
        <f>$C$9*'Master Inputs'!$C$31*'Master Inputs'!$C$39</f>
        <v>90000</v>
      </c>
      <c r="J9" s="23">
        <f>$C$9*'Master Inputs'!$C$31*'Master Inputs'!$D$39</f>
        <v>105000</v>
      </c>
      <c r="K9" s="23">
        <f>$C$9*'Master Inputs'!$C$31*'Master Inputs'!$E$39</f>
        <v>105000</v>
      </c>
      <c r="L9" s="10">
        <f t="shared" si="2"/>
        <v>300000</v>
      </c>
      <c r="M9" s="23">
        <f>$C$9*'Master Inputs'!$C$32*'Master Inputs'!$C$40</f>
        <v>244999.99999999997</v>
      </c>
      <c r="N9" s="23">
        <f>$C$9*'Master Inputs'!$C$32*'Master Inputs'!$D$40</f>
        <v>210000</v>
      </c>
      <c r="O9" s="23">
        <f>$C$9*'Master Inputs'!$C$32*'Master Inputs'!$E$40</f>
        <v>244999.99999999997</v>
      </c>
      <c r="P9" s="10">
        <f t="shared" si="3"/>
        <v>700000</v>
      </c>
      <c r="Q9" s="23">
        <f>$C$9*'Master Inputs'!$C$33*'Master Inputs'!$C$41</f>
        <v>200000</v>
      </c>
      <c r="R9" s="23">
        <f>$C$9*'Master Inputs'!$C$33*'Master Inputs'!$D$41</f>
        <v>150000</v>
      </c>
      <c r="S9" s="23">
        <f>$C$9*'Master Inputs'!$C$33*'Master Inputs'!$E$41</f>
        <v>150000</v>
      </c>
      <c r="T9" s="10">
        <f t="shared" si="4"/>
        <v>500000</v>
      </c>
    </row>
    <row r="10" spans="1:20" x14ac:dyDescent="0.25">
      <c r="A10" s="21" t="s">
        <v>165</v>
      </c>
      <c r="B10" s="22" t="s">
        <v>166</v>
      </c>
      <c r="C10" s="23">
        <f>'Activity Costs'!C9*8</f>
        <v>4000000</v>
      </c>
      <c r="D10" s="24">
        <f t="shared" si="0"/>
        <v>2.2151778029769635E-2</v>
      </c>
      <c r="E10" s="23">
        <f>$C$10*'Master Inputs'!$C$30*'Master Inputs'!$C$38</f>
        <v>300000</v>
      </c>
      <c r="F10" s="23">
        <f>$C$10*'Master Inputs'!$C$30*'Master Inputs'!$D$38</f>
        <v>400000</v>
      </c>
      <c r="G10" s="23">
        <f>$C$10*'Master Inputs'!$C$30*'Master Inputs'!$E$38</f>
        <v>300000</v>
      </c>
      <c r="H10" s="10">
        <f t="shared" si="1"/>
        <v>1000000</v>
      </c>
      <c r="I10" s="23">
        <f>$C$10*'Master Inputs'!$C$31*'Master Inputs'!$C$39</f>
        <v>180000</v>
      </c>
      <c r="J10" s="23">
        <f>$C$10*'Master Inputs'!$C$31*'Master Inputs'!$D$39</f>
        <v>210000</v>
      </c>
      <c r="K10" s="23">
        <f>$C$10*'Master Inputs'!$C$31*'Master Inputs'!$E$39</f>
        <v>210000</v>
      </c>
      <c r="L10" s="10">
        <f t="shared" si="2"/>
        <v>600000</v>
      </c>
      <c r="M10" s="23">
        <f>$C$10*'Master Inputs'!$C$32*'Master Inputs'!$C$40</f>
        <v>489999.99999999994</v>
      </c>
      <c r="N10" s="23">
        <f>$C$10*'Master Inputs'!$C$32*'Master Inputs'!$D$40</f>
        <v>420000</v>
      </c>
      <c r="O10" s="23">
        <f>$C$10*'Master Inputs'!$C$32*'Master Inputs'!$E$40</f>
        <v>489999.99999999994</v>
      </c>
      <c r="P10" s="10">
        <f t="shared" si="3"/>
        <v>1400000</v>
      </c>
      <c r="Q10" s="23">
        <f>$C$10*'Master Inputs'!$C$33*'Master Inputs'!$C$41</f>
        <v>400000</v>
      </c>
      <c r="R10" s="23">
        <f>$C$10*'Master Inputs'!$C$33*'Master Inputs'!$D$41</f>
        <v>300000</v>
      </c>
      <c r="S10" s="23">
        <f>$C$10*'Master Inputs'!$C$33*'Master Inputs'!$E$41</f>
        <v>300000</v>
      </c>
      <c r="T10" s="10">
        <f t="shared" si="4"/>
        <v>1000000</v>
      </c>
    </row>
    <row r="11" spans="1:20" x14ac:dyDescent="0.25">
      <c r="A11" s="21" t="s">
        <v>167</v>
      </c>
      <c r="B11" s="22" t="s">
        <v>168</v>
      </c>
      <c r="C11" s="23">
        <f>'Activity Costs'!C10*10*60</f>
        <v>4200000</v>
      </c>
      <c r="D11" s="24">
        <f t="shared" si="0"/>
        <v>2.3259366931258119E-2</v>
      </c>
      <c r="E11" s="23">
        <f>$C$11*'Master Inputs'!$C$30*'Master Inputs'!$C$38</f>
        <v>315000</v>
      </c>
      <c r="F11" s="23">
        <f>$C$11*'Master Inputs'!$C$30*'Master Inputs'!$D$38</f>
        <v>420000</v>
      </c>
      <c r="G11" s="23">
        <f>$C$11*'Master Inputs'!$C$30*'Master Inputs'!$E$38</f>
        <v>315000</v>
      </c>
      <c r="H11" s="10">
        <f t="shared" si="1"/>
        <v>1050000</v>
      </c>
      <c r="I11" s="23">
        <f>$C$11*'Master Inputs'!$C$31*'Master Inputs'!$C$39</f>
        <v>189000</v>
      </c>
      <c r="J11" s="23">
        <f>$C$11*'Master Inputs'!$C$31*'Master Inputs'!$D$39</f>
        <v>220500</v>
      </c>
      <c r="K11" s="23">
        <f>$C$11*'Master Inputs'!$C$31*'Master Inputs'!$E$39</f>
        <v>220500</v>
      </c>
      <c r="L11" s="10">
        <f t="shared" si="2"/>
        <v>630000</v>
      </c>
      <c r="M11" s="23">
        <f>$C$11*'Master Inputs'!$C$32*'Master Inputs'!$C$40</f>
        <v>514499.99999999994</v>
      </c>
      <c r="N11" s="23">
        <f>$C$11*'Master Inputs'!$C$32*'Master Inputs'!$D$40</f>
        <v>441000</v>
      </c>
      <c r="O11" s="23">
        <f>$C$11*'Master Inputs'!$C$32*'Master Inputs'!$E$40</f>
        <v>514499.99999999994</v>
      </c>
      <c r="P11" s="10">
        <f t="shared" si="3"/>
        <v>1470000</v>
      </c>
      <c r="Q11" s="23">
        <f>$C$11*'Master Inputs'!$C$33*'Master Inputs'!$C$41</f>
        <v>420000</v>
      </c>
      <c r="R11" s="23">
        <f>$C$11*'Master Inputs'!$C$33*'Master Inputs'!$D$41</f>
        <v>315000</v>
      </c>
      <c r="S11" s="23">
        <f>$C$11*'Master Inputs'!$C$33*'Master Inputs'!$E$41</f>
        <v>315000</v>
      </c>
      <c r="T11" s="10">
        <f t="shared" si="4"/>
        <v>1050000</v>
      </c>
    </row>
    <row r="12" spans="1:20" x14ac:dyDescent="0.25">
      <c r="A12" s="21" t="s">
        <v>169</v>
      </c>
      <c r="B12" s="22" t="s">
        <v>170</v>
      </c>
      <c r="C12" s="23">
        <f>'Activity Costs'!C11*15</f>
        <v>7500000</v>
      </c>
      <c r="D12" s="24">
        <f t="shared" si="0"/>
        <v>4.1534583805818065E-2</v>
      </c>
      <c r="E12" s="23">
        <f>$C$12*'Master Inputs'!$C$30*'Master Inputs'!$C$38</f>
        <v>562500</v>
      </c>
      <c r="F12" s="23">
        <f>$C$12*'Master Inputs'!$C$30*'Master Inputs'!$D$38</f>
        <v>750000</v>
      </c>
      <c r="G12" s="23">
        <f>$C$12*'Master Inputs'!$C$30*'Master Inputs'!$E$38</f>
        <v>562500</v>
      </c>
      <c r="H12" s="10">
        <f t="shared" si="1"/>
        <v>1875000</v>
      </c>
      <c r="I12" s="23">
        <f>$C$12*'Master Inputs'!$C$31*'Master Inputs'!$C$39</f>
        <v>337500</v>
      </c>
      <c r="J12" s="23">
        <f>$C$12*'Master Inputs'!$C$31*'Master Inputs'!$D$39</f>
        <v>393750</v>
      </c>
      <c r="K12" s="23">
        <f>$C$12*'Master Inputs'!$C$31*'Master Inputs'!$E$39</f>
        <v>393750</v>
      </c>
      <c r="L12" s="10">
        <f t="shared" si="2"/>
        <v>1125000</v>
      </c>
      <c r="M12" s="23">
        <f>$C$12*'Master Inputs'!$C$32*'Master Inputs'!$C$40</f>
        <v>918749.99999999988</v>
      </c>
      <c r="N12" s="23">
        <f>$C$12*'Master Inputs'!$C$32*'Master Inputs'!$D$40</f>
        <v>787500</v>
      </c>
      <c r="O12" s="23">
        <f>$C$12*'Master Inputs'!$C$32*'Master Inputs'!$E$40</f>
        <v>918749.99999999988</v>
      </c>
      <c r="P12" s="10">
        <f t="shared" si="3"/>
        <v>2625000</v>
      </c>
      <c r="Q12" s="23">
        <f>$C$12*'Master Inputs'!$C$33*'Master Inputs'!$C$41</f>
        <v>750000</v>
      </c>
      <c r="R12" s="23">
        <f>$C$12*'Master Inputs'!$C$33*'Master Inputs'!$D$41</f>
        <v>562500</v>
      </c>
      <c r="S12" s="23">
        <f>$C$12*'Master Inputs'!$C$33*'Master Inputs'!$E$41</f>
        <v>562500</v>
      </c>
      <c r="T12" s="10">
        <f t="shared" si="4"/>
        <v>1875000</v>
      </c>
    </row>
    <row r="13" spans="1:20" x14ac:dyDescent="0.25">
      <c r="A13" s="21" t="s">
        <v>171</v>
      </c>
      <c r="B13" s="22" t="s">
        <v>172</v>
      </c>
      <c r="C13" s="23">
        <f>'Activity Costs'!C12*500</f>
        <v>350000</v>
      </c>
      <c r="D13" s="24">
        <f t="shared" si="0"/>
        <v>1.9382805776048432E-3</v>
      </c>
      <c r="E13" s="23">
        <f>$C$13*'Master Inputs'!$C$30*'Master Inputs'!$C$38</f>
        <v>26250</v>
      </c>
      <c r="F13" s="23">
        <f>$C$13*'Master Inputs'!$C$30*'Master Inputs'!$D$38</f>
        <v>35000</v>
      </c>
      <c r="G13" s="23">
        <f>$C$13*'Master Inputs'!$C$30*'Master Inputs'!$E$38</f>
        <v>26250</v>
      </c>
      <c r="H13" s="10">
        <f t="shared" si="1"/>
        <v>87500</v>
      </c>
      <c r="I13" s="23">
        <f>$C$13*'Master Inputs'!$C$31*'Master Inputs'!$C$39</f>
        <v>15750</v>
      </c>
      <c r="J13" s="23">
        <f>$C$13*'Master Inputs'!$C$31*'Master Inputs'!$D$39</f>
        <v>18375</v>
      </c>
      <c r="K13" s="23">
        <f>$C$13*'Master Inputs'!$C$31*'Master Inputs'!$E$39</f>
        <v>18375</v>
      </c>
      <c r="L13" s="10">
        <f t="shared" si="2"/>
        <v>52500</v>
      </c>
      <c r="M13" s="23">
        <f>$C$13*'Master Inputs'!$C$32*'Master Inputs'!$C$40</f>
        <v>42874.999999999993</v>
      </c>
      <c r="N13" s="23">
        <f>$C$13*'Master Inputs'!$C$32*'Master Inputs'!$D$40</f>
        <v>36749.999999999993</v>
      </c>
      <c r="O13" s="23">
        <f>$C$13*'Master Inputs'!$C$32*'Master Inputs'!$E$40</f>
        <v>42874.999999999993</v>
      </c>
      <c r="P13" s="10">
        <f t="shared" si="3"/>
        <v>122499.99999999997</v>
      </c>
      <c r="Q13" s="23">
        <f>$C$13*'Master Inputs'!$C$33*'Master Inputs'!$C$41</f>
        <v>35000</v>
      </c>
      <c r="R13" s="23">
        <f>$C$13*'Master Inputs'!$C$33*'Master Inputs'!$D$41</f>
        <v>26250</v>
      </c>
      <c r="S13" s="23">
        <f>$C$13*'Master Inputs'!$C$33*'Master Inputs'!$E$41</f>
        <v>26250</v>
      </c>
      <c r="T13" s="10">
        <f t="shared" si="4"/>
        <v>87500</v>
      </c>
    </row>
    <row r="14" spans="1:20" x14ac:dyDescent="0.25">
      <c r="A14" s="21" t="s">
        <v>173</v>
      </c>
      <c r="B14" s="22" t="s">
        <v>174</v>
      </c>
      <c r="C14" s="23">
        <f>'Activity Costs'!C13*'Master Inputs'!$C$50*0.1*25</f>
        <v>2500000</v>
      </c>
      <c r="D14" s="24">
        <f t="shared" si="0"/>
        <v>1.3844861268606023E-2</v>
      </c>
      <c r="E14" s="23">
        <f>$C$14*'Master Inputs'!$C$30*'Master Inputs'!$C$38</f>
        <v>187500</v>
      </c>
      <c r="F14" s="23">
        <f>$C$14*'Master Inputs'!$C$30*'Master Inputs'!$D$38</f>
        <v>250000</v>
      </c>
      <c r="G14" s="23">
        <f>$C$14*'Master Inputs'!$C$30*'Master Inputs'!$E$38</f>
        <v>187500</v>
      </c>
      <c r="H14" s="10">
        <f t="shared" si="1"/>
        <v>625000</v>
      </c>
      <c r="I14" s="23">
        <f>$C$14*'Master Inputs'!$C$31*'Master Inputs'!$C$39</f>
        <v>112500</v>
      </c>
      <c r="J14" s="23">
        <f>$C$14*'Master Inputs'!$C$31*'Master Inputs'!$D$39</f>
        <v>131250</v>
      </c>
      <c r="K14" s="23">
        <f>$C$14*'Master Inputs'!$C$31*'Master Inputs'!$E$39</f>
        <v>131250</v>
      </c>
      <c r="L14" s="10">
        <f t="shared" si="2"/>
        <v>375000</v>
      </c>
      <c r="M14" s="23">
        <f>$C$14*'Master Inputs'!$C$32*'Master Inputs'!$C$40</f>
        <v>306250</v>
      </c>
      <c r="N14" s="23">
        <f>$C$14*'Master Inputs'!$C$32*'Master Inputs'!$D$40</f>
        <v>262500</v>
      </c>
      <c r="O14" s="23">
        <f>$C$14*'Master Inputs'!$C$32*'Master Inputs'!$E$40</f>
        <v>306250</v>
      </c>
      <c r="P14" s="10">
        <f t="shared" si="3"/>
        <v>875000</v>
      </c>
      <c r="Q14" s="23">
        <f>$C$14*'Master Inputs'!$C$33*'Master Inputs'!$C$41</f>
        <v>250000</v>
      </c>
      <c r="R14" s="23">
        <f>$C$14*'Master Inputs'!$C$33*'Master Inputs'!$D$41</f>
        <v>187500</v>
      </c>
      <c r="S14" s="23">
        <f>$C$14*'Master Inputs'!$C$33*'Master Inputs'!$E$41</f>
        <v>187500</v>
      </c>
      <c r="T14" s="10">
        <f t="shared" si="4"/>
        <v>625000</v>
      </c>
    </row>
    <row r="15" spans="1:20" x14ac:dyDescent="0.25">
      <c r="A15" s="21" t="s">
        <v>175</v>
      </c>
      <c r="B15" s="22" t="s">
        <v>176</v>
      </c>
      <c r="C15" s="23">
        <f>'Activity Costs'!C14*12</f>
        <v>1200000</v>
      </c>
      <c r="D15" s="24">
        <f t="shared" si="0"/>
        <v>6.6455334089308912E-3</v>
      </c>
      <c r="E15" s="23">
        <f>$C$15*'Master Inputs'!$C$30*'Master Inputs'!$C$38</f>
        <v>90000</v>
      </c>
      <c r="F15" s="23">
        <f>$C$15*'Master Inputs'!$C$30*'Master Inputs'!$D$38</f>
        <v>120000</v>
      </c>
      <c r="G15" s="23">
        <f>$C$15*'Master Inputs'!$C$30*'Master Inputs'!$E$38</f>
        <v>90000</v>
      </c>
      <c r="H15" s="10">
        <f t="shared" si="1"/>
        <v>300000</v>
      </c>
      <c r="I15" s="23">
        <f>$C$15*'Master Inputs'!$C$31*'Master Inputs'!$C$39</f>
        <v>54000</v>
      </c>
      <c r="J15" s="23">
        <f>$C$15*'Master Inputs'!$C$31*'Master Inputs'!$D$39</f>
        <v>62999.999999999993</v>
      </c>
      <c r="K15" s="23">
        <f>$C$15*'Master Inputs'!$C$31*'Master Inputs'!$E$39</f>
        <v>62999.999999999993</v>
      </c>
      <c r="L15" s="10">
        <f t="shared" si="2"/>
        <v>180000</v>
      </c>
      <c r="M15" s="23">
        <f>$C$15*'Master Inputs'!$C$32*'Master Inputs'!$C$40</f>
        <v>147000</v>
      </c>
      <c r="N15" s="23">
        <f>$C$15*'Master Inputs'!$C$32*'Master Inputs'!$D$40</f>
        <v>126000</v>
      </c>
      <c r="O15" s="23">
        <f>$C$15*'Master Inputs'!$C$32*'Master Inputs'!$E$40</f>
        <v>147000</v>
      </c>
      <c r="P15" s="10">
        <f t="shared" si="3"/>
        <v>420000</v>
      </c>
      <c r="Q15" s="23">
        <f>$C$15*'Master Inputs'!$C$33*'Master Inputs'!$C$41</f>
        <v>120000</v>
      </c>
      <c r="R15" s="23">
        <f>$C$15*'Master Inputs'!$C$33*'Master Inputs'!$D$41</f>
        <v>90000</v>
      </c>
      <c r="S15" s="23">
        <f>$C$15*'Master Inputs'!$C$33*'Master Inputs'!$E$41</f>
        <v>90000</v>
      </c>
      <c r="T15" s="10">
        <f t="shared" si="4"/>
        <v>300000</v>
      </c>
    </row>
    <row r="16" spans="1:20" x14ac:dyDescent="0.25">
      <c r="A16" s="9" t="s">
        <v>177</v>
      </c>
      <c r="B16" s="9"/>
      <c r="C16" s="10">
        <f>SUM(C6:C15)</f>
        <v>134250000</v>
      </c>
      <c r="D16" s="25">
        <f t="shared" si="0"/>
        <v>0.74346905012414344</v>
      </c>
      <c r="E16" s="10">
        <f t="shared" ref="E16:T16" si="5">SUM(E6:E15)</f>
        <v>10068750</v>
      </c>
      <c r="F16" s="10">
        <f t="shared" si="5"/>
        <v>13425000</v>
      </c>
      <c r="G16" s="10">
        <f t="shared" si="5"/>
        <v>10068750</v>
      </c>
      <c r="H16" s="10">
        <f t="shared" si="5"/>
        <v>33562500</v>
      </c>
      <c r="I16" s="10">
        <f t="shared" si="5"/>
        <v>6041250</v>
      </c>
      <c r="J16" s="10">
        <f t="shared" si="5"/>
        <v>7048125</v>
      </c>
      <c r="K16" s="10">
        <f t="shared" si="5"/>
        <v>7048125</v>
      </c>
      <c r="L16" s="10">
        <f t="shared" si="5"/>
        <v>20137500</v>
      </c>
      <c r="M16" s="10">
        <f t="shared" si="5"/>
        <v>16445625</v>
      </c>
      <c r="N16" s="10">
        <f t="shared" si="5"/>
        <v>14096250</v>
      </c>
      <c r="O16" s="10">
        <f t="shared" si="5"/>
        <v>16445625</v>
      </c>
      <c r="P16" s="10">
        <f t="shared" si="5"/>
        <v>46987500</v>
      </c>
      <c r="Q16" s="10">
        <f t="shared" si="5"/>
        <v>13425000</v>
      </c>
      <c r="R16" s="10">
        <f t="shared" si="5"/>
        <v>10068750</v>
      </c>
      <c r="S16" s="10">
        <f t="shared" si="5"/>
        <v>10068750</v>
      </c>
      <c r="T16" s="10">
        <f t="shared" si="5"/>
        <v>33562500</v>
      </c>
    </row>
    <row r="18" spans="1:20" x14ac:dyDescent="0.25">
      <c r="A18" s="50" t="s">
        <v>178</v>
      </c>
      <c r="B18" s="51"/>
      <c r="C18" s="51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</row>
    <row r="19" spans="1:20" x14ac:dyDescent="0.25">
      <c r="A19" s="26" t="s">
        <v>179</v>
      </c>
      <c r="B19" s="27" t="s">
        <v>180</v>
      </c>
      <c r="C19" s="19">
        <f>'Activity Costs'!C16*'Master Inputs'!$C$48*0.5</f>
        <v>1209000</v>
      </c>
      <c r="D19" s="18">
        <f t="shared" ref="D19:D29" si="6">IF(C$31=0,0,C19/C$31)</f>
        <v>6.6953749094978724E-3</v>
      </c>
      <c r="E19" s="19">
        <f>$C$19*'Master Inputs'!$C$30*'Master Inputs'!$C$38</f>
        <v>90675</v>
      </c>
      <c r="F19" s="19">
        <f>$C$19*'Master Inputs'!$C$30*'Master Inputs'!$D$38</f>
        <v>120900</v>
      </c>
      <c r="G19" s="19">
        <f>$C$19*'Master Inputs'!$C$30*'Master Inputs'!$E$38</f>
        <v>90675</v>
      </c>
      <c r="H19" s="10">
        <f t="shared" ref="H19:H28" si="7">SUM(E19:G19)</f>
        <v>302250</v>
      </c>
      <c r="I19" s="19">
        <f>$C$19*'Master Inputs'!$C$31*'Master Inputs'!$C$39</f>
        <v>54405</v>
      </c>
      <c r="J19" s="19">
        <f>$C$19*'Master Inputs'!$C$31*'Master Inputs'!$D$39</f>
        <v>63472.499999999993</v>
      </c>
      <c r="K19" s="19">
        <f>$C$19*'Master Inputs'!$C$31*'Master Inputs'!$E$39</f>
        <v>63472.499999999993</v>
      </c>
      <c r="L19" s="10">
        <f t="shared" ref="L19:L28" si="8">SUM(I19:K19)</f>
        <v>181350</v>
      </c>
      <c r="M19" s="19">
        <f>$C$19*'Master Inputs'!$C$32*'Master Inputs'!$C$40</f>
        <v>148102.5</v>
      </c>
      <c r="N19" s="19">
        <f>$C$19*'Master Inputs'!$C$32*'Master Inputs'!$D$40</f>
        <v>126945</v>
      </c>
      <c r="O19" s="19">
        <f>$C$19*'Master Inputs'!$C$32*'Master Inputs'!$E$40</f>
        <v>148102.5</v>
      </c>
      <c r="P19" s="10">
        <f t="shared" ref="P19:P28" si="9">SUM(M19:O19)</f>
        <v>423150</v>
      </c>
      <c r="Q19" s="19">
        <f>$C$19*'Master Inputs'!$C$33*'Master Inputs'!$C$41</f>
        <v>120900</v>
      </c>
      <c r="R19" s="19">
        <f>$C$19*'Master Inputs'!$C$33*'Master Inputs'!$D$41</f>
        <v>90675</v>
      </c>
      <c r="S19" s="19">
        <f>$C$19*'Master Inputs'!$C$33*'Master Inputs'!$E$41</f>
        <v>90675</v>
      </c>
      <c r="T19" s="10">
        <f t="shared" ref="T19:T28" si="10">SUM(Q19:S19)</f>
        <v>302250</v>
      </c>
    </row>
    <row r="20" spans="1:20" x14ac:dyDescent="0.25">
      <c r="A20" s="26" t="s">
        <v>181</v>
      </c>
      <c r="B20" s="27" t="s">
        <v>182</v>
      </c>
      <c r="C20" s="19">
        <f>'Activity Costs'!C17*'Master Inputs'!$C$48*0.25</f>
        <v>3279412.5</v>
      </c>
      <c r="D20" s="18">
        <f t="shared" si="6"/>
        <v>1.8161204442012979E-2</v>
      </c>
      <c r="E20" s="19">
        <f>$C$20*'Master Inputs'!$C$30*'Master Inputs'!$C$38</f>
        <v>245955.9375</v>
      </c>
      <c r="F20" s="19">
        <f>$C$20*'Master Inputs'!$C$30*'Master Inputs'!$D$38</f>
        <v>327941.25</v>
      </c>
      <c r="G20" s="19">
        <f>$C$20*'Master Inputs'!$C$30*'Master Inputs'!$E$38</f>
        <v>245955.9375</v>
      </c>
      <c r="H20" s="10">
        <f t="shared" si="7"/>
        <v>819853.125</v>
      </c>
      <c r="I20" s="19">
        <f>$C$20*'Master Inputs'!$C$31*'Master Inputs'!$C$39</f>
        <v>147573.5625</v>
      </c>
      <c r="J20" s="19">
        <f>$C$20*'Master Inputs'!$C$31*'Master Inputs'!$D$39</f>
        <v>172169.15625</v>
      </c>
      <c r="K20" s="19">
        <f>$C$20*'Master Inputs'!$C$31*'Master Inputs'!$E$39</f>
        <v>172169.15625</v>
      </c>
      <c r="L20" s="10">
        <f t="shared" si="8"/>
        <v>491911.875</v>
      </c>
      <c r="M20" s="19">
        <f>$C$20*'Master Inputs'!$C$32*'Master Inputs'!$C$40</f>
        <v>401728.03125</v>
      </c>
      <c r="N20" s="19">
        <f>$C$20*'Master Inputs'!$C$32*'Master Inputs'!$D$40</f>
        <v>344338.3125</v>
      </c>
      <c r="O20" s="19">
        <f>$C$20*'Master Inputs'!$C$32*'Master Inputs'!$E$40</f>
        <v>401728.03125</v>
      </c>
      <c r="P20" s="10">
        <f t="shared" si="9"/>
        <v>1147794.375</v>
      </c>
      <c r="Q20" s="19">
        <f>$C$20*'Master Inputs'!$C$33*'Master Inputs'!$C$41</f>
        <v>327941.25</v>
      </c>
      <c r="R20" s="19">
        <f>$C$20*'Master Inputs'!$C$33*'Master Inputs'!$D$41</f>
        <v>245955.9375</v>
      </c>
      <c r="S20" s="19">
        <f>$C$20*'Master Inputs'!$C$33*'Master Inputs'!$E$41</f>
        <v>245955.9375</v>
      </c>
      <c r="T20" s="10">
        <f t="shared" si="10"/>
        <v>819853.125</v>
      </c>
    </row>
    <row r="21" spans="1:20" x14ac:dyDescent="0.25">
      <c r="A21" s="26" t="s">
        <v>183</v>
      </c>
      <c r="B21" s="27" t="s">
        <v>184</v>
      </c>
      <c r="C21" s="19">
        <f>'Activity Costs'!C18*'Master Inputs'!$C$48*0.2</f>
        <v>4030000</v>
      </c>
      <c r="D21" s="18">
        <f t="shared" si="6"/>
        <v>2.2317916364992908E-2</v>
      </c>
      <c r="E21" s="19">
        <f>$C$21*'Master Inputs'!$C$30*'Master Inputs'!$C$38</f>
        <v>302250</v>
      </c>
      <c r="F21" s="19">
        <f>$C$21*'Master Inputs'!$C$30*'Master Inputs'!$D$38</f>
        <v>403000</v>
      </c>
      <c r="G21" s="19">
        <f>$C$21*'Master Inputs'!$C$30*'Master Inputs'!$E$38</f>
        <v>302250</v>
      </c>
      <c r="H21" s="10">
        <f t="shared" si="7"/>
        <v>1007500</v>
      </c>
      <c r="I21" s="19">
        <f>$C$21*'Master Inputs'!$C$31*'Master Inputs'!$C$39</f>
        <v>181350</v>
      </c>
      <c r="J21" s="19">
        <f>$C$21*'Master Inputs'!$C$31*'Master Inputs'!$D$39</f>
        <v>211575</v>
      </c>
      <c r="K21" s="19">
        <f>$C$21*'Master Inputs'!$C$31*'Master Inputs'!$E$39</f>
        <v>211575</v>
      </c>
      <c r="L21" s="10">
        <f t="shared" si="8"/>
        <v>604500</v>
      </c>
      <c r="M21" s="19">
        <f>$C$21*'Master Inputs'!$C$32*'Master Inputs'!$C$40</f>
        <v>493674.99999999994</v>
      </c>
      <c r="N21" s="19">
        <f>$C$21*'Master Inputs'!$C$32*'Master Inputs'!$D$40</f>
        <v>423150</v>
      </c>
      <c r="O21" s="19">
        <f>$C$21*'Master Inputs'!$C$32*'Master Inputs'!$E$40</f>
        <v>493674.99999999994</v>
      </c>
      <c r="P21" s="10">
        <f t="shared" si="9"/>
        <v>1410500</v>
      </c>
      <c r="Q21" s="19">
        <f>$C$21*'Master Inputs'!$C$33*'Master Inputs'!$C$41</f>
        <v>403000</v>
      </c>
      <c r="R21" s="19">
        <f>$C$21*'Master Inputs'!$C$33*'Master Inputs'!$D$41</f>
        <v>302250</v>
      </c>
      <c r="S21" s="19">
        <f>$C$21*'Master Inputs'!$C$33*'Master Inputs'!$E$41</f>
        <v>302250</v>
      </c>
      <c r="T21" s="10">
        <f t="shared" si="10"/>
        <v>1007500</v>
      </c>
    </row>
    <row r="22" spans="1:20" x14ac:dyDescent="0.25">
      <c r="A22" s="26" t="s">
        <v>185</v>
      </c>
      <c r="B22" s="27" t="s">
        <v>186</v>
      </c>
      <c r="C22" s="19">
        <f>'Activity Costs'!C19*'Master Inputs'!$C$48*0.1</f>
        <v>8060000</v>
      </c>
      <c r="D22" s="18">
        <f t="shared" si="6"/>
        <v>4.4635832729985815E-2</v>
      </c>
      <c r="E22" s="19">
        <f>$C$22*'Master Inputs'!$C$30*'Master Inputs'!$C$38</f>
        <v>604500</v>
      </c>
      <c r="F22" s="19">
        <f>$C$22*'Master Inputs'!$C$30*'Master Inputs'!$D$38</f>
        <v>806000</v>
      </c>
      <c r="G22" s="19">
        <f>$C$22*'Master Inputs'!$C$30*'Master Inputs'!$E$38</f>
        <v>604500</v>
      </c>
      <c r="H22" s="10">
        <f t="shared" si="7"/>
        <v>2015000</v>
      </c>
      <c r="I22" s="19">
        <f>$C$22*'Master Inputs'!$C$31*'Master Inputs'!$C$39</f>
        <v>362700</v>
      </c>
      <c r="J22" s="19">
        <f>$C$22*'Master Inputs'!$C$31*'Master Inputs'!$D$39</f>
        <v>423150</v>
      </c>
      <c r="K22" s="19">
        <f>$C$22*'Master Inputs'!$C$31*'Master Inputs'!$E$39</f>
        <v>423150</v>
      </c>
      <c r="L22" s="10">
        <f t="shared" si="8"/>
        <v>1209000</v>
      </c>
      <c r="M22" s="19">
        <f>$C$22*'Master Inputs'!$C$32*'Master Inputs'!$C$40</f>
        <v>987349.99999999988</v>
      </c>
      <c r="N22" s="19">
        <f>$C$22*'Master Inputs'!$C$32*'Master Inputs'!$D$40</f>
        <v>846300</v>
      </c>
      <c r="O22" s="19">
        <f>$C$22*'Master Inputs'!$C$32*'Master Inputs'!$E$40</f>
        <v>987349.99999999988</v>
      </c>
      <c r="P22" s="10">
        <f t="shared" si="9"/>
        <v>2821000</v>
      </c>
      <c r="Q22" s="19">
        <f>$C$22*'Master Inputs'!$C$33*'Master Inputs'!$C$41</f>
        <v>806000</v>
      </c>
      <c r="R22" s="19">
        <f>$C$22*'Master Inputs'!$C$33*'Master Inputs'!$D$41</f>
        <v>604500</v>
      </c>
      <c r="S22" s="19">
        <f>$C$22*'Master Inputs'!$C$33*'Master Inputs'!$E$41</f>
        <v>604500</v>
      </c>
      <c r="T22" s="10">
        <f t="shared" si="10"/>
        <v>2015000</v>
      </c>
    </row>
    <row r="23" spans="1:20" x14ac:dyDescent="0.25">
      <c r="A23" s="26" t="s">
        <v>187</v>
      </c>
      <c r="B23" s="27" t="s">
        <v>188</v>
      </c>
      <c r="C23" s="19">
        <f>'Activity Costs'!C20*50*'Master Inputs'!$C$44*0.5*4</f>
        <v>14700000</v>
      </c>
      <c r="D23" s="18">
        <f t="shared" si="6"/>
        <v>8.1407784259403412E-2</v>
      </c>
      <c r="E23" s="19">
        <f>$C$23*'Master Inputs'!$C$30*'Master Inputs'!$C$38</f>
        <v>1102500</v>
      </c>
      <c r="F23" s="19">
        <f>$C$23*'Master Inputs'!$C$30*'Master Inputs'!$D$38</f>
        <v>1470000</v>
      </c>
      <c r="G23" s="19">
        <f>$C$23*'Master Inputs'!$C$30*'Master Inputs'!$E$38</f>
        <v>1102500</v>
      </c>
      <c r="H23" s="10">
        <f t="shared" si="7"/>
        <v>3675000</v>
      </c>
      <c r="I23" s="19">
        <f>$C$23*'Master Inputs'!$C$31*'Master Inputs'!$C$39</f>
        <v>661500</v>
      </c>
      <c r="J23" s="19">
        <f>$C$23*'Master Inputs'!$C$31*'Master Inputs'!$D$39</f>
        <v>771750</v>
      </c>
      <c r="K23" s="19">
        <f>$C$23*'Master Inputs'!$C$31*'Master Inputs'!$E$39</f>
        <v>771750</v>
      </c>
      <c r="L23" s="10">
        <f t="shared" si="8"/>
        <v>2205000</v>
      </c>
      <c r="M23" s="19">
        <f>$C$23*'Master Inputs'!$C$32*'Master Inputs'!$C$40</f>
        <v>1800750</v>
      </c>
      <c r="N23" s="19">
        <f>$C$23*'Master Inputs'!$C$32*'Master Inputs'!$D$40</f>
        <v>1543500</v>
      </c>
      <c r="O23" s="19">
        <f>$C$23*'Master Inputs'!$C$32*'Master Inputs'!$E$40</f>
        <v>1800750</v>
      </c>
      <c r="P23" s="10">
        <f t="shared" si="9"/>
        <v>5145000</v>
      </c>
      <c r="Q23" s="19">
        <f>$C$23*'Master Inputs'!$C$33*'Master Inputs'!$C$41</f>
        <v>1470000</v>
      </c>
      <c r="R23" s="19">
        <f>$C$23*'Master Inputs'!$C$33*'Master Inputs'!$D$41</f>
        <v>1102500</v>
      </c>
      <c r="S23" s="19">
        <f>$C$23*'Master Inputs'!$C$33*'Master Inputs'!$E$41</f>
        <v>1102500</v>
      </c>
      <c r="T23" s="10">
        <f t="shared" si="10"/>
        <v>3675000</v>
      </c>
    </row>
    <row r="24" spans="1:20" x14ac:dyDescent="0.25">
      <c r="A24" s="26" t="s">
        <v>189</v>
      </c>
      <c r="B24" s="27" t="s">
        <v>190</v>
      </c>
      <c r="C24" s="19">
        <f>'Activity Costs'!C21*50*'Master Inputs'!$C$44*4</f>
        <v>8400000</v>
      </c>
      <c r="D24" s="18">
        <f t="shared" si="6"/>
        <v>4.6518733862516239E-2</v>
      </c>
      <c r="E24" s="19">
        <f>$C$24*'Master Inputs'!$C$30*'Master Inputs'!$C$38</f>
        <v>630000</v>
      </c>
      <c r="F24" s="19">
        <f>$C$24*'Master Inputs'!$C$30*'Master Inputs'!$D$38</f>
        <v>840000</v>
      </c>
      <c r="G24" s="19">
        <f>$C$24*'Master Inputs'!$C$30*'Master Inputs'!$E$38</f>
        <v>630000</v>
      </c>
      <c r="H24" s="10">
        <f t="shared" si="7"/>
        <v>2100000</v>
      </c>
      <c r="I24" s="19">
        <f>$C$24*'Master Inputs'!$C$31*'Master Inputs'!$C$39</f>
        <v>378000</v>
      </c>
      <c r="J24" s="19">
        <f>$C$24*'Master Inputs'!$C$31*'Master Inputs'!$D$39</f>
        <v>441000</v>
      </c>
      <c r="K24" s="19">
        <f>$C$24*'Master Inputs'!$C$31*'Master Inputs'!$E$39</f>
        <v>441000</v>
      </c>
      <c r="L24" s="10">
        <f t="shared" si="8"/>
        <v>1260000</v>
      </c>
      <c r="M24" s="19">
        <f>$C$24*'Master Inputs'!$C$32*'Master Inputs'!$C$40</f>
        <v>1028999.9999999999</v>
      </c>
      <c r="N24" s="19">
        <f>$C$24*'Master Inputs'!$C$32*'Master Inputs'!$D$40</f>
        <v>882000</v>
      </c>
      <c r="O24" s="19">
        <f>$C$24*'Master Inputs'!$C$32*'Master Inputs'!$E$40</f>
        <v>1028999.9999999999</v>
      </c>
      <c r="P24" s="10">
        <f t="shared" si="9"/>
        <v>2940000</v>
      </c>
      <c r="Q24" s="19">
        <f>$C$24*'Master Inputs'!$C$33*'Master Inputs'!$C$41</f>
        <v>840000</v>
      </c>
      <c r="R24" s="19">
        <f>$C$24*'Master Inputs'!$C$33*'Master Inputs'!$D$41</f>
        <v>630000</v>
      </c>
      <c r="S24" s="19">
        <f>$C$24*'Master Inputs'!$C$33*'Master Inputs'!$E$41</f>
        <v>630000</v>
      </c>
      <c r="T24" s="10">
        <f t="shared" si="10"/>
        <v>2100000</v>
      </c>
    </row>
    <row r="25" spans="1:20" x14ac:dyDescent="0.25">
      <c r="A25" s="26" t="s">
        <v>191</v>
      </c>
      <c r="B25" s="27" t="s">
        <v>192</v>
      </c>
      <c r="C25" s="19">
        <f>'Activity Costs'!C22*30*'Master Inputs'!$C$44*4</f>
        <v>1512000</v>
      </c>
      <c r="D25" s="18">
        <f t="shared" si="6"/>
        <v>8.3733720952529223E-3</v>
      </c>
      <c r="E25" s="19">
        <f>$C$25*'Master Inputs'!$C$30*'Master Inputs'!$C$38</f>
        <v>113400</v>
      </c>
      <c r="F25" s="19">
        <f>$C$25*'Master Inputs'!$C$30*'Master Inputs'!$D$38</f>
        <v>151200</v>
      </c>
      <c r="G25" s="19">
        <f>$C$25*'Master Inputs'!$C$30*'Master Inputs'!$E$38</f>
        <v>113400</v>
      </c>
      <c r="H25" s="10">
        <f t="shared" si="7"/>
        <v>378000</v>
      </c>
      <c r="I25" s="19">
        <f>$C$25*'Master Inputs'!$C$31*'Master Inputs'!$C$39</f>
        <v>68040</v>
      </c>
      <c r="J25" s="19">
        <f>$C$25*'Master Inputs'!$C$31*'Master Inputs'!$D$39</f>
        <v>79380</v>
      </c>
      <c r="K25" s="19">
        <f>$C$25*'Master Inputs'!$C$31*'Master Inputs'!$E$39</f>
        <v>79380</v>
      </c>
      <c r="L25" s="10">
        <f t="shared" si="8"/>
        <v>226800</v>
      </c>
      <c r="M25" s="19">
        <f>$C$25*'Master Inputs'!$C$32*'Master Inputs'!$C$40</f>
        <v>185220</v>
      </c>
      <c r="N25" s="19">
        <f>$C$25*'Master Inputs'!$C$32*'Master Inputs'!$D$40</f>
        <v>158760</v>
      </c>
      <c r="O25" s="19">
        <f>$C$25*'Master Inputs'!$C$32*'Master Inputs'!$E$40</f>
        <v>185220</v>
      </c>
      <c r="P25" s="10">
        <f t="shared" si="9"/>
        <v>529200</v>
      </c>
      <c r="Q25" s="19">
        <f>$C$25*'Master Inputs'!$C$33*'Master Inputs'!$C$41</f>
        <v>151200</v>
      </c>
      <c r="R25" s="19">
        <f>$C$25*'Master Inputs'!$C$33*'Master Inputs'!$D$41</f>
        <v>113400</v>
      </c>
      <c r="S25" s="19">
        <f>$C$25*'Master Inputs'!$C$33*'Master Inputs'!$E$41</f>
        <v>113400</v>
      </c>
      <c r="T25" s="10">
        <f t="shared" si="10"/>
        <v>378000</v>
      </c>
    </row>
    <row r="26" spans="1:20" x14ac:dyDescent="0.25">
      <c r="A26" s="26" t="s">
        <v>193</v>
      </c>
      <c r="B26" s="27" t="s">
        <v>194</v>
      </c>
      <c r="C26" s="19">
        <f>'Activity Costs'!C23*'Master Inputs'!$C$48</f>
        <v>806000</v>
      </c>
      <c r="D26" s="18">
        <f t="shared" si="6"/>
        <v>4.4635832729985813E-3</v>
      </c>
      <c r="E26" s="19">
        <f>$C$26*'Master Inputs'!$C$30*'Master Inputs'!$C$38</f>
        <v>60450</v>
      </c>
      <c r="F26" s="19">
        <f>$C$26*'Master Inputs'!$C$30*'Master Inputs'!$D$38</f>
        <v>80600</v>
      </c>
      <c r="G26" s="19">
        <f>$C$26*'Master Inputs'!$C$30*'Master Inputs'!$E$38</f>
        <v>60450</v>
      </c>
      <c r="H26" s="10">
        <f t="shared" si="7"/>
        <v>201500</v>
      </c>
      <c r="I26" s="19">
        <f>$C$26*'Master Inputs'!$C$31*'Master Inputs'!$C$39</f>
        <v>36270</v>
      </c>
      <c r="J26" s="19">
        <f>$C$26*'Master Inputs'!$C$31*'Master Inputs'!$D$39</f>
        <v>42315</v>
      </c>
      <c r="K26" s="19">
        <f>$C$26*'Master Inputs'!$C$31*'Master Inputs'!$E$39</f>
        <v>42315</v>
      </c>
      <c r="L26" s="10">
        <f t="shared" si="8"/>
        <v>120900</v>
      </c>
      <c r="M26" s="19">
        <f>$C$26*'Master Inputs'!$C$32*'Master Inputs'!$C$40</f>
        <v>98735</v>
      </c>
      <c r="N26" s="19">
        <f>$C$26*'Master Inputs'!$C$32*'Master Inputs'!$D$40</f>
        <v>84630</v>
      </c>
      <c r="O26" s="19">
        <f>$C$26*'Master Inputs'!$C$32*'Master Inputs'!$E$40</f>
        <v>98735</v>
      </c>
      <c r="P26" s="10">
        <f t="shared" si="9"/>
        <v>282100</v>
      </c>
      <c r="Q26" s="19">
        <f>$C$26*'Master Inputs'!$C$33*'Master Inputs'!$C$41</f>
        <v>80600</v>
      </c>
      <c r="R26" s="19">
        <f>$C$26*'Master Inputs'!$C$33*'Master Inputs'!$D$41</f>
        <v>60450</v>
      </c>
      <c r="S26" s="19">
        <f>$C$26*'Master Inputs'!$C$33*'Master Inputs'!$E$41</f>
        <v>60450</v>
      </c>
      <c r="T26" s="10">
        <f t="shared" si="10"/>
        <v>201500</v>
      </c>
    </row>
    <row r="27" spans="1:20" x14ac:dyDescent="0.25">
      <c r="A27" s="26" t="s">
        <v>195</v>
      </c>
      <c r="B27" s="27" t="s">
        <v>196</v>
      </c>
      <c r="C27" s="19">
        <f>'Activity Costs'!C25*'Master Inputs'!$C$44</f>
        <v>126000</v>
      </c>
      <c r="D27" s="18">
        <f t="shared" si="6"/>
        <v>6.9778100793774353E-4</v>
      </c>
      <c r="E27" s="19">
        <f>$C$27*'Master Inputs'!$C$30*'Master Inputs'!$C$38</f>
        <v>9450</v>
      </c>
      <c r="F27" s="19">
        <f>$C$27*'Master Inputs'!$C$30*'Master Inputs'!$D$38</f>
        <v>12600</v>
      </c>
      <c r="G27" s="19">
        <f>$C$27*'Master Inputs'!$C$30*'Master Inputs'!$E$38</f>
        <v>9450</v>
      </c>
      <c r="H27" s="10">
        <f t="shared" si="7"/>
        <v>31500</v>
      </c>
      <c r="I27" s="19">
        <f>$C$27*'Master Inputs'!$C$31*'Master Inputs'!$C$39</f>
        <v>5670</v>
      </c>
      <c r="J27" s="19">
        <f>$C$27*'Master Inputs'!$C$31*'Master Inputs'!$D$39</f>
        <v>6615</v>
      </c>
      <c r="K27" s="19">
        <f>$C$27*'Master Inputs'!$C$31*'Master Inputs'!$E$39</f>
        <v>6615</v>
      </c>
      <c r="L27" s="10">
        <f t="shared" si="8"/>
        <v>18900</v>
      </c>
      <c r="M27" s="19">
        <f>$C$27*'Master Inputs'!$C$32*'Master Inputs'!$C$40</f>
        <v>15434.999999999998</v>
      </c>
      <c r="N27" s="19">
        <f>$C$27*'Master Inputs'!$C$32*'Master Inputs'!$D$40</f>
        <v>13230</v>
      </c>
      <c r="O27" s="19">
        <f>$C$27*'Master Inputs'!$C$32*'Master Inputs'!$E$40</f>
        <v>15434.999999999998</v>
      </c>
      <c r="P27" s="10">
        <f t="shared" si="9"/>
        <v>44100</v>
      </c>
      <c r="Q27" s="19">
        <f>$C$27*'Master Inputs'!$C$33*'Master Inputs'!$C$41</f>
        <v>12600</v>
      </c>
      <c r="R27" s="19">
        <f>$C$27*'Master Inputs'!$C$33*'Master Inputs'!$D$41</f>
        <v>9450</v>
      </c>
      <c r="S27" s="19">
        <f>$C$27*'Master Inputs'!$C$33*'Master Inputs'!$E$41</f>
        <v>9450</v>
      </c>
      <c r="T27" s="10">
        <f t="shared" si="10"/>
        <v>31500</v>
      </c>
    </row>
    <row r="28" spans="1:20" x14ac:dyDescent="0.25">
      <c r="A28" s="26" t="s">
        <v>197</v>
      </c>
      <c r="B28" s="27" t="s">
        <v>198</v>
      </c>
      <c r="C28" s="19">
        <f>'Activity Costs'!C27*'Master Inputs'!$C$44</f>
        <v>4200000</v>
      </c>
      <c r="D28" s="18">
        <f t="shared" si="6"/>
        <v>2.3259366931258119E-2</v>
      </c>
      <c r="E28" s="19">
        <f>$C$28*'Master Inputs'!$C$30*'Master Inputs'!$C$38</f>
        <v>315000</v>
      </c>
      <c r="F28" s="19">
        <f>$C$28*'Master Inputs'!$C$30*'Master Inputs'!$D$38</f>
        <v>420000</v>
      </c>
      <c r="G28" s="19">
        <f>$C$28*'Master Inputs'!$C$30*'Master Inputs'!$E$38</f>
        <v>315000</v>
      </c>
      <c r="H28" s="10">
        <f t="shared" si="7"/>
        <v>1050000</v>
      </c>
      <c r="I28" s="19">
        <f>$C$28*'Master Inputs'!$C$31*'Master Inputs'!$C$39</f>
        <v>189000</v>
      </c>
      <c r="J28" s="19">
        <f>$C$28*'Master Inputs'!$C$31*'Master Inputs'!$D$39</f>
        <v>220500</v>
      </c>
      <c r="K28" s="19">
        <f>$C$28*'Master Inputs'!$C$31*'Master Inputs'!$E$39</f>
        <v>220500</v>
      </c>
      <c r="L28" s="10">
        <f t="shared" si="8"/>
        <v>630000</v>
      </c>
      <c r="M28" s="19">
        <f>$C$28*'Master Inputs'!$C$32*'Master Inputs'!$C$40</f>
        <v>514499.99999999994</v>
      </c>
      <c r="N28" s="19">
        <f>$C$28*'Master Inputs'!$C$32*'Master Inputs'!$D$40</f>
        <v>441000</v>
      </c>
      <c r="O28" s="19">
        <f>$C$28*'Master Inputs'!$C$32*'Master Inputs'!$E$40</f>
        <v>514499.99999999994</v>
      </c>
      <c r="P28" s="10">
        <f t="shared" si="9"/>
        <v>1470000</v>
      </c>
      <c r="Q28" s="19">
        <f>$C$28*'Master Inputs'!$C$33*'Master Inputs'!$C$41</f>
        <v>420000</v>
      </c>
      <c r="R28" s="19">
        <f>$C$28*'Master Inputs'!$C$33*'Master Inputs'!$D$41</f>
        <v>315000</v>
      </c>
      <c r="S28" s="19">
        <f>$C$28*'Master Inputs'!$C$33*'Master Inputs'!$E$41</f>
        <v>315000</v>
      </c>
      <c r="T28" s="10">
        <f t="shared" si="10"/>
        <v>1050000</v>
      </c>
    </row>
    <row r="29" spans="1:20" x14ac:dyDescent="0.25">
      <c r="A29" s="9" t="s">
        <v>199</v>
      </c>
      <c r="B29" s="9"/>
      <c r="C29" s="10">
        <f>SUM(C19:C28)</f>
        <v>46322412.5</v>
      </c>
      <c r="D29" s="25">
        <f t="shared" si="6"/>
        <v>0.25653094987585662</v>
      </c>
      <c r="E29" s="10">
        <f t="shared" ref="E29:T29" si="11">SUM(E19:E28)</f>
        <v>3474180.9375</v>
      </c>
      <c r="F29" s="10">
        <f t="shared" si="11"/>
        <v>4632241.25</v>
      </c>
      <c r="G29" s="10">
        <f t="shared" si="11"/>
        <v>3474180.9375</v>
      </c>
      <c r="H29" s="10">
        <f t="shared" si="11"/>
        <v>11580603.125</v>
      </c>
      <c r="I29" s="10">
        <f t="shared" si="11"/>
        <v>2084508.5625</v>
      </c>
      <c r="J29" s="10">
        <f t="shared" si="11"/>
        <v>2431926.65625</v>
      </c>
      <c r="K29" s="10">
        <f t="shared" si="11"/>
        <v>2431926.65625</v>
      </c>
      <c r="L29" s="10">
        <f t="shared" si="11"/>
        <v>6948361.875</v>
      </c>
      <c r="M29" s="10">
        <f t="shared" si="11"/>
        <v>5674495.53125</v>
      </c>
      <c r="N29" s="10">
        <f t="shared" si="11"/>
        <v>4863853.3125</v>
      </c>
      <c r="O29" s="10">
        <f t="shared" si="11"/>
        <v>5674495.53125</v>
      </c>
      <c r="P29" s="10">
        <f t="shared" si="11"/>
        <v>16212844.375</v>
      </c>
      <c r="Q29" s="10">
        <f t="shared" si="11"/>
        <v>4632241.25</v>
      </c>
      <c r="R29" s="10">
        <f t="shared" si="11"/>
        <v>3474180.9375</v>
      </c>
      <c r="S29" s="10">
        <f t="shared" si="11"/>
        <v>3474180.9375</v>
      </c>
      <c r="T29" s="10">
        <f t="shared" si="11"/>
        <v>11580603.125</v>
      </c>
    </row>
    <row r="31" spans="1:20" ht="15.75" x14ac:dyDescent="0.25">
      <c r="A31" s="28" t="s">
        <v>200</v>
      </c>
      <c r="B31" s="29"/>
      <c r="C31" s="30">
        <f>C16+C29</f>
        <v>180572412.5</v>
      </c>
      <c r="D31" s="31" t="s">
        <v>26</v>
      </c>
      <c r="E31" s="30">
        <f t="shared" ref="E31:T31" si="12">E16+E29</f>
        <v>13542930.9375</v>
      </c>
      <c r="F31" s="30">
        <f t="shared" si="12"/>
        <v>18057241.25</v>
      </c>
      <c r="G31" s="30">
        <f t="shared" si="12"/>
        <v>13542930.9375</v>
      </c>
      <c r="H31" s="30">
        <f t="shared" si="12"/>
        <v>45143103.125</v>
      </c>
      <c r="I31" s="30">
        <f t="shared" si="12"/>
        <v>8125758.5625</v>
      </c>
      <c r="J31" s="30">
        <f t="shared" si="12"/>
        <v>9480051.65625</v>
      </c>
      <c r="K31" s="30">
        <f t="shared" si="12"/>
        <v>9480051.65625</v>
      </c>
      <c r="L31" s="30">
        <f t="shared" si="12"/>
        <v>27085861.875</v>
      </c>
      <c r="M31" s="30">
        <f t="shared" si="12"/>
        <v>22120120.53125</v>
      </c>
      <c r="N31" s="30">
        <f t="shared" si="12"/>
        <v>18960103.3125</v>
      </c>
      <c r="O31" s="30">
        <f t="shared" si="12"/>
        <v>22120120.53125</v>
      </c>
      <c r="P31" s="30">
        <f t="shared" si="12"/>
        <v>63200344.375</v>
      </c>
      <c r="Q31" s="30">
        <f t="shared" si="12"/>
        <v>18057241.25</v>
      </c>
      <c r="R31" s="30">
        <f t="shared" si="12"/>
        <v>13542930.9375</v>
      </c>
      <c r="S31" s="30">
        <f t="shared" si="12"/>
        <v>13542930.9375</v>
      </c>
      <c r="T31" s="30">
        <f t="shared" si="12"/>
        <v>45143103.125</v>
      </c>
    </row>
    <row r="32" spans="1:20" x14ac:dyDescent="0.25">
      <c r="A32" s="15" t="s">
        <v>201</v>
      </c>
      <c r="C32" s="6">
        <f>'Master Inputs'!$C$13</f>
        <v>28500000</v>
      </c>
    </row>
    <row r="33" spans="1:3" x14ac:dyDescent="0.25">
      <c r="A33" s="15" t="s">
        <v>202</v>
      </c>
      <c r="C33" s="6">
        <f>C32-C31</f>
        <v>-152072412.5</v>
      </c>
    </row>
    <row r="34" spans="1:3" x14ac:dyDescent="0.25">
      <c r="A34" s="15" t="s">
        <v>203</v>
      </c>
      <c r="C34" s="7">
        <f>IF(C32=0,0,C31/C32)</f>
        <v>6.3358741228070175</v>
      </c>
    </row>
  </sheetData>
  <mergeCells count="3">
    <mergeCell ref="A1:T1"/>
    <mergeCell ref="A18:T18"/>
    <mergeCell ref="A5:T5"/>
  </mergeCells>
  <conditionalFormatting sqref="C33">
    <cfRule type="cellIs" dxfId="15" priority="1" operator="lessThan">
      <formula>0</formula>
    </cfRule>
    <cfRule type="cellIs" dxfId="14" priority="2" operator="greaterThanOrEqual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T27"/>
  <sheetViews>
    <sheetView workbookViewId="0">
      <selection sqref="A1:T1"/>
    </sheetView>
  </sheetViews>
  <sheetFormatPr defaultRowHeight="15" x14ac:dyDescent="0.25"/>
  <cols>
    <col min="1" max="1" width="35" customWidth="1"/>
    <col min="2" max="2" width="20" customWidth="1"/>
    <col min="3" max="3" width="15" customWidth="1"/>
    <col min="4" max="4" width="8" customWidth="1"/>
    <col min="5" max="7" width="12" customWidth="1"/>
    <col min="8" max="8" width="14" customWidth="1"/>
    <col min="9" max="11" width="12" customWidth="1"/>
    <col min="12" max="12" width="14" customWidth="1"/>
    <col min="13" max="15" width="12" customWidth="1"/>
    <col min="16" max="16" width="14" customWidth="1"/>
    <col min="17" max="19" width="12" customWidth="1"/>
    <col min="20" max="20" width="14" customWidth="1"/>
  </cols>
  <sheetData>
    <row r="1" spans="1:20" ht="18.75" x14ac:dyDescent="0.3">
      <c r="A1" s="49" t="s">
        <v>204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</row>
    <row r="2" spans="1:20" x14ac:dyDescent="0.25">
      <c r="A2" s="15" t="s">
        <v>134</v>
      </c>
      <c r="B2" s="19">
        <f>'Master Inputs'!$C$15</f>
        <v>11400000</v>
      </c>
    </row>
    <row r="4" spans="1:20" ht="30" x14ac:dyDescent="0.25">
      <c r="A4" s="20" t="s">
        <v>137</v>
      </c>
      <c r="B4" s="20" t="s">
        <v>138</v>
      </c>
      <c r="C4" s="20" t="s">
        <v>139</v>
      </c>
      <c r="D4" s="20" t="s">
        <v>10</v>
      </c>
      <c r="E4" s="20" t="s">
        <v>140</v>
      </c>
      <c r="F4" s="20" t="s">
        <v>141</v>
      </c>
      <c r="G4" s="20" t="s">
        <v>142</v>
      </c>
      <c r="H4" s="20" t="s">
        <v>143</v>
      </c>
      <c r="I4" s="20" t="s">
        <v>144</v>
      </c>
      <c r="J4" s="20" t="s">
        <v>145</v>
      </c>
      <c r="K4" s="20" t="s">
        <v>146</v>
      </c>
      <c r="L4" s="20" t="s">
        <v>147</v>
      </c>
      <c r="M4" s="20" t="s">
        <v>148</v>
      </c>
      <c r="N4" s="20" t="s">
        <v>149</v>
      </c>
      <c r="O4" s="20" t="s">
        <v>150</v>
      </c>
      <c r="P4" s="20" t="s">
        <v>151</v>
      </c>
      <c r="Q4" s="20" t="s">
        <v>152</v>
      </c>
      <c r="R4" s="20" t="s">
        <v>153</v>
      </c>
      <c r="S4" s="20" t="s">
        <v>154</v>
      </c>
      <c r="T4" s="20" t="s">
        <v>155</v>
      </c>
    </row>
    <row r="5" spans="1:20" x14ac:dyDescent="0.25">
      <c r="A5" s="50" t="s">
        <v>156</v>
      </c>
      <c r="B5" s="51"/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</row>
    <row r="6" spans="1:20" x14ac:dyDescent="0.25">
      <c r="A6" s="21" t="s">
        <v>157</v>
      </c>
      <c r="B6" s="22" t="s">
        <v>205</v>
      </c>
      <c r="C6" s="23">
        <f>'Activity Costs'!C5*'Master Inputs'!$C$59*15000</f>
        <v>27000000</v>
      </c>
      <c r="D6" s="24">
        <f>IF(C$24=0,0,C6/C$24)</f>
        <v>0.38070299430519083</v>
      </c>
      <c r="E6" s="23">
        <f>$C$6*'Master Inputs'!$C$30*'Master Inputs'!$C$38</f>
        <v>2025000</v>
      </c>
      <c r="F6" s="23">
        <f>$C$6*'Master Inputs'!$C$30*'Master Inputs'!$D$38</f>
        <v>2700000</v>
      </c>
      <c r="G6" s="23">
        <f>$C$6*'Master Inputs'!$C$30*'Master Inputs'!$E$38</f>
        <v>2025000</v>
      </c>
      <c r="H6" s="10">
        <f>SUM(E6:G6)</f>
        <v>6750000</v>
      </c>
      <c r="I6" s="23">
        <f>$C$6*'Master Inputs'!$C$31*'Master Inputs'!$C$39</f>
        <v>1215000</v>
      </c>
      <c r="J6" s="23">
        <f>$C$6*'Master Inputs'!$C$31*'Master Inputs'!$D$39</f>
        <v>1417500</v>
      </c>
      <c r="K6" s="23">
        <f>$C$6*'Master Inputs'!$C$31*'Master Inputs'!$E$39</f>
        <v>1417500</v>
      </c>
      <c r="L6" s="10">
        <f>SUM(I6:K6)</f>
        <v>4050000</v>
      </c>
      <c r="M6" s="23">
        <f>$C$6*'Master Inputs'!$C$32*'Master Inputs'!$C$40</f>
        <v>3307500</v>
      </c>
      <c r="N6" s="23">
        <f>$C$6*'Master Inputs'!$C$32*'Master Inputs'!$D$40</f>
        <v>2835000</v>
      </c>
      <c r="O6" s="23">
        <f>$C$6*'Master Inputs'!$C$32*'Master Inputs'!$E$40</f>
        <v>3307500</v>
      </c>
      <c r="P6" s="10">
        <f>SUM(M6:O6)</f>
        <v>9450000</v>
      </c>
      <c r="Q6" s="23">
        <f>$C$6*'Master Inputs'!$C$33*'Master Inputs'!$C$41</f>
        <v>2700000</v>
      </c>
      <c r="R6" s="23">
        <f>$C$6*'Master Inputs'!$C$33*'Master Inputs'!$D$41</f>
        <v>2025000</v>
      </c>
      <c r="S6" s="23">
        <f>$C$6*'Master Inputs'!$C$33*'Master Inputs'!$E$41</f>
        <v>2025000</v>
      </c>
      <c r="T6" s="10">
        <f>SUM(Q6:S6)</f>
        <v>6750000</v>
      </c>
    </row>
    <row r="7" spans="1:20" x14ac:dyDescent="0.25">
      <c r="A7" s="21" t="s">
        <v>206</v>
      </c>
      <c r="B7" s="22" t="s">
        <v>207</v>
      </c>
      <c r="C7" s="23">
        <f>'Activity Costs'!C8*2</f>
        <v>1000000</v>
      </c>
      <c r="D7" s="24">
        <f>IF(C$24=0,0,C7/C$24)</f>
        <v>1.4100110900192251E-2</v>
      </c>
      <c r="E7" s="23">
        <f>$C$7*'Master Inputs'!$C$30*'Master Inputs'!$C$38</f>
        <v>75000</v>
      </c>
      <c r="F7" s="23">
        <f>$C$7*'Master Inputs'!$C$30*'Master Inputs'!$D$38</f>
        <v>100000</v>
      </c>
      <c r="G7" s="23">
        <f>$C$7*'Master Inputs'!$C$30*'Master Inputs'!$E$38</f>
        <v>75000</v>
      </c>
      <c r="H7" s="10">
        <f>SUM(E7:G7)</f>
        <v>250000</v>
      </c>
      <c r="I7" s="23">
        <f>$C$7*'Master Inputs'!$C$31*'Master Inputs'!$C$39</f>
        <v>45000</v>
      </c>
      <c r="J7" s="23">
        <f>$C$7*'Master Inputs'!$C$31*'Master Inputs'!$D$39</f>
        <v>52500</v>
      </c>
      <c r="K7" s="23">
        <f>$C$7*'Master Inputs'!$C$31*'Master Inputs'!$E$39</f>
        <v>52500</v>
      </c>
      <c r="L7" s="10">
        <f>SUM(I7:K7)</f>
        <v>150000</v>
      </c>
      <c r="M7" s="23">
        <f>$C$7*'Master Inputs'!$C$32*'Master Inputs'!$C$40</f>
        <v>122499.99999999999</v>
      </c>
      <c r="N7" s="23">
        <f>$C$7*'Master Inputs'!$C$32*'Master Inputs'!$D$40</f>
        <v>105000</v>
      </c>
      <c r="O7" s="23">
        <f>$C$7*'Master Inputs'!$C$32*'Master Inputs'!$E$40</f>
        <v>122499.99999999999</v>
      </c>
      <c r="P7" s="10">
        <f>SUM(M7:O7)</f>
        <v>350000</v>
      </c>
      <c r="Q7" s="23">
        <f>$C$7*'Master Inputs'!$C$33*'Master Inputs'!$C$41</f>
        <v>100000</v>
      </c>
      <c r="R7" s="23">
        <f>$C$7*'Master Inputs'!$C$33*'Master Inputs'!$D$41</f>
        <v>75000</v>
      </c>
      <c r="S7" s="23">
        <f>$C$7*'Master Inputs'!$C$33*'Master Inputs'!$E$41</f>
        <v>75000</v>
      </c>
      <c r="T7" s="10">
        <f>SUM(Q7:S7)</f>
        <v>250000</v>
      </c>
    </row>
    <row r="8" spans="1:20" x14ac:dyDescent="0.25">
      <c r="A8" s="21" t="s">
        <v>208</v>
      </c>
      <c r="B8" s="22" t="s">
        <v>209</v>
      </c>
      <c r="C8" s="23">
        <f>'Activity Costs'!C9*4</f>
        <v>2000000</v>
      </c>
      <c r="D8" s="24">
        <f>IF(C$24=0,0,C8/C$24)</f>
        <v>2.8200221800384503E-2</v>
      </c>
      <c r="E8" s="23">
        <f>$C$8*'Master Inputs'!$C$30*'Master Inputs'!$C$38</f>
        <v>150000</v>
      </c>
      <c r="F8" s="23">
        <f>$C$8*'Master Inputs'!$C$30*'Master Inputs'!$D$38</f>
        <v>200000</v>
      </c>
      <c r="G8" s="23">
        <f>$C$8*'Master Inputs'!$C$30*'Master Inputs'!$E$38</f>
        <v>150000</v>
      </c>
      <c r="H8" s="10">
        <f>SUM(E8:G8)</f>
        <v>500000</v>
      </c>
      <c r="I8" s="23">
        <f>$C$8*'Master Inputs'!$C$31*'Master Inputs'!$C$39</f>
        <v>90000</v>
      </c>
      <c r="J8" s="23">
        <f>$C$8*'Master Inputs'!$C$31*'Master Inputs'!$D$39</f>
        <v>105000</v>
      </c>
      <c r="K8" s="23">
        <f>$C$8*'Master Inputs'!$C$31*'Master Inputs'!$E$39</f>
        <v>105000</v>
      </c>
      <c r="L8" s="10">
        <f>SUM(I8:K8)</f>
        <v>300000</v>
      </c>
      <c r="M8" s="23">
        <f>$C$8*'Master Inputs'!$C$32*'Master Inputs'!$C$40</f>
        <v>244999.99999999997</v>
      </c>
      <c r="N8" s="23">
        <f>$C$8*'Master Inputs'!$C$32*'Master Inputs'!$D$40</f>
        <v>210000</v>
      </c>
      <c r="O8" s="23">
        <f>$C$8*'Master Inputs'!$C$32*'Master Inputs'!$E$40</f>
        <v>244999.99999999997</v>
      </c>
      <c r="P8" s="10">
        <f>SUM(M8:O8)</f>
        <v>700000</v>
      </c>
      <c r="Q8" s="23">
        <f>$C$8*'Master Inputs'!$C$33*'Master Inputs'!$C$41</f>
        <v>200000</v>
      </c>
      <c r="R8" s="23">
        <f>$C$8*'Master Inputs'!$C$33*'Master Inputs'!$D$41</f>
        <v>150000</v>
      </c>
      <c r="S8" s="23">
        <f>$C$8*'Master Inputs'!$C$33*'Master Inputs'!$E$41</f>
        <v>150000</v>
      </c>
      <c r="T8" s="10">
        <f>SUM(Q8:S8)</f>
        <v>500000</v>
      </c>
    </row>
    <row r="9" spans="1:20" x14ac:dyDescent="0.25">
      <c r="A9" s="9" t="s">
        <v>177</v>
      </c>
      <c r="B9" s="9"/>
      <c r="C9" s="10">
        <f>SUM(C6:C8)</f>
        <v>30000000</v>
      </c>
      <c r="D9" s="25">
        <f>IF(C$24=0,0,C9/C$24)</f>
        <v>0.42300332700576759</v>
      </c>
      <c r="E9" s="10">
        <f t="shared" ref="E9:T9" si="0">SUM(E6:E8)</f>
        <v>2250000</v>
      </c>
      <c r="F9" s="10">
        <f t="shared" si="0"/>
        <v>3000000</v>
      </c>
      <c r="G9" s="10">
        <f t="shared" si="0"/>
        <v>2250000</v>
      </c>
      <c r="H9" s="10">
        <f t="shared" si="0"/>
        <v>7500000</v>
      </c>
      <c r="I9" s="10">
        <f t="shared" si="0"/>
        <v>1350000</v>
      </c>
      <c r="J9" s="10">
        <f t="shared" si="0"/>
        <v>1575000</v>
      </c>
      <c r="K9" s="10">
        <f t="shared" si="0"/>
        <v>1575000</v>
      </c>
      <c r="L9" s="10">
        <f t="shared" si="0"/>
        <v>4500000</v>
      </c>
      <c r="M9" s="10">
        <f t="shared" si="0"/>
        <v>3675000</v>
      </c>
      <c r="N9" s="10">
        <f t="shared" si="0"/>
        <v>3150000</v>
      </c>
      <c r="O9" s="10">
        <f t="shared" si="0"/>
        <v>3675000</v>
      </c>
      <c r="P9" s="10">
        <f t="shared" si="0"/>
        <v>10500000</v>
      </c>
      <c r="Q9" s="10">
        <f t="shared" si="0"/>
        <v>3000000</v>
      </c>
      <c r="R9" s="10">
        <f t="shared" si="0"/>
        <v>2250000</v>
      </c>
      <c r="S9" s="10">
        <f t="shared" si="0"/>
        <v>2250000</v>
      </c>
      <c r="T9" s="10">
        <f t="shared" si="0"/>
        <v>7500000</v>
      </c>
    </row>
    <row r="11" spans="1:20" x14ac:dyDescent="0.25">
      <c r="A11" s="50" t="s">
        <v>178</v>
      </c>
      <c r="B11" s="51"/>
      <c r="C11" s="51"/>
      <c r="D11" s="51"/>
      <c r="E11" s="51"/>
      <c r="F11" s="51"/>
      <c r="G11" s="51"/>
      <c r="H11" s="51"/>
      <c r="I11" s="51"/>
      <c r="J11" s="51"/>
      <c r="K11" s="51"/>
      <c r="L11" s="51"/>
      <c r="M11" s="51"/>
      <c r="N11" s="51"/>
      <c r="O11" s="51"/>
      <c r="P11" s="51"/>
      <c r="Q11" s="51"/>
      <c r="R11" s="51"/>
      <c r="S11" s="51"/>
      <c r="T11" s="51"/>
    </row>
    <row r="12" spans="1:20" x14ac:dyDescent="0.25">
      <c r="A12" s="26" t="s">
        <v>179</v>
      </c>
      <c r="B12" s="27" t="s">
        <v>210</v>
      </c>
      <c r="C12" s="19">
        <f>'Activity Costs'!C16*'Master Inputs'!$C$56*'Master Inputs'!$C$62*0.4</f>
        <v>457920</v>
      </c>
      <c r="D12" s="18">
        <f t="shared" ref="D12:D22" si="1">IF(C$24=0,0,C12/C$24)</f>
        <v>6.4567227834160358E-3</v>
      </c>
      <c r="E12" s="19">
        <f>$C$12*'Master Inputs'!$C$30*'Master Inputs'!$C$38</f>
        <v>34344</v>
      </c>
      <c r="F12" s="19">
        <f>$C$12*'Master Inputs'!$C$30*'Master Inputs'!$D$38</f>
        <v>45792</v>
      </c>
      <c r="G12" s="19">
        <f>$C$12*'Master Inputs'!$C$30*'Master Inputs'!$E$38</f>
        <v>34344</v>
      </c>
      <c r="H12" s="10">
        <f t="shared" ref="H12:H21" si="2">SUM(E12:G12)</f>
        <v>114480</v>
      </c>
      <c r="I12" s="19">
        <f>$C$12*'Master Inputs'!$C$31*'Master Inputs'!$C$39</f>
        <v>20606.399999999998</v>
      </c>
      <c r="J12" s="19">
        <f>$C$12*'Master Inputs'!$C$31*'Master Inputs'!$D$39</f>
        <v>24040.799999999999</v>
      </c>
      <c r="K12" s="19">
        <f>$C$12*'Master Inputs'!$C$31*'Master Inputs'!$E$39</f>
        <v>24040.799999999999</v>
      </c>
      <c r="L12" s="10">
        <f t="shared" ref="L12:L21" si="3">SUM(I12:K12)</f>
        <v>68688</v>
      </c>
      <c r="M12" s="19">
        <f>$C$12*'Master Inputs'!$C$32*'Master Inputs'!$C$40</f>
        <v>56095.199999999997</v>
      </c>
      <c r="N12" s="19">
        <f>$C$12*'Master Inputs'!$C$32*'Master Inputs'!$D$40</f>
        <v>48081.599999999999</v>
      </c>
      <c r="O12" s="19">
        <f>$C$12*'Master Inputs'!$C$32*'Master Inputs'!$E$40</f>
        <v>56095.199999999997</v>
      </c>
      <c r="P12" s="10">
        <f t="shared" ref="P12:P21" si="4">SUM(M12:O12)</f>
        <v>160272</v>
      </c>
      <c r="Q12" s="19">
        <f>$C$12*'Master Inputs'!$C$33*'Master Inputs'!$C$41</f>
        <v>45792</v>
      </c>
      <c r="R12" s="19">
        <f>$C$12*'Master Inputs'!$C$33*'Master Inputs'!$D$41</f>
        <v>34344</v>
      </c>
      <c r="S12" s="19">
        <f>$C$12*'Master Inputs'!$C$33*'Master Inputs'!$E$41</f>
        <v>34344</v>
      </c>
      <c r="T12" s="10">
        <f t="shared" ref="T12:T21" si="5">SUM(Q12:S12)</f>
        <v>114480</v>
      </c>
    </row>
    <row r="13" spans="1:20" x14ac:dyDescent="0.25">
      <c r="A13" s="26" t="s">
        <v>181</v>
      </c>
      <c r="B13" s="27" t="s">
        <v>211</v>
      </c>
      <c r="C13" s="19">
        <f>'Activity Costs'!C17*'Master Inputs'!$C$56*'Master Inputs'!$C$62*0.2</f>
        <v>1242108</v>
      </c>
      <c r="D13" s="18">
        <f t="shared" si="1"/>
        <v>1.7513860550015997E-2</v>
      </c>
      <c r="E13" s="19">
        <f>$C$13*'Master Inputs'!$C$30*'Master Inputs'!$C$38</f>
        <v>93158.099999999991</v>
      </c>
      <c r="F13" s="19">
        <f>$C$13*'Master Inputs'!$C$30*'Master Inputs'!$D$38</f>
        <v>124210.8</v>
      </c>
      <c r="G13" s="19">
        <f>$C$13*'Master Inputs'!$C$30*'Master Inputs'!$E$38</f>
        <v>93158.099999999991</v>
      </c>
      <c r="H13" s="10">
        <f t="shared" si="2"/>
        <v>310527</v>
      </c>
      <c r="I13" s="19">
        <f>$C$13*'Master Inputs'!$C$31*'Master Inputs'!$C$39</f>
        <v>55894.859999999993</v>
      </c>
      <c r="J13" s="19">
        <f>$C$13*'Master Inputs'!$C$31*'Master Inputs'!$D$39</f>
        <v>65210.669999999991</v>
      </c>
      <c r="K13" s="19">
        <f>$C$13*'Master Inputs'!$C$31*'Master Inputs'!$E$39</f>
        <v>65210.669999999991</v>
      </c>
      <c r="L13" s="10">
        <f t="shared" si="3"/>
        <v>186316.19999999998</v>
      </c>
      <c r="M13" s="19">
        <f>$C$13*'Master Inputs'!$C$32*'Master Inputs'!$C$40</f>
        <v>152158.22999999998</v>
      </c>
      <c r="N13" s="19">
        <f>$C$13*'Master Inputs'!$C$32*'Master Inputs'!$D$40</f>
        <v>130421.34</v>
      </c>
      <c r="O13" s="19">
        <f>$C$13*'Master Inputs'!$C$32*'Master Inputs'!$E$40</f>
        <v>152158.22999999998</v>
      </c>
      <c r="P13" s="10">
        <f t="shared" si="4"/>
        <v>434737.79999999993</v>
      </c>
      <c r="Q13" s="19">
        <f>$C$13*'Master Inputs'!$C$33*'Master Inputs'!$C$41</f>
        <v>124210.8</v>
      </c>
      <c r="R13" s="19">
        <f>$C$13*'Master Inputs'!$C$33*'Master Inputs'!$D$41</f>
        <v>93158.099999999991</v>
      </c>
      <c r="S13" s="19">
        <f>$C$13*'Master Inputs'!$C$33*'Master Inputs'!$E$41</f>
        <v>93158.099999999991</v>
      </c>
      <c r="T13" s="10">
        <f t="shared" si="5"/>
        <v>310527</v>
      </c>
    </row>
    <row r="14" spans="1:20" x14ac:dyDescent="0.25">
      <c r="A14" s="26" t="s">
        <v>183</v>
      </c>
      <c r="B14" s="27" t="s">
        <v>212</v>
      </c>
      <c r="C14" s="19">
        <f>'Activity Costs'!C18*'Master Inputs'!$C$56*'Master Inputs'!$C$62*0.15</f>
        <v>1431000</v>
      </c>
      <c r="D14" s="18">
        <f t="shared" si="1"/>
        <v>2.0177258698175111E-2</v>
      </c>
      <c r="E14" s="19">
        <f>$C$14*'Master Inputs'!$C$30*'Master Inputs'!$C$38</f>
        <v>107325</v>
      </c>
      <c r="F14" s="19">
        <f>$C$14*'Master Inputs'!$C$30*'Master Inputs'!$D$38</f>
        <v>143100</v>
      </c>
      <c r="G14" s="19">
        <f>$C$14*'Master Inputs'!$C$30*'Master Inputs'!$E$38</f>
        <v>107325</v>
      </c>
      <c r="H14" s="10">
        <f t="shared" si="2"/>
        <v>357750</v>
      </c>
      <c r="I14" s="19">
        <f>$C$14*'Master Inputs'!$C$31*'Master Inputs'!$C$39</f>
        <v>64395</v>
      </c>
      <c r="J14" s="19">
        <f>$C$14*'Master Inputs'!$C$31*'Master Inputs'!$D$39</f>
        <v>75127.5</v>
      </c>
      <c r="K14" s="19">
        <f>$C$14*'Master Inputs'!$C$31*'Master Inputs'!$E$39</f>
        <v>75127.5</v>
      </c>
      <c r="L14" s="10">
        <f t="shared" si="3"/>
        <v>214650</v>
      </c>
      <c r="M14" s="19">
        <f>$C$14*'Master Inputs'!$C$32*'Master Inputs'!$C$40</f>
        <v>175297.49999999997</v>
      </c>
      <c r="N14" s="19">
        <f>$C$14*'Master Inputs'!$C$32*'Master Inputs'!$D$40</f>
        <v>150254.99999999997</v>
      </c>
      <c r="O14" s="19">
        <f>$C$14*'Master Inputs'!$C$32*'Master Inputs'!$E$40</f>
        <v>175297.49999999997</v>
      </c>
      <c r="P14" s="10">
        <f t="shared" si="4"/>
        <v>500849.99999999988</v>
      </c>
      <c r="Q14" s="19">
        <f>$C$14*'Master Inputs'!$C$33*'Master Inputs'!$C$41</f>
        <v>143100</v>
      </c>
      <c r="R14" s="19">
        <f>$C$14*'Master Inputs'!$C$33*'Master Inputs'!$D$41</f>
        <v>107325</v>
      </c>
      <c r="S14" s="19">
        <f>$C$14*'Master Inputs'!$C$33*'Master Inputs'!$E$41</f>
        <v>107325</v>
      </c>
      <c r="T14" s="10">
        <f t="shared" si="5"/>
        <v>357750</v>
      </c>
    </row>
    <row r="15" spans="1:20" x14ac:dyDescent="0.25">
      <c r="A15" s="26" t="s">
        <v>187</v>
      </c>
      <c r="B15" s="27" t="s">
        <v>213</v>
      </c>
      <c r="C15" s="19">
        <f>'Activity Costs'!C20*50*'Master Inputs'!$C$52*'Master Inputs'!$C$62*4</f>
        <v>23520000</v>
      </c>
      <c r="D15" s="18">
        <f t="shared" si="1"/>
        <v>0.33163460837252179</v>
      </c>
      <c r="E15" s="19">
        <f>$C$15*'Master Inputs'!$C$30*'Master Inputs'!$C$38</f>
        <v>1764000</v>
      </c>
      <c r="F15" s="19">
        <f>$C$15*'Master Inputs'!$C$30*'Master Inputs'!$D$38</f>
        <v>2352000</v>
      </c>
      <c r="G15" s="19">
        <f>$C$15*'Master Inputs'!$C$30*'Master Inputs'!$E$38</f>
        <v>1764000</v>
      </c>
      <c r="H15" s="10">
        <f t="shared" si="2"/>
        <v>5880000</v>
      </c>
      <c r="I15" s="19">
        <f>$C$15*'Master Inputs'!$C$31*'Master Inputs'!$C$39</f>
        <v>1058400</v>
      </c>
      <c r="J15" s="19">
        <f>$C$15*'Master Inputs'!$C$31*'Master Inputs'!$D$39</f>
        <v>1234800</v>
      </c>
      <c r="K15" s="19">
        <f>$C$15*'Master Inputs'!$C$31*'Master Inputs'!$E$39</f>
        <v>1234800</v>
      </c>
      <c r="L15" s="10">
        <f t="shared" si="3"/>
        <v>3528000</v>
      </c>
      <c r="M15" s="19">
        <f>$C$15*'Master Inputs'!$C$32*'Master Inputs'!$C$40</f>
        <v>2881199.9999999995</v>
      </c>
      <c r="N15" s="19">
        <f>$C$15*'Master Inputs'!$C$32*'Master Inputs'!$D$40</f>
        <v>2469599.9999999995</v>
      </c>
      <c r="O15" s="19">
        <f>$C$15*'Master Inputs'!$C$32*'Master Inputs'!$E$40</f>
        <v>2881199.9999999995</v>
      </c>
      <c r="P15" s="10">
        <f t="shared" si="4"/>
        <v>8231999.9999999981</v>
      </c>
      <c r="Q15" s="19">
        <f>$C$15*'Master Inputs'!$C$33*'Master Inputs'!$C$41</f>
        <v>2352000</v>
      </c>
      <c r="R15" s="19">
        <f>$C$15*'Master Inputs'!$C$33*'Master Inputs'!$D$41</f>
        <v>1764000</v>
      </c>
      <c r="S15" s="19">
        <f>$C$15*'Master Inputs'!$C$33*'Master Inputs'!$E$41</f>
        <v>1764000</v>
      </c>
      <c r="T15" s="10">
        <f t="shared" si="5"/>
        <v>5880000</v>
      </c>
    </row>
    <row r="16" spans="1:20" x14ac:dyDescent="0.25">
      <c r="A16" s="26" t="s">
        <v>189</v>
      </c>
      <c r="B16" s="27" t="s">
        <v>213</v>
      </c>
      <c r="C16" s="19">
        <f>'Activity Costs'!C21*50*'Master Inputs'!$C$52*'Master Inputs'!$C$62*4</f>
        <v>6720000</v>
      </c>
      <c r="D16" s="18">
        <f t="shared" si="1"/>
        <v>9.4752745249291934E-2</v>
      </c>
      <c r="E16" s="19">
        <f>$C$16*'Master Inputs'!$C$30*'Master Inputs'!$C$38</f>
        <v>504000</v>
      </c>
      <c r="F16" s="19">
        <f>$C$16*'Master Inputs'!$C$30*'Master Inputs'!$D$38</f>
        <v>672000</v>
      </c>
      <c r="G16" s="19">
        <f>$C$16*'Master Inputs'!$C$30*'Master Inputs'!$E$38</f>
        <v>504000</v>
      </c>
      <c r="H16" s="10">
        <f t="shared" si="2"/>
        <v>1680000</v>
      </c>
      <c r="I16" s="19">
        <f>$C$16*'Master Inputs'!$C$31*'Master Inputs'!$C$39</f>
        <v>302400</v>
      </c>
      <c r="J16" s="19">
        <f>$C$16*'Master Inputs'!$C$31*'Master Inputs'!$D$39</f>
        <v>352800</v>
      </c>
      <c r="K16" s="19">
        <f>$C$16*'Master Inputs'!$C$31*'Master Inputs'!$E$39</f>
        <v>352800</v>
      </c>
      <c r="L16" s="10">
        <f t="shared" si="3"/>
        <v>1008000</v>
      </c>
      <c r="M16" s="19">
        <f>$C$16*'Master Inputs'!$C$32*'Master Inputs'!$C$40</f>
        <v>823200</v>
      </c>
      <c r="N16" s="19">
        <f>$C$16*'Master Inputs'!$C$32*'Master Inputs'!$D$40</f>
        <v>705600</v>
      </c>
      <c r="O16" s="19">
        <f>$C$16*'Master Inputs'!$C$32*'Master Inputs'!$E$40</f>
        <v>823200</v>
      </c>
      <c r="P16" s="10">
        <f t="shared" si="4"/>
        <v>2352000</v>
      </c>
      <c r="Q16" s="19">
        <f>$C$16*'Master Inputs'!$C$33*'Master Inputs'!$C$41</f>
        <v>672000</v>
      </c>
      <c r="R16" s="19">
        <f>$C$16*'Master Inputs'!$C$33*'Master Inputs'!$D$41</f>
        <v>504000</v>
      </c>
      <c r="S16" s="19">
        <f>$C$16*'Master Inputs'!$C$33*'Master Inputs'!$E$41</f>
        <v>504000</v>
      </c>
      <c r="T16" s="10">
        <f t="shared" si="5"/>
        <v>1680000</v>
      </c>
    </row>
    <row r="17" spans="1:20" x14ac:dyDescent="0.25">
      <c r="A17" s="26" t="s">
        <v>191</v>
      </c>
      <c r="B17" s="27" t="s">
        <v>214</v>
      </c>
      <c r="C17" s="19">
        <f>'Activity Costs'!C22*30*'Master Inputs'!$C$52*'Master Inputs'!$C$62*4</f>
        <v>1209600</v>
      </c>
      <c r="D17" s="18">
        <f t="shared" si="1"/>
        <v>1.7055494144872549E-2</v>
      </c>
      <c r="E17" s="19">
        <f>$C$17*'Master Inputs'!$C$30*'Master Inputs'!$C$38</f>
        <v>90720</v>
      </c>
      <c r="F17" s="19">
        <f>$C$17*'Master Inputs'!$C$30*'Master Inputs'!$D$38</f>
        <v>120960</v>
      </c>
      <c r="G17" s="19">
        <f>$C$17*'Master Inputs'!$C$30*'Master Inputs'!$E$38</f>
        <v>90720</v>
      </c>
      <c r="H17" s="10">
        <f t="shared" si="2"/>
        <v>302400</v>
      </c>
      <c r="I17" s="19">
        <f>$C$17*'Master Inputs'!$C$31*'Master Inputs'!$C$39</f>
        <v>54432</v>
      </c>
      <c r="J17" s="19">
        <f>$C$17*'Master Inputs'!$C$31*'Master Inputs'!$D$39</f>
        <v>63503.999999999993</v>
      </c>
      <c r="K17" s="19">
        <f>$C$17*'Master Inputs'!$C$31*'Master Inputs'!$E$39</f>
        <v>63503.999999999993</v>
      </c>
      <c r="L17" s="10">
        <f t="shared" si="3"/>
        <v>181440</v>
      </c>
      <c r="M17" s="19">
        <f>$C$17*'Master Inputs'!$C$32*'Master Inputs'!$C$40</f>
        <v>148176</v>
      </c>
      <c r="N17" s="19">
        <f>$C$17*'Master Inputs'!$C$32*'Master Inputs'!$D$40</f>
        <v>127008</v>
      </c>
      <c r="O17" s="19">
        <f>$C$17*'Master Inputs'!$C$32*'Master Inputs'!$E$40</f>
        <v>148176</v>
      </c>
      <c r="P17" s="10">
        <f t="shared" si="4"/>
        <v>423360</v>
      </c>
      <c r="Q17" s="19">
        <f>$C$17*'Master Inputs'!$C$33*'Master Inputs'!$C$41</f>
        <v>120960</v>
      </c>
      <c r="R17" s="19">
        <f>$C$17*'Master Inputs'!$C$33*'Master Inputs'!$D$41</f>
        <v>90720</v>
      </c>
      <c r="S17" s="19">
        <f>$C$17*'Master Inputs'!$C$33*'Master Inputs'!$E$41</f>
        <v>90720</v>
      </c>
      <c r="T17" s="10">
        <f t="shared" si="5"/>
        <v>302400</v>
      </c>
    </row>
    <row r="18" spans="1:20" x14ac:dyDescent="0.25">
      <c r="A18" s="26" t="s">
        <v>215</v>
      </c>
      <c r="B18" s="27" t="s">
        <v>216</v>
      </c>
      <c r="C18" s="19">
        <f>'Activity Costs'!C24*'Master Inputs'!$C$59*5</f>
        <v>900000</v>
      </c>
      <c r="D18" s="18">
        <f t="shared" si="1"/>
        <v>1.2690099810173027E-2</v>
      </c>
      <c r="E18" s="19">
        <f>$C$18*'Master Inputs'!$C$30*'Master Inputs'!$C$38</f>
        <v>67500</v>
      </c>
      <c r="F18" s="19">
        <f>$C$18*'Master Inputs'!$C$30*'Master Inputs'!$D$38</f>
        <v>90000</v>
      </c>
      <c r="G18" s="19">
        <f>$C$18*'Master Inputs'!$C$30*'Master Inputs'!$E$38</f>
        <v>67500</v>
      </c>
      <c r="H18" s="10">
        <f t="shared" si="2"/>
        <v>225000</v>
      </c>
      <c r="I18" s="19">
        <f>$C$18*'Master Inputs'!$C$31*'Master Inputs'!$C$39</f>
        <v>40500</v>
      </c>
      <c r="J18" s="19">
        <f>$C$18*'Master Inputs'!$C$31*'Master Inputs'!$D$39</f>
        <v>47250</v>
      </c>
      <c r="K18" s="19">
        <f>$C$18*'Master Inputs'!$C$31*'Master Inputs'!$E$39</f>
        <v>47250</v>
      </c>
      <c r="L18" s="10">
        <f t="shared" si="3"/>
        <v>135000</v>
      </c>
      <c r="M18" s="19">
        <f>$C$18*'Master Inputs'!$C$32*'Master Inputs'!$C$40</f>
        <v>110250</v>
      </c>
      <c r="N18" s="19">
        <f>$C$18*'Master Inputs'!$C$32*'Master Inputs'!$D$40</f>
        <v>94500</v>
      </c>
      <c r="O18" s="19">
        <f>$C$18*'Master Inputs'!$C$32*'Master Inputs'!$E$40</f>
        <v>110250</v>
      </c>
      <c r="P18" s="10">
        <f t="shared" si="4"/>
        <v>315000</v>
      </c>
      <c r="Q18" s="19">
        <f>$C$18*'Master Inputs'!$C$33*'Master Inputs'!$C$41</f>
        <v>90000</v>
      </c>
      <c r="R18" s="19">
        <f>$C$18*'Master Inputs'!$C$33*'Master Inputs'!$D$41</f>
        <v>67500</v>
      </c>
      <c r="S18" s="19">
        <f>$C$18*'Master Inputs'!$C$33*'Master Inputs'!$E$41</f>
        <v>67500</v>
      </c>
      <c r="T18" s="10">
        <f t="shared" si="5"/>
        <v>225000</v>
      </c>
    </row>
    <row r="19" spans="1:20" x14ac:dyDescent="0.25">
      <c r="A19" s="26" t="s">
        <v>195</v>
      </c>
      <c r="B19" s="27" t="s">
        <v>217</v>
      </c>
      <c r="C19" s="19">
        <f>'Activity Costs'!C25*'Master Inputs'!$C$52*'Master Inputs'!$C$62</f>
        <v>100800</v>
      </c>
      <c r="D19" s="18">
        <f t="shared" si="1"/>
        <v>1.4212911787393791E-3</v>
      </c>
      <c r="E19" s="19">
        <f>$C$19*'Master Inputs'!$C$30*'Master Inputs'!$C$38</f>
        <v>7560</v>
      </c>
      <c r="F19" s="19">
        <f>$C$19*'Master Inputs'!$C$30*'Master Inputs'!$D$38</f>
        <v>10080</v>
      </c>
      <c r="G19" s="19">
        <f>$C$19*'Master Inputs'!$C$30*'Master Inputs'!$E$38</f>
        <v>7560</v>
      </c>
      <c r="H19" s="10">
        <f t="shared" si="2"/>
        <v>25200</v>
      </c>
      <c r="I19" s="19">
        <f>$C$19*'Master Inputs'!$C$31*'Master Inputs'!$C$39</f>
        <v>4536</v>
      </c>
      <c r="J19" s="19">
        <f>$C$19*'Master Inputs'!$C$31*'Master Inputs'!$D$39</f>
        <v>5292</v>
      </c>
      <c r="K19" s="19">
        <f>$C$19*'Master Inputs'!$C$31*'Master Inputs'!$E$39</f>
        <v>5292</v>
      </c>
      <c r="L19" s="10">
        <f t="shared" si="3"/>
        <v>15120</v>
      </c>
      <c r="M19" s="19">
        <f>$C$19*'Master Inputs'!$C$32*'Master Inputs'!$C$40</f>
        <v>12348</v>
      </c>
      <c r="N19" s="19">
        <f>$C$19*'Master Inputs'!$C$32*'Master Inputs'!$D$40</f>
        <v>10584</v>
      </c>
      <c r="O19" s="19">
        <f>$C$19*'Master Inputs'!$C$32*'Master Inputs'!$E$40</f>
        <v>12348</v>
      </c>
      <c r="P19" s="10">
        <f t="shared" si="4"/>
        <v>35280</v>
      </c>
      <c r="Q19" s="19">
        <f>$C$19*'Master Inputs'!$C$33*'Master Inputs'!$C$41</f>
        <v>10080</v>
      </c>
      <c r="R19" s="19">
        <f>$C$19*'Master Inputs'!$C$33*'Master Inputs'!$D$41</f>
        <v>7560</v>
      </c>
      <c r="S19" s="19">
        <f>$C$19*'Master Inputs'!$C$33*'Master Inputs'!$E$41</f>
        <v>7560</v>
      </c>
      <c r="T19" s="10">
        <f t="shared" si="5"/>
        <v>25200</v>
      </c>
    </row>
    <row r="20" spans="1:20" x14ac:dyDescent="0.25">
      <c r="A20" s="26" t="s">
        <v>218</v>
      </c>
      <c r="B20" s="27" t="s">
        <v>219</v>
      </c>
      <c r="C20" s="19">
        <f>'Activity Costs'!C28*'Master Inputs'!$C$57*'Master Inputs'!$C$62*4</f>
        <v>4958400</v>
      </c>
      <c r="D20" s="18">
        <f t="shared" si="1"/>
        <v>6.9913989887513267E-2</v>
      </c>
      <c r="E20" s="19">
        <f>$C$20*'Master Inputs'!$C$30*'Master Inputs'!$C$38</f>
        <v>371880</v>
      </c>
      <c r="F20" s="19">
        <f>$C$20*'Master Inputs'!$C$30*'Master Inputs'!$D$38</f>
        <v>495840</v>
      </c>
      <c r="G20" s="19">
        <f>$C$20*'Master Inputs'!$C$30*'Master Inputs'!$E$38</f>
        <v>371880</v>
      </c>
      <c r="H20" s="10">
        <f t="shared" si="2"/>
        <v>1239600</v>
      </c>
      <c r="I20" s="19">
        <f>$C$20*'Master Inputs'!$C$31*'Master Inputs'!$C$39</f>
        <v>223128</v>
      </c>
      <c r="J20" s="19">
        <f>$C$20*'Master Inputs'!$C$31*'Master Inputs'!$D$39</f>
        <v>260315.99999999997</v>
      </c>
      <c r="K20" s="19">
        <f>$C$20*'Master Inputs'!$C$31*'Master Inputs'!$E$39</f>
        <v>260315.99999999997</v>
      </c>
      <c r="L20" s="10">
        <f t="shared" si="3"/>
        <v>743760</v>
      </c>
      <c r="M20" s="19">
        <f>$C$20*'Master Inputs'!$C$32*'Master Inputs'!$C$40</f>
        <v>607404</v>
      </c>
      <c r="N20" s="19">
        <f>$C$20*'Master Inputs'!$C$32*'Master Inputs'!$D$40</f>
        <v>520632</v>
      </c>
      <c r="O20" s="19">
        <f>$C$20*'Master Inputs'!$C$32*'Master Inputs'!$E$40</f>
        <v>607404</v>
      </c>
      <c r="P20" s="10">
        <f t="shared" si="4"/>
        <v>1735440</v>
      </c>
      <c r="Q20" s="19">
        <f>$C$20*'Master Inputs'!$C$33*'Master Inputs'!$C$41</f>
        <v>495840</v>
      </c>
      <c r="R20" s="19">
        <f>$C$20*'Master Inputs'!$C$33*'Master Inputs'!$D$41</f>
        <v>371880</v>
      </c>
      <c r="S20" s="19">
        <f>$C$20*'Master Inputs'!$C$33*'Master Inputs'!$E$41</f>
        <v>371880</v>
      </c>
      <c r="T20" s="10">
        <f t="shared" si="5"/>
        <v>1239600</v>
      </c>
    </row>
    <row r="21" spans="1:20" x14ac:dyDescent="0.25">
      <c r="A21" s="26" t="s">
        <v>193</v>
      </c>
      <c r="B21" s="27" t="s">
        <v>220</v>
      </c>
      <c r="C21" s="19">
        <f>'Activity Costs'!C23*'Master Inputs'!$C$56*'Master Inputs'!$C$62</f>
        <v>381600</v>
      </c>
      <c r="D21" s="18">
        <f t="shared" si="1"/>
        <v>5.3806023195133636E-3</v>
      </c>
      <c r="E21" s="19">
        <f>$C$21*'Master Inputs'!$C$30*'Master Inputs'!$C$38</f>
        <v>28620</v>
      </c>
      <c r="F21" s="19">
        <f>$C$21*'Master Inputs'!$C$30*'Master Inputs'!$D$38</f>
        <v>38160</v>
      </c>
      <c r="G21" s="19">
        <f>$C$21*'Master Inputs'!$C$30*'Master Inputs'!$E$38</f>
        <v>28620</v>
      </c>
      <c r="H21" s="10">
        <f t="shared" si="2"/>
        <v>95400</v>
      </c>
      <c r="I21" s="19">
        <f>$C$21*'Master Inputs'!$C$31*'Master Inputs'!$C$39</f>
        <v>17172</v>
      </c>
      <c r="J21" s="19">
        <f>$C$21*'Master Inputs'!$C$31*'Master Inputs'!$D$39</f>
        <v>20034</v>
      </c>
      <c r="K21" s="19">
        <f>$C$21*'Master Inputs'!$C$31*'Master Inputs'!$E$39</f>
        <v>20034</v>
      </c>
      <c r="L21" s="10">
        <f t="shared" si="3"/>
        <v>57240</v>
      </c>
      <c r="M21" s="19">
        <f>$C$21*'Master Inputs'!$C$32*'Master Inputs'!$C$40</f>
        <v>46746</v>
      </c>
      <c r="N21" s="19">
        <f>$C$21*'Master Inputs'!$C$32*'Master Inputs'!$D$40</f>
        <v>40068</v>
      </c>
      <c r="O21" s="19">
        <f>$C$21*'Master Inputs'!$C$32*'Master Inputs'!$E$40</f>
        <v>46746</v>
      </c>
      <c r="P21" s="10">
        <f t="shared" si="4"/>
        <v>133560</v>
      </c>
      <c r="Q21" s="19">
        <f>$C$21*'Master Inputs'!$C$33*'Master Inputs'!$C$41</f>
        <v>38160</v>
      </c>
      <c r="R21" s="19">
        <f>$C$21*'Master Inputs'!$C$33*'Master Inputs'!$D$41</f>
        <v>28620</v>
      </c>
      <c r="S21" s="19">
        <f>$C$21*'Master Inputs'!$C$33*'Master Inputs'!$E$41</f>
        <v>28620</v>
      </c>
      <c r="T21" s="10">
        <f t="shared" si="5"/>
        <v>95400</v>
      </c>
    </row>
    <row r="22" spans="1:20" x14ac:dyDescent="0.25">
      <c r="A22" s="9" t="s">
        <v>199</v>
      </c>
      <c r="B22" s="9"/>
      <c r="C22" s="10">
        <f>SUM(C12:C21)</f>
        <v>40921428</v>
      </c>
      <c r="D22" s="25">
        <f t="shared" si="1"/>
        <v>0.57699667299423241</v>
      </c>
      <c r="E22" s="10">
        <f t="shared" ref="E22:T22" si="6">SUM(E12:E21)</f>
        <v>3069107.1</v>
      </c>
      <c r="F22" s="10">
        <f t="shared" si="6"/>
        <v>4092142.8</v>
      </c>
      <c r="G22" s="10">
        <f t="shared" si="6"/>
        <v>3069107.1</v>
      </c>
      <c r="H22" s="10">
        <f t="shared" si="6"/>
        <v>10230357</v>
      </c>
      <c r="I22" s="10">
        <f t="shared" si="6"/>
        <v>1841464.26</v>
      </c>
      <c r="J22" s="10">
        <f t="shared" si="6"/>
        <v>2148374.9699999997</v>
      </c>
      <c r="K22" s="10">
        <f t="shared" si="6"/>
        <v>2148374.9699999997</v>
      </c>
      <c r="L22" s="10">
        <f t="shared" si="6"/>
        <v>6138214.2000000002</v>
      </c>
      <c r="M22" s="10">
        <f t="shared" si="6"/>
        <v>5012874.93</v>
      </c>
      <c r="N22" s="10">
        <f t="shared" si="6"/>
        <v>4296749.9399999995</v>
      </c>
      <c r="O22" s="10">
        <f t="shared" si="6"/>
        <v>5012874.93</v>
      </c>
      <c r="P22" s="10">
        <f t="shared" si="6"/>
        <v>14322499.799999997</v>
      </c>
      <c r="Q22" s="10">
        <f t="shared" si="6"/>
        <v>4092142.8</v>
      </c>
      <c r="R22" s="10">
        <f t="shared" si="6"/>
        <v>3069107.1</v>
      </c>
      <c r="S22" s="10">
        <f t="shared" si="6"/>
        <v>3069107.1</v>
      </c>
      <c r="T22" s="10">
        <f t="shared" si="6"/>
        <v>10230357</v>
      </c>
    </row>
    <row r="24" spans="1:20" ht="15.75" x14ac:dyDescent="0.25">
      <c r="A24" s="28" t="s">
        <v>200</v>
      </c>
      <c r="B24" s="29"/>
      <c r="C24" s="30">
        <f>C9+C22</f>
        <v>70921428</v>
      </c>
      <c r="D24" s="31" t="s">
        <v>26</v>
      </c>
      <c r="E24" s="30">
        <f t="shared" ref="E24:T24" si="7">E9+E22</f>
        <v>5319107.0999999996</v>
      </c>
      <c r="F24" s="30">
        <f t="shared" si="7"/>
        <v>7092142.7999999998</v>
      </c>
      <c r="G24" s="30">
        <f t="shared" si="7"/>
        <v>5319107.0999999996</v>
      </c>
      <c r="H24" s="30">
        <f t="shared" si="7"/>
        <v>17730357</v>
      </c>
      <c r="I24" s="30">
        <f t="shared" si="7"/>
        <v>3191464.26</v>
      </c>
      <c r="J24" s="30">
        <f t="shared" si="7"/>
        <v>3723374.9699999997</v>
      </c>
      <c r="K24" s="30">
        <f t="shared" si="7"/>
        <v>3723374.9699999997</v>
      </c>
      <c r="L24" s="30">
        <f t="shared" si="7"/>
        <v>10638214.199999999</v>
      </c>
      <c r="M24" s="30">
        <f t="shared" si="7"/>
        <v>8687874.9299999997</v>
      </c>
      <c r="N24" s="30">
        <f t="shared" si="7"/>
        <v>7446749.9399999995</v>
      </c>
      <c r="O24" s="30">
        <f t="shared" si="7"/>
        <v>8687874.9299999997</v>
      </c>
      <c r="P24" s="30">
        <f t="shared" si="7"/>
        <v>24822499.799999997</v>
      </c>
      <c r="Q24" s="30">
        <f t="shared" si="7"/>
        <v>7092142.7999999998</v>
      </c>
      <c r="R24" s="30">
        <f t="shared" si="7"/>
        <v>5319107.0999999996</v>
      </c>
      <c r="S24" s="30">
        <f t="shared" si="7"/>
        <v>5319107.0999999996</v>
      </c>
      <c r="T24" s="30">
        <f t="shared" si="7"/>
        <v>17730357</v>
      </c>
    </row>
    <row r="25" spans="1:20" x14ac:dyDescent="0.25">
      <c r="A25" s="15" t="s">
        <v>201</v>
      </c>
      <c r="C25" s="6">
        <f>'Master Inputs'!$C$15</f>
        <v>11400000</v>
      </c>
    </row>
    <row r="26" spans="1:20" x14ac:dyDescent="0.25">
      <c r="A26" s="15" t="s">
        <v>202</v>
      </c>
      <c r="C26" s="6">
        <f>C25-C24</f>
        <v>-59521428</v>
      </c>
    </row>
    <row r="27" spans="1:20" x14ac:dyDescent="0.25">
      <c r="A27" s="15" t="s">
        <v>203</v>
      </c>
      <c r="C27" s="7">
        <f>IF(C25=0,0,C24/C25)</f>
        <v>6.2211778947368419</v>
      </c>
    </row>
  </sheetData>
  <mergeCells count="3">
    <mergeCell ref="A1:T1"/>
    <mergeCell ref="A11:T11"/>
    <mergeCell ref="A5:T5"/>
  </mergeCells>
  <conditionalFormatting sqref="C26">
    <cfRule type="cellIs" dxfId="13" priority="1" operator="lessThan">
      <formula>0</formula>
    </cfRule>
    <cfRule type="cellIs" dxfId="12" priority="2" operator="greaterThanOrEqual">
      <formula>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600"/>
  </sheetPr>
  <dimension ref="A1:T29"/>
  <sheetViews>
    <sheetView tabSelected="1" topLeftCell="B2" workbookViewId="0">
      <selection sqref="A1:T1"/>
    </sheetView>
  </sheetViews>
  <sheetFormatPr defaultRowHeight="15" x14ac:dyDescent="0.25"/>
  <cols>
    <col min="1" max="1" width="35" customWidth="1"/>
    <col min="2" max="2" width="20" customWidth="1"/>
    <col min="3" max="3" width="15" customWidth="1"/>
    <col min="4" max="4" width="8" customWidth="1"/>
    <col min="5" max="7" width="12" customWidth="1"/>
    <col min="8" max="8" width="14" customWidth="1"/>
    <col min="9" max="11" width="12" customWidth="1"/>
    <col min="12" max="12" width="14" customWidth="1"/>
    <col min="13" max="15" width="12" customWidth="1"/>
    <col min="16" max="16" width="14" customWidth="1"/>
    <col min="17" max="19" width="12" customWidth="1"/>
    <col min="20" max="20" width="14" customWidth="1"/>
  </cols>
  <sheetData>
    <row r="1" spans="1:20" ht="18.75" x14ac:dyDescent="0.3">
      <c r="A1" s="49" t="s">
        <v>221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</row>
    <row r="2" spans="1:20" x14ac:dyDescent="0.25">
      <c r="A2" s="15" t="s">
        <v>134</v>
      </c>
      <c r="B2" s="19">
        <f>'Master Inputs'!$C$16</f>
        <v>7600000</v>
      </c>
    </row>
    <row r="4" spans="1:20" ht="30" x14ac:dyDescent="0.25">
      <c r="A4" s="20" t="s">
        <v>137</v>
      </c>
      <c r="B4" s="20" t="s">
        <v>138</v>
      </c>
      <c r="C4" s="20" t="s">
        <v>139</v>
      </c>
      <c r="D4" s="20" t="s">
        <v>10</v>
      </c>
      <c r="E4" s="20" t="s">
        <v>140</v>
      </c>
      <c r="F4" s="20" t="s">
        <v>141</v>
      </c>
      <c r="G4" s="20" t="s">
        <v>142</v>
      </c>
      <c r="H4" s="20" t="s">
        <v>143</v>
      </c>
      <c r="I4" s="20" t="s">
        <v>144</v>
      </c>
      <c r="J4" s="20" t="s">
        <v>145</v>
      </c>
      <c r="K4" s="20" t="s">
        <v>146</v>
      </c>
      <c r="L4" s="20" t="s">
        <v>147</v>
      </c>
      <c r="M4" s="20" t="s">
        <v>148</v>
      </c>
      <c r="N4" s="20" t="s">
        <v>149</v>
      </c>
      <c r="O4" s="20" t="s">
        <v>150</v>
      </c>
      <c r="P4" s="20" t="s">
        <v>151</v>
      </c>
      <c r="Q4" s="20" t="s">
        <v>152</v>
      </c>
      <c r="R4" s="20" t="s">
        <v>153</v>
      </c>
      <c r="S4" s="20" t="s">
        <v>154</v>
      </c>
      <c r="T4" s="20" t="s">
        <v>155</v>
      </c>
    </row>
    <row r="5" spans="1:20" x14ac:dyDescent="0.25">
      <c r="A5" s="50" t="s">
        <v>156</v>
      </c>
      <c r="B5" s="51"/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</row>
    <row r="6" spans="1:20" x14ac:dyDescent="0.25">
      <c r="A6" s="21" t="s">
        <v>157</v>
      </c>
      <c r="B6" s="22" t="s">
        <v>222</v>
      </c>
      <c r="C6" s="23">
        <f>'Activity Costs'!C5*'Master Inputs'!$C$60*15000</f>
        <v>16650000</v>
      </c>
      <c r="D6" s="24">
        <f>IF(C$26=0,0,C6/C$26)</f>
        <v>6.3353582990233415E-2</v>
      </c>
      <c r="E6" s="23">
        <f>$C$6*'Master Inputs'!$C$30*'Master Inputs'!$C$38</f>
        <v>1248750</v>
      </c>
      <c r="F6" s="23">
        <f>$C$6*'Master Inputs'!$C$30*'Master Inputs'!$D$38</f>
        <v>1665000</v>
      </c>
      <c r="G6" s="23">
        <f>$C$6*'Master Inputs'!$C$30*'Master Inputs'!$E$38</f>
        <v>1248750</v>
      </c>
      <c r="H6" s="10">
        <f>SUM(E6:G6)</f>
        <v>4162500</v>
      </c>
      <c r="I6" s="23">
        <f>$C$6*'Master Inputs'!$C$31*'Master Inputs'!$C$39</f>
        <v>749250</v>
      </c>
      <c r="J6" s="23">
        <f>$C$6*'Master Inputs'!$C$31*'Master Inputs'!$D$39</f>
        <v>874125</v>
      </c>
      <c r="K6" s="23">
        <f>$C$6*'Master Inputs'!$C$31*'Master Inputs'!$E$39</f>
        <v>874125</v>
      </c>
      <c r="L6" s="10">
        <f>SUM(I6:K6)</f>
        <v>2497500</v>
      </c>
      <c r="M6" s="23">
        <f>$C$6*'Master Inputs'!$C$32*'Master Inputs'!$C$40</f>
        <v>2039624.9999999998</v>
      </c>
      <c r="N6" s="23">
        <f>$C$6*'Master Inputs'!$C$32*'Master Inputs'!$D$40</f>
        <v>1748250</v>
      </c>
      <c r="O6" s="23">
        <f>$C$6*'Master Inputs'!$C$32*'Master Inputs'!$E$40</f>
        <v>2039624.9999999998</v>
      </c>
      <c r="P6" s="10">
        <f>SUM(M6:O6)</f>
        <v>5827500</v>
      </c>
      <c r="Q6" s="23">
        <f>$C$6*'Master Inputs'!$C$33*'Master Inputs'!$C$41</f>
        <v>1665000</v>
      </c>
      <c r="R6" s="23">
        <f>$C$6*'Master Inputs'!$C$33*'Master Inputs'!$D$41</f>
        <v>1248750</v>
      </c>
      <c r="S6" s="23">
        <f>$C$6*'Master Inputs'!$C$33*'Master Inputs'!$E$41</f>
        <v>1248750</v>
      </c>
      <c r="T6" s="10">
        <f>SUM(Q6:S6)</f>
        <v>4162500</v>
      </c>
    </row>
    <row r="7" spans="1:20" x14ac:dyDescent="0.25">
      <c r="A7" s="21" t="s">
        <v>171</v>
      </c>
      <c r="B7" s="22" t="s">
        <v>223</v>
      </c>
      <c r="C7" s="23">
        <f>'Activity Costs'!C12*200</f>
        <v>140000</v>
      </c>
      <c r="D7" s="24">
        <f>IF(C$26=0,0,C7/C$26)</f>
        <v>5.3270279991787849E-4</v>
      </c>
      <c r="E7" s="23">
        <f>$C$7*'Master Inputs'!$C$30*'Master Inputs'!$C$38</f>
        <v>10500</v>
      </c>
      <c r="F7" s="23">
        <f>$C$7*'Master Inputs'!$C$30*'Master Inputs'!$D$38</f>
        <v>14000</v>
      </c>
      <c r="G7" s="23">
        <f>$C$7*'Master Inputs'!$C$30*'Master Inputs'!$E$38</f>
        <v>10500</v>
      </c>
      <c r="H7" s="10">
        <f>SUM(E7:G7)</f>
        <v>35000</v>
      </c>
      <c r="I7" s="23">
        <f>$C$7*'Master Inputs'!$C$31*'Master Inputs'!$C$39</f>
        <v>6300</v>
      </c>
      <c r="J7" s="23">
        <f>$C$7*'Master Inputs'!$C$31*'Master Inputs'!$D$39</f>
        <v>7349.9999999999991</v>
      </c>
      <c r="K7" s="23">
        <f>$C$7*'Master Inputs'!$C$31*'Master Inputs'!$E$39</f>
        <v>7349.9999999999991</v>
      </c>
      <c r="L7" s="10">
        <f>SUM(I7:K7)</f>
        <v>21000</v>
      </c>
      <c r="M7" s="23">
        <f>$C$7*'Master Inputs'!$C$32*'Master Inputs'!$C$40</f>
        <v>17150</v>
      </c>
      <c r="N7" s="23">
        <f>$C$7*'Master Inputs'!$C$32*'Master Inputs'!$D$40</f>
        <v>14700</v>
      </c>
      <c r="O7" s="23">
        <f>$C$7*'Master Inputs'!$C$32*'Master Inputs'!$E$40</f>
        <v>17150</v>
      </c>
      <c r="P7" s="10">
        <f>SUM(M7:O7)</f>
        <v>49000</v>
      </c>
      <c r="Q7" s="23">
        <f>$C$7*'Master Inputs'!$C$33*'Master Inputs'!$C$41</f>
        <v>14000</v>
      </c>
      <c r="R7" s="23">
        <f>$C$7*'Master Inputs'!$C$33*'Master Inputs'!$D$41</f>
        <v>10500</v>
      </c>
      <c r="S7" s="23">
        <f>$C$7*'Master Inputs'!$C$33*'Master Inputs'!$E$41</f>
        <v>10500</v>
      </c>
      <c r="T7" s="10">
        <f>SUM(Q7:S7)</f>
        <v>35000</v>
      </c>
    </row>
    <row r="8" spans="1:20" x14ac:dyDescent="0.25">
      <c r="A8" s="9" t="s">
        <v>177</v>
      </c>
      <c r="B8" s="9"/>
      <c r="C8" s="10">
        <f>SUM(C6:C7)</f>
        <v>16790000</v>
      </c>
      <c r="D8" s="25">
        <f>IF(C$26=0,0,C8/C$26)</f>
        <v>6.3886285790151293E-2</v>
      </c>
      <c r="E8" s="10">
        <f t="shared" ref="E8:T8" si="0">SUM(E6:E7)</f>
        <v>1259250</v>
      </c>
      <c r="F8" s="10">
        <f t="shared" si="0"/>
        <v>1679000</v>
      </c>
      <c r="G8" s="10">
        <f t="shared" si="0"/>
        <v>1259250</v>
      </c>
      <c r="H8" s="10">
        <f t="shared" si="0"/>
        <v>4197500</v>
      </c>
      <c r="I8" s="10">
        <f t="shared" si="0"/>
        <v>755550</v>
      </c>
      <c r="J8" s="10">
        <f t="shared" si="0"/>
        <v>881475</v>
      </c>
      <c r="K8" s="10">
        <f t="shared" si="0"/>
        <v>881475</v>
      </c>
      <c r="L8" s="10">
        <f t="shared" si="0"/>
        <v>2518500</v>
      </c>
      <c r="M8" s="10">
        <f t="shared" si="0"/>
        <v>2056774.9999999998</v>
      </c>
      <c r="N8" s="10">
        <f t="shared" si="0"/>
        <v>1762950</v>
      </c>
      <c r="O8" s="10">
        <f t="shared" si="0"/>
        <v>2056774.9999999998</v>
      </c>
      <c r="P8" s="10">
        <f t="shared" si="0"/>
        <v>5876500</v>
      </c>
      <c r="Q8" s="10">
        <f t="shared" si="0"/>
        <v>1679000</v>
      </c>
      <c r="R8" s="10">
        <f t="shared" si="0"/>
        <v>1259250</v>
      </c>
      <c r="S8" s="10">
        <f t="shared" si="0"/>
        <v>1259250</v>
      </c>
      <c r="T8" s="10">
        <f t="shared" si="0"/>
        <v>4197500</v>
      </c>
    </row>
    <row r="10" spans="1:20" x14ac:dyDescent="0.25">
      <c r="A10" s="50" t="s">
        <v>178</v>
      </c>
      <c r="B10" s="51"/>
      <c r="C10" s="51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</row>
    <row r="11" spans="1:20" x14ac:dyDescent="0.25">
      <c r="A11" s="26" t="s">
        <v>179</v>
      </c>
      <c r="B11" s="27" t="s">
        <v>224</v>
      </c>
      <c r="C11" s="19">
        <f>'Activity Costs'!C16*'Master Inputs'!$C$56*'Master Inputs'!$C$63*0.5</f>
        <v>381600</v>
      </c>
      <c r="D11" s="18">
        <f t="shared" ref="D11:D24" si="1">IF(C$26=0,0,C11/C$26)</f>
        <v>1.4519956317761604E-3</v>
      </c>
      <c r="E11" s="19">
        <f>$C$11*'Master Inputs'!$C$30*'Master Inputs'!$C$38</f>
        <v>28620</v>
      </c>
      <c r="F11" s="19">
        <f>$C$11*'Master Inputs'!$C$30*'Master Inputs'!$D$38</f>
        <v>38160</v>
      </c>
      <c r="G11" s="19">
        <f>$C$11*'Master Inputs'!$C$30*'Master Inputs'!$E$38</f>
        <v>28620</v>
      </c>
      <c r="H11" s="10">
        <f t="shared" ref="H11:H23" si="2">SUM(E11:G11)</f>
        <v>95400</v>
      </c>
      <c r="I11" s="19">
        <f>$C$11*'Master Inputs'!$C$31*'Master Inputs'!$C$39</f>
        <v>17172</v>
      </c>
      <c r="J11" s="19">
        <f>$C$11*'Master Inputs'!$C$31*'Master Inputs'!$D$39</f>
        <v>20034</v>
      </c>
      <c r="K11" s="19">
        <f>$C$11*'Master Inputs'!$C$31*'Master Inputs'!$E$39</f>
        <v>20034</v>
      </c>
      <c r="L11" s="10">
        <f t="shared" ref="L11:L23" si="3">SUM(I11:K11)</f>
        <v>57240</v>
      </c>
      <c r="M11" s="19">
        <f>$C$11*'Master Inputs'!$C$32*'Master Inputs'!$C$40</f>
        <v>46746</v>
      </c>
      <c r="N11" s="19">
        <f>$C$11*'Master Inputs'!$C$32*'Master Inputs'!$D$40</f>
        <v>40068</v>
      </c>
      <c r="O11" s="19">
        <f>$C$11*'Master Inputs'!$C$32*'Master Inputs'!$E$40</f>
        <v>46746</v>
      </c>
      <c r="P11" s="10">
        <f t="shared" ref="P11:P23" si="4">SUM(M11:O11)</f>
        <v>133560</v>
      </c>
      <c r="Q11" s="19">
        <f>$C$11*'Master Inputs'!$C$33*'Master Inputs'!$C$41</f>
        <v>38160</v>
      </c>
      <c r="R11" s="19">
        <f>$C$11*'Master Inputs'!$C$33*'Master Inputs'!$D$41</f>
        <v>28620</v>
      </c>
      <c r="S11" s="19">
        <f>$C$11*'Master Inputs'!$C$33*'Master Inputs'!$E$41</f>
        <v>28620</v>
      </c>
      <c r="T11" s="10">
        <f t="shared" ref="T11:T23" si="5">SUM(Q11:S11)</f>
        <v>95400</v>
      </c>
    </row>
    <row r="12" spans="1:20" x14ac:dyDescent="0.25">
      <c r="A12" s="26" t="s">
        <v>181</v>
      </c>
      <c r="B12" s="27" t="s">
        <v>225</v>
      </c>
      <c r="C12" s="19">
        <f>'Activity Costs'!C17*'Master Inputs'!$C$56*'Master Inputs'!$C$63*0.3</f>
        <v>1242108</v>
      </c>
      <c r="D12" s="18">
        <f t="shared" si="1"/>
        <v>4.7262457814314018E-3</v>
      </c>
      <c r="E12" s="19">
        <f>$C$12*'Master Inputs'!$C$30*'Master Inputs'!$C$38</f>
        <v>93158.099999999991</v>
      </c>
      <c r="F12" s="19">
        <f>$C$12*'Master Inputs'!$C$30*'Master Inputs'!$D$38</f>
        <v>124210.8</v>
      </c>
      <c r="G12" s="19">
        <f>$C$12*'Master Inputs'!$C$30*'Master Inputs'!$E$38</f>
        <v>93158.099999999991</v>
      </c>
      <c r="H12" s="10">
        <f t="shared" si="2"/>
        <v>310527</v>
      </c>
      <c r="I12" s="19">
        <f>$C$12*'Master Inputs'!$C$31*'Master Inputs'!$C$39</f>
        <v>55894.859999999993</v>
      </c>
      <c r="J12" s="19">
        <f>$C$12*'Master Inputs'!$C$31*'Master Inputs'!$D$39</f>
        <v>65210.669999999991</v>
      </c>
      <c r="K12" s="19">
        <f>$C$12*'Master Inputs'!$C$31*'Master Inputs'!$E$39</f>
        <v>65210.669999999991</v>
      </c>
      <c r="L12" s="10">
        <f t="shared" si="3"/>
        <v>186316.19999999998</v>
      </c>
      <c r="M12" s="19">
        <f>$C$12*'Master Inputs'!$C$32*'Master Inputs'!$C$40</f>
        <v>152158.22999999998</v>
      </c>
      <c r="N12" s="19">
        <f>$C$12*'Master Inputs'!$C$32*'Master Inputs'!$D$40</f>
        <v>130421.34</v>
      </c>
      <c r="O12" s="19">
        <f>$C$12*'Master Inputs'!$C$32*'Master Inputs'!$E$40</f>
        <v>152158.22999999998</v>
      </c>
      <c r="P12" s="10">
        <f t="shared" si="4"/>
        <v>434737.79999999993</v>
      </c>
      <c r="Q12" s="19">
        <f>$C$12*'Master Inputs'!$C$33*'Master Inputs'!$C$41</f>
        <v>124210.8</v>
      </c>
      <c r="R12" s="19">
        <f>$C$12*'Master Inputs'!$C$33*'Master Inputs'!$D$41</f>
        <v>93158.099999999991</v>
      </c>
      <c r="S12" s="19">
        <f>$C$12*'Master Inputs'!$C$33*'Master Inputs'!$E$41</f>
        <v>93158.099999999991</v>
      </c>
      <c r="T12" s="10">
        <f t="shared" si="5"/>
        <v>310527</v>
      </c>
    </row>
    <row r="13" spans="1:20" x14ac:dyDescent="0.25">
      <c r="A13" s="26" t="s">
        <v>183</v>
      </c>
      <c r="B13" s="27" t="s">
        <v>226</v>
      </c>
      <c r="C13" s="19">
        <f>'Activity Costs'!C18*'Master Inputs'!$C$56*'Master Inputs'!$C$63*0.2</f>
        <v>1272000</v>
      </c>
      <c r="D13" s="18">
        <f t="shared" si="1"/>
        <v>4.8399854392538674E-3</v>
      </c>
      <c r="E13" s="19">
        <f>$C$13*'Master Inputs'!$C$30*'Master Inputs'!$C$38</f>
        <v>95400</v>
      </c>
      <c r="F13" s="19">
        <f>$C$13*'Master Inputs'!$C$30*'Master Inputs'!$D$38</f>
        <v>127200</v>
      </c>
      <c r="G13" s="19">
        <f>$C$13*'Master Inputs'!$C$30*'Master Inputs'!$E$38</f>
        <v>95400</v>
      </c>
      <c r="H13" s="10">
        <f t="shared" si="2"/>
        <v>318000</v>
      </c>
      <c r="I13" s="19">
        <f>$C$13*'Master Inputs'!$C$31*'Master Inputs'!$C$39</f>
        <v>57240</v>
      </c>
      <c r="J13" s="19">
        <f>$C$13*'Master Inputs'!$C$31*'Master Inputs'!$D$39</f>
        <v>66780</v>
      </c>
      <c r="K13" s="19">
        <f>$C$13*'Master Inputs'!$C$31*'Master Inputs'!$E$39</f>
        <v>66780</v>
      </c>
      <c r="L13" s="10">
        <f t="shared" si="3"/>
        <v>190800</v>
      </c>
      <c r="M13" s="19">
        <f>$C$13*'Master Inputs'!$C$32*'Master Inputs'!$C$40</f>
        <v>155820</v>
      </c>
      <c r="N13" s="19">
        <f>$C$13*'Master Inputs'!$C$32*'Master Inputs'!$D$40</f>
        <v>133560</v>
      </c>
      <c r="O13" s="19">
        <f>$C$13*'Master Inputs'!$C$32*'Master Inputs'!$E$40</f>
        <v>155820</v>
      </c>
      <c r="P13" s="10">
        <f t="shared" si="4"/>
        <v>445200</v>
      </c>
      <c r="Q13" s="19">
        <f>$C$13*'Master Inputs'!$C$33*'Master Inputs'!$C$41</f>
        <v>127200</v>
      </c>
      <c r="R13" s="19">
        <f>$C$13*'Master Inputs'!$C$33*'Master Inputs'!$D$41</f>
        <v>95400</v>
      </c>
      <c r="S13" s="19">
        <f>$C$13*'Master Inputs'!$C$33*'Master Inputs'!$E$41</f>
        <v>95400</v>
      </c>
      <c r="T13" s="10">
        <f t="shared" si="5"/>
        <v>318000</v>
      </c>
    </row>
    <row r="14" spans="1:20" x14ac:dyDescent="0.25">
      <c r="A14" s="26" t="s">
        <v>185</v>
      </c>
      <c r="B14" s="27" t="s">
        <v>227</v>
      </c>
      <c r="C14" s="19">
        <f>'Activity Costs'!C19*'Master Inputs'!$C$56*'Master Inputs'!$C$63*0.1</f>
        <v>2544000</v>
      </c>
      <c r="D14" s="18">
        <f t="shared" si="1"/>
        <v>9.6799708785077349E-3</v>
      </c>
      <c r="E14" s="19">
        <f>$C$14*'Master Inputs'!$C$30*'Master Inputs'!$C$38</f>
        <v>190800</v>
      </c>
      <c r="F14" s="19">
        <f>$C$14*'Master Inputs'!$C$30*'Master Inputs'!$D$38</f>
        <v>254400</v>
      </c>
      <c r="G14" s="19">
        <f>$C$14*'Master Inputs'!$C$30*'Master Inputs'!$E$38</f>
        <v>190800</v>
      </c>
      <c r="H14" s="10">
        <f t="shared" si="2"/>
        <v>636000</v>
      </c>
      <c r="I14" s="19">
        <f>$C$14*'Master Inputs'!$C$31*'Master Inputs'!$C$39</f>
        <v>114480</v>
      </c>
      <c r="J14" s="19">
        <f>$C$14*'Master Inputs'!$C$31*'Master Inputs'!$D$39</f>
        <v>133560</v>
      </c>
      <c r="K14" s="19">
        <f>$C$14*'Master Inputs'!$C$31*'Master Inputs'!$E$39</f>
        <v>133560</v>
      </c>
      <c r="L14" s="10">
        <f t="shared" si="3"/>
        <v>381600</v>
      </c>
      <c r="M14" s="19">
        <f>$C$14*'Master Inputs'!$C$32*'Master Inputs'!$C$40</f>
        <v>311640</v>
      </c>
      <c r="N14" s="19">
        <f>$C$14*'Master Inputs'!$C$32*'Master Inputs'!$D$40</f>
        <v>267120</v>
      </c>
      <c r="O14" s="19">
        <f>$C$14*'Master Inputs'!$C$32*'Master Inputs'!$E$40</f>
        <v>311640</v>
      </c>
      <c r="P14" s="10">
        <f t="shared" si="4"/>
        <v>890400</v>
      </c>
      <c r="Q14" s="19">
        <f>$C$14*'Master Inputs'!$C$33*'Master Inputs'!$C$41</f>
        <v>254400</v>
      </c>
      <c r="R14" s="19">
        <f>$C$14*'Master Inputs'!$C$33*'Master Inputs'!$D$41</f>
        <v>190800</v>
      </c>
      <c r="S14" s="19">
        <f>$C$14*'Master Inputs'!$C$33*'Master Inputs'!$E$41</f>
        <v>190800</v>
      </c>
      <c r="T14" s="10">
        <f t="shared" si="5"/>
        <v>636000</v>
      </c>
    </row>
    <row r="15" spans="1:20" x14ac:dyDescent="0.25">
      <c r="A15" s="26" t="s">
        <v>228</v>
      </c>
      <c r="B15" s="27" t="s">
        <v>229</v>
      </c>
      <c r="C15" s="19">
        <f>'Activity Costs'!C20*50*('Master Inputs'!$C$77+'Master Inputs'!$C$78)*0.3*12</f>
        <v>146790000</v>
      </c>
      <c r="D15" s="18">
        <f t="shared" si="1"/>
        <v>0.55853888571389565</v>
      </c>
      <c r="E15" s="19">
        <f>$C$15*'Master Inputs'!$C$30*'Master Inputs'!$C$38</f>
        <v>11009250</v>
      </c>
      <c r="F15" s="19">
        <f>$C$15*'Master Inputs'!$C$30*'Master Inputs'!$D$38</f>
        <v>14679000</v>
      </c>
      <c r="G15" s="19">
        <f>$C$15*'Master Inputs'!$C$30*'Master Inputs'!$E$38</f>
        <v>11009250</v>
      </c>
      <c r="H15" s="10">
        <f t="shared" si="2"/>
        <v>36697500</v>
      </c>
      <c r="I15" s="19">
        <f>$C$15*'Master Inputs'!$C$31*'Master Inputs'!$C$39</f>
        <v>6605550</v>
      </c>
      <c r="J15" s="19">
        <f>$C$15*'Master Inputs'!$C$31*'Master Inputs'!$D$39</f>
        <v>7706474.9999999991</v>
      </c>
      <c r="K15" s="19">
        <f>$C$15*'Master Inputs'!$C$31*'Master Inputs'!$E$39</f>
        <v>7706474.9999999991</v>
      </c>
      <c r="L15" s="10">
        <f t="shared" si="3"/>
        <v>22018500</v>
      </c>
      <c r="M15" s="19">
        <f>$C$15*'Master Inputs'!$C$32*'Master Inputs'!$C$40</f>
        <v>17981775</v>
      </c>
      <c r="N15" s="19">
        <f>$C$15*'Master Inputs'!$C$32*'Master Inputs'!$D$40</f>
        <v>15412950</v>
      </c>
      <c r="O15" s="19">
        <f>$C$15*'Master Inputs'!$C$32*'Master Inputs'!$E$40</f>
        <v>17981775</v>
      </c>
      <c r="P15" s="10">
        <f t="shared" si="4"/>
        <v>51376500</v>
      </c>
      <c r="Q15" s="19">
        <f>$C$15*'Master Inputs'!$C$33*'Master Inputs'!$C$41</f>
        <v>14679000</v>
      </c>
      <c r="R15" s="19">
        <f>$C$15*'Master Inputs'!$C$33*'Master Inputs'!$D$41</f>
        <v>11009250</v>
      </c>
      <c r="S15" s="19">
        <f>$C$15*'Master Inputs'!$C$33*'Master Inputs'!$E$41</f>
        <v>11009250</v>
      </c>
      <c r="T15" s="10">
        <f t="shared" si="5"/>
        <v>36697500</v>
      </c>
    </row>
    <row r="16" spans="1:20" x14ac:dyDescent="0.25">
      <c r="A16" s="26" t="s">
        <v>230</v>
      </c>
      <c r="B16" s="27" t="s">
        <v>231</v>
      </c>
      <c r="C16" s="19">
        <f>'Activity Costs'!C21*30*('Master Inputs'!$C$77+'Master Inputs'!$C$78)*0.5*24</f>
        <v>83880000</v>
      </c>
      <c r="D16" s="18">
        <f t="shared" si="1"/>
        <v>0.31916507755079754</v>
      </c>
      <c r="E16" s="19">
        <f>$C$16*'Master Inputs'!$C$30*'Master Inputs'!$C$38</f>
        <v>6291000</v>
      </c>
      <c r="F16" s="19">
        <f>$C$16*'Master Inputs'!$C$30*'Master Inputs'!$D$38</f>
        <v>8388000</v>
      </c>
      <c r="G16" s="19">
        <f>$C$16*'Master Inputs'!$C$30*'Master Inputs'!$E$38</f>
        <v>6291000</v>
      </c>
      <c r="H16" s="10">
        <f t="shared" si="2"/>
        <v>20970000</v>
      </c>
      <c r="I16" s="19">
        <f>$C$16*'Master Inputs'!$C$31*'Master Inputs'!$C$39</f>
        <v>3774600</v>
      </c>
      <c r="J16" s="19">
        <f>$C$16*'Master Inputs'!$C$31*'Master Inputs'!$D$39</f>
        <v>4403700</v>
      </c>
      <c r="K16" s="19">
        <f>$C$16*'Master Inputs'!$C$31*'Master Inputs'!$E$39</f>
        <v>4403700</v>
      </c>
      <c r="L16" s="10">
        <f t="shared" si="3"/>
        <v>12582000</v>
      </c>
      <c r="M16" s="19">
        <f>$C$16*'Master Inputs'!$C$32*'Master Inputs'!$C$40</f>
        <v>10275300</v>
      </c>
      <c r="N16" s="19">
        <f>$C$16*'Master Inputs'!$C$32*'Master Inputs'!$D$40</f>
        <v>8807400</v>
      </c>
      <c r="O16" s="19">
        <f>$C$16*'Master Inputs'!$C$32*'Master Inputs'!$E$40</f>
        <v>10275300</v>
      </c>
      <c r="P16" s="10">
        <f t="shared" si="4"/>
        <v>29358000</v>
      </c>
      <c r="Q16" s="19">
        <f>$C$16*'Master Inputs'!$C$33*'Master Inputs'!$C$41</f>
        <v>8388000</v>
      </c>
      <c r="R16" s="19">
        <f>$C$16*'Master Inputs'!$C$33*'Master Inputs'!$D$41</f>
        <v>6291000</v>
      </c>
      <c r="S16" s="19">
        <f>$C$16*'Master Inputs'!$C$33*'Master Inputs'!$E$41</f>
        <v>6291000</v>
      </c>
      <c r="T16" s="10">
        <f t="shared" si="5"/>
        <v>20970000</v>
      </c>
    </row>
    <row r="17" spans="1:20" x14ac:dyDescent="0.25">
      <c r="A17" s="26" t="s">
        <v>232</v>
      </c>
      <c r="B17" s="27" t="s">
        <v>233</v>
      </c>
      <c r="C17" s="19">
        <f>'Activity Costs'!C29*'Master Inputs'!$C$60*4</f>
        <v>1480000</v>
      </c>
      <c r="D17" s="18">
        <f t="shared" si="1"/>
        <v>5.631429599131859E-3</v>
      </c>
      <c r="E17" s="19">
        <f>$C$17*'Master Inputs'!$C$30*'Master Inputs'!$C$38</f>
        <v>111000</v>
      </c>
      <c r="F17" s="19">
        <f>$C$17*'Master Inputs'!$C$30*'Master Inputs'!$D$38</f>
        <v>148000</v>
      </c>
      <c r="G17" s="19">
        <f>$C$17*'Master Inputs'!$C$30*'Master Inputs'!$E$38</f>
        <v>111000</v>
      </c>
      <c r="H17" s="10">
        <f t="shared" si="2"/>
        <v>370000</v>
      </c>
      <c r="I17" s="19">
        <f>$C$17*'Master Inputs'!$C$31*'Master Inputs'!$C$39</f>
        <v>66600</v>
      </c>
      <c r="J17" s="19">
        <f>$C$17*'Master Inputs'!$C$31*'Master Inputs'!$D$39</f>
        <v>77700</v>
      </c>
      <c r="K17" s="19">
        <f>$C$17*'Master Inputs'!$C$31*'Master Inputs'!$E$39</f>
        <v>77700</v>
      </c>
      <c r="L17" s="10">
        <f t="shared" si="3"/>
        <v>222000</v>
      </c>
      <c r="M17" s="19">
        <f>$C$17*'Master Inputs'!$C$32*'Master Inputs'!$C$40</f>
        <v>181299.99999999997</v>
      </c>
      <c r="N17" s="19">
        <f>$C$17*'Master Inputs'!$C$32*'Master Inputs'!$D$40</f>
        <v>155399.99999999997</v>
      </c>
      <c r="O17" s="19">
        <f>$C$17*'Master Inputs'!$C$32*'Master Inputs'!$E$40</f>
        <v>181299.99999999997</v>
      </c>
      <c r="P17" s="10">
        <f t="shared" si="4"/>
        <v>517999.99999999988</v>
      </c>
      <c r="Q17" s="19">
        <f>$C$17*'Master Inputs'!$C$33*'Master Inputs'!$C$41</f>
        <v>148000</v>
      </c>
      <c r="R17" s="19">
        <f>$C$17*'Master Inputs'!$C$33*'Master Inputs'!$D$41</f>
        <v>111000</v>
      </c>
      <c r="S17" s="19">
        <f>$C$17*'Master Inputs'!$C$33*'Master Inputs'!$E$41</f>
        <v>111000</v>
      </c>
      <c r="T17" s="10">
        <f t="shared" si="5"/>
        <v>370000</v>
      </c>
    </row>
    <row r="18" spans="1:20" x14ac:dyDescent="0.25">
      <c r="A18" s="26" t="s">
        <v>215</v>
      </c>
      <c r="B18" s="27" t="s">
        <v>234</v>
      </c>
      <c r="C18" s="19">
        <f>'Activity Costs'!C24*'Master Inputs'!$C$60*8</f>
        <v>888000</v>
      </c>
      <c r="D18" s="18">
        <f t="shared" si="1"/>
        <v>3.3788577594791153E-3</v>
      </c>
      <c r="E18" s="19">
        <f>$C$18*'Master Inputs'!$C$30*'Master Inputs'!$C$38</f>
        <v>66600</v>
      </c>
      <c r="F18" s="19">
        <f>$C$18*'Master Inputs'!$C$30*'Master Inputs'!$D$38</f>
        <v>88800</v>
      </c>
      <c r="G18" s="19">
        <f>$C$18*'Master Inputs'!$C$30*'Master Inputs'!$E$38</f>
        <v>66600</v>
      </c>
      <c r="H18" s="10">
        <f t="shared" si="2"/>
        <v>222000</v>
      </c>
      <c r="I18" s="19">
        <f>$C$18*'Master Inputs'!$C$31*'Master Inputs'!$C$39</f>
        <v>39960</v>
      </c>
      <c r="J18" s="19">
        <f>$C$18*'Master Inputs'!$C$31*'Master Inputs'!$D$39</f>
        <v>46620</v>
      </c>
      <c r="K18" s="19">
        <f>$C$18*'Master Inputs'!$C$31*'Master Inputs'!$E$39</f>
        <v>46620</v>
      </c>
      <c r="L18" s="10">
        <f t="shared" si="3"/>
        <v>133200</v>
      </c>
      <c r="M18" s="19">
        <f>$C$18*'Master Inputs'!$C$32*'Master Inputs'!$C$40</f>
        <v>108780</v>
      </c>
      <c r="N18" s="19">
        <f>$C$18*'Master Inputs'!$C$32*'Master Inputs'!$D$40</f>
        <v>93240</v>
      </c>
      <c r="O18" s="19">
        <f>$C$18*'Master Inputs'!$C$32*'Master Inputs'!$E$40</f>
        <v>108780</v>
      </c>
      <c r="P18" s="10">
        <f t="shared" si="4"/>
        <v>310800</v>
      </c>
      <c r="Q18" s="19">
        <f>$C$18*'Master Inputs'!$C$33*'Master Inputs'!$C$41</f>
        <v>88800</v>
      </c>
      <c r="R18" s="19">
        <f>$C$18*'Master Inputs'!$C$33*'Master Inputs'!$D$41</f>
        <v>66600</v>
      </c>
      <c r="S18" s="19">
        <f>$C$18*'Master Inputs'!$C$33*'Master Inputs'!$E$41</f>
        <v>66600</v>
      </c>
      <c r="T18" s="10">
        <f t="shared" si="5"/>
        <v>222000</v>
      </c>
    </row>
    <row r="19" spans="1:20" x14ac:dyDescent="0.25">
      <c r="A19" s="26" t="s">
        <v>195</v>
      </c>
      <c r="B19" s="27" t="s">
        <v>235</v>
      </c>
      <c r="C19" s="19">
        <f>'Activity Costs'!C25*('Master Inputs'!$C$77+'Master Inputs'!$C$78)</f>
        <v>699000</v>
      </c>
      <c r="D19" s="18">
        <f t="shared" si="1"/>
        <v>2.6597089795899792E-3</v>
      </c>
      <c r="E19" s="19">
        <f>$C$19*'Master Inputs'!$C$30*'Master Inputs'!$C$38</f>
        <v>52425</v>
      </c>
      <c r="F19" s="19">
        <f>$C$19*'Master Inputs'!$C$30*'Master Inputs'!$D$38</f>
        <v>69900</v>
      </c>
      <c r="G19" s="19">
        <f>$C$19*'Master Inputs'!$C$30*'Master Inputs'!$E$38</f>
        <v>52425</v>
      </c>
      <c r="H19" s="10">
        <f t="shared" si="2"/>
        <v>174750</v>
      </c>
      <c r="I19" s="19">
        <f>$C$19*'Master Inputs'!$C$31*'Master Inputs'!$C$39</f>
        <v>31455</v>
      </c>
      <c r="J19" s="19">
        <f>$C$19*'Master Inputs'!$C$31*'Master Inputs'!$D$39</f>
        <v>36697.5</v>
      </c>
      <c r="K19" s="19">
        <f>$C$19*'Master Inputs'!$C$31*'Master Inputs'!$E$39</f>
        <v>36697.5</v>
      </c>
      <c r="L19" s="10">
        <f t="shared" si="3"/>
        <v>104850</v>
      </c>
      <c r="M19" s="19">
        <f>$C$19*'Master Inputs'!$C$32*'Master Inputs'!$C$40</f>
        <v>85627.499999999985</v>
      </c>
      <c r="N19" s="19">
        <f>$C$19*'Master Inputs'!$C$32*'Master Inputs'!$D$40</f>
        <v>73394.999999999985</v>
      </c>
      <c r="O19" s="19">
        <f>$C$19*'Master Inputs'!$C$32*'Master Inputs'!$E$40</f>
        <v>85627.499999999985</v>
      </c>
      <c r="P19" s="10">
        <f t="shared" si="4"/>
        <v>244649.99999999994</v>
      </c>
      <c r="Q19" s="19">
        <f>$C$19*'Master Inputs'!$C$33*'Master Inputs'!$C$41</f>
        <v>69900</v>
      </c>
      <c r="R19" s="19">
        <f>$C$19*'Master Inputs'!$C$33*'Master Inputs'!$D$41</f>
        <v>52425</v>
      </c>
      <c r="S19" s="19">
        <f>$C$19*'Master Inputs'!$C$33*'Master Inputs'!$E$41</f>
        <v>52425</v>
      </c>
      <c r="T19" s="10">
        <f t="shared" si="5"/>
        <v>174750</v>
      </c>
    </row>
    <row r="20" spans="1:20" x14ac:dyDescent="0.25">
      <c r="A20" s="26" t="s">
        <v>218</v>
      </c>
      <c r="B20" s="27" t="s">
        <v>236</v>
      </c>
      <c r="C20" s="19">
        <f>'Activity Costs'!C28*'Master Inputs'!$C$57*'Master Inputs'!$C$63*4</f>
        <v>3305600</v>
      </c>
      <c r="D20" s="18">
        <f t="shared" si="1"/>
        <v>1.2577874110060994E-2</v>
      </c>
      <c r="E20" s="19">
        <f>$C$20*'Master Inputs'!$C$30*'Master Inputs'!$C$38</f>
        <v>247920</v>
      </c>
      <c r="F20" s="19">
        <f>$C$20*'Master Inputs'!$C$30*'Master Inputs'!$D$38</f>
        <v>330560</v>
      </c>
      <c r="G20" s="19">
        <f>$C$20*'Master Inputs'!$C$30*'Master Inputs'!$E$38</f>
        <v>247920</v>
      </c>
      <c r="H20" s="10">
        <f t="shared" si="2"/>
        <v>826400</v>
      </c>
      <c r="I20" s="19">
        <f>$C$20*'Master Inputs'!$C$31*'Master Inputs'!$C$39</f>
        <v>148752</v>
      </c>
      <c r="J20" s="19">
        <f>$C$20*'Master Inputs'!$C$31*'Master Inputs'!$D$39</f>
        <v>173544</v>
      </c>
      <c r="K20" s="19">
        <f>$C$20*'Master Inputs'!$C$31*'Master Inputs'!$E$39</f>
        <v>173544</v>
      </c>
      <c r="L20" s="10">
        <f t="shared" si="3"/>
        <v>495840</v>
      </c>
      <c r="M20" s="19">
        <f>$C$20*'Master Inputs'!$C$32*'Master Inputs'!$C$40</f>
        <v>404936</v>
      </c>
      <c r="N20" s="19">
        <f>$C$20*'Master Inputs'!$C$32*'Master Inputs'!$D$40</f>
        <v>347088</v>
      </c>
      <c r="O20" s="19">
        <f>$C$20*'Master Inputs'!$C$32*'Master Inputs'!$E$40</f>
        <v>404936</v>
      </c>
      <c r="P20" s="10">
        <f t="shared" si="4"/>
        <v>1156960</v>
      </c>
      <c r="Q20" s="19">
        <f>$C$20*'Master Inputs'!$C$33*'Master Inputs'!$C$41</f>
        <v>330560</v>
      </c>
      <c r="R20" s="19">
        <f>$C$20*'Master Inputs'!$C$33*'Master Inputs'!$D$41</f>
        <v>247920</v>
      </c>
      <c r="S20" s="19">
        <f>$C$20*'Master Inputs'!$C$33*'Master Inputs'!$E$41</f>
        <v>247920</v>
      </c>
      <c r="T20" s="10">
        <f t="shared" si="5"/>
        <v>826400</v>
      </c>
    </row>
    <row r="21" spans="1:20" x14ac:dyDescent="0.25">
      <c r="A21" s="26" t="s">
        <v>237</v>
      </c>
      <c r="B21" s="27" t="s">
        <v>238</v>
      </c>
      <c r="C21" s="19">
        <f>'Activity Costs'!C30*'Master Inputs'!$C$56*'Master Inputs'!$C$63*0.15</f>
        <v>954000</v>
      </c>
      <c r="D21" s="18">
        <f t="shared" si="1"/>
        <v>3.629989079440401E-3</v>
      </c>
      <c r="E21" s="19">
        <f>$C$21*'Master Inputs'!$C$30*'Master Inputs'!$C$38</f>
        <v>71550</v>
      </c>
      <c r="F21" s="19">
        <f>$C$21*'Master Inputs'!$C$30*'Master Inputs'!$D$38</f>
        <v>95400</v>
      </c>
      <c r="G21" s="19">
        <f>$C$21*'Master Inputs'!$C$30*'Master Inputs'!$E$38</f>
        <v>71550</v>
      </c>
      <c r="H21" s="10">
        <f t="shared" si="2"/>
        <v>238500</v>
      </c>
      <c r="I21" s="19">
        <f>$C$21*'Master Inputs'!$C$31*'Master Inputs'!$C$39</f>
        <v>42930</v>
      </c>
      <c r="J21" s="19">
        <f>$C$21*'Master Inputs'!$C$31*'Master Inputs'!$D$39</f>
        <v>50085</v>
      </c>
      <c r="K21" s="19">
        <f>$C$21*'Master Inputs'!$C$31*'Master Inputs'!$E$39</f>
        <v>50085</v>
      </c>
      <c r="L21" s="10">
        <f t="shared" si="3"/>
        <v>143100</v>
      </c>
      <c r="M21" s="19">
        <f>$C$21*'Master Inputs'!$C$32*'Master Inputs'!$C$40</f>
        <v>116864.99999999999</v>
      </c>
      <c r="N21" s="19">
        <f>$C$21*'Master Inputs'!$C$32*'Master Inputs'!$D$40</f>
        <v>100170</v>
      </c>
      <c r="O21" s="19">
        <f>$C$21*'Master Inputs'!$C$32*'Master Inputs'!$E$40</f>
        <v>116864.99999999999</v>
      </c>
      <c r="P21" s="10">
        <f t="shared" si="4"/>
        <v>333900</v>
      </c>
      <c r="Q21" s="19">
        <f>$C$21*'Master Inputs'!$C$33*'Master Inputs'!$C$41</f>
        <v>95400</v>
      </c>
      <c r="R21" s="19">
        <f>$C$21*'Master Inputs'!$C$33*'Master Inputs'!$D$41</f>
        <v>71550</v>
      </c>
      <c r="S21" s="19">
        <f>$C$21*'Master Inputs'!$C$33*'Master Inputs'!$E$41</f>
        <v>71550</v>
      </c>
      <c r="T21" s="10">
        <f t="shared" si="5"/>
        <v>238500</v>
      </c>
    </row>
    <row r="22" spans="1:20" x14ac:dyDescent="0.25">
      <c r="A22" s="26" t="s">
        <v>193</v>
      </c>
      <c r="B22" s="27" t="s">
        <v>239</v>
      </c>
      <c r="C22" s="19">
        <f>'Activity Costs'!C23*'Master Inputs'!$C$56*'Master Inputs'!$C$63</f>
        <v>254400</v>
      </c>
      <c r="D22" s="18">
        <f t="shared" si="1"/>
        <v>9.6799708785077359E-4</v>
      </c>
      <c r="E22" s="19">
        <f>$C$22*'Master Inputs'!$C$30*'Master Inputs'!$C$38</f>
        <v>19080</v>
      </c>
      <c r="F22" s="19">
        <f>$C$22*'Master Inputs'!$C$30*'Master Inputs'!$D$38</f>
        <v>25440</v>
      </c>
      <c r="G22" s="19">
        <f>$C$22*'Master Inputs'!$C$30*'Master Inputs'!$E$38</f>
        <v>19080</v>
      </c>
      <c r="H22" s="10">
        <f t="shared" si="2"/>
        <v>63600</v>
      </c>
      <c r="I22" s="19">
        <f>$C$22*'Master Inputs'!$C$31*'Master Inputs'!$C$39</f>
        <v>11448</v>
      </c>
      <c r="J22" s="19">
        <f>$C$22*'Master Inputs'!$C$31*'Master Inputs'!$D$39</f>
        <v>13356</v>
      </c>
      <c r="K22" s="19">
        <f>$C$22*'Master Inputs'!$C$31*'Master Inputs'!$E$39</f>
        <v>13356</v>
      </c>
      <c r="L22" s="10">
        <f t="shared" si="3"/>
        <v>38160</v>
      </c>
      <c r="M22" s="19">
        <f>$C$22*'Master Inputs'!$C$32*'Master Inputs'!$C$40</f>
        <v>31163.999999999996</v>
      </c>
      <c r="N22" s="19">
        <f>$C$22*'Master Inputs'!$C$32*'Master Inputs'!$D$40</f>
        <v>26712</v>
      </c>
      <c r="O22" s="19">
        <f>$C$22*'Master Inputs'!$C$32*'Master Inputs'!$E$40</f>
        <v>31163.999999999996</v>
      </c>
      <c r="P22" s="10">
        <f t="shared" si="4"/>
        <v>89040</v>
      </c>
      <c r="Q22" s="19">
        <f>$C$22*'Master Inputs'!$C$33*'Master Inputs'!$C$41</f>
        <v>25440</v>
      </c>
      <c r="R22" s="19">
        <f>$C$22*'Master Inputs'!$C$33*'Master Inputs'!$D$41</f>
        <v>19080</v>
      </c>
      <c r="S22" s="19">
        <f>$C$22*'Master Inputs'!$C$33*'Master Inputs'!$E$41</f>
        <v>19080</v>
      </c>
      <c r="T22" s="10">
        <f t="shared" si="5"/>
        <v>63600</v>
      </c>
    </row>
    <row r="23" spans="1:20" x14ac:dyDescent="0.25">
      <c r="A23" s="26" t="s">
        <v>240</v>
      </c>
      <c r="B23" s="27" t="s">
        <v>241</v>
      </c>
      <c r="C23" s="19">
        <f>'Activity Costs'!C27*('Master Inputs'!$C$77+'Master Inputs'!$C$78)*0.1</f>
        <v>2330000</v>
      </c>
      <c r="D23" s="18">
        <f t="shared" si="1"/>
        <v>8.8656965986332638E-3</v>
      </c>
      <c r="E23" s="19">
        <f>$C$23*'Master Inputs'!$C$30*'Master Inputs'!$C$38</f>
        <v>174750</v>
      </c>
      <c r="F23" s="19">
        <f>$C$23*'Master Inputs'!$C$30*'Master Inputs'!$D$38</f>
        <v>233000</v>
      </c>
      <c r="G23" s="19">
        <f>$C$23*'Master Inputs'!$C$30*'Master Inputs'!$E$38</f>
        <v>174750</v>
      </c>
      <c r="H23" s="10">
        <f t="shared" si="2"/>
        <v>582500</v>
      </c>
      <c r="I23" s="19">
        <f>$C$23*'Master Inputs'!$C$31*'Master Inputs'!$C$39</f>
        <v>104850</v>
      </c>
      <c r="J23" s="19">
        <f>$C$23*'Master Inputs'!$C$31*'Master Inputs'!$D$39</f>
        <v>122324.99999999999</v>
      </c>
      <c r="K23" s="19">
        <f>$C$23*'Master Inputs'!$C$31*'Master Inputs'!$E$39</f>
        <v>122324.99999999999</v>
      </c>
      <c r="L23" s="10">
        <f t="shared" si="3"/>
        <v>349500</v>
      </c>
      <c r="M23" s="19">
        <f>$C$23*'Master Inputs'!$C$32*'Master Inputs'!$C$40</f>
        <v>285425</v>
      </c>
      <c r="N23" s="19">
        <f>$C$23*'Master Inputs'!$C$32*'Master Inputs'!$D$40</f>
        <v>244650</v>
      </c>
      <c r="O23" s="19">
        <f>$C$23*'Master Inputs'!$C$32*'Master Inputs'!$E$40</f>
        <v>285425</v>
      </c>
      <c r="P23" s="10">
        <f t="shared" si="4"/>
        <v>815500</v>
      </c>
      <c r="Q23" s="19">
        <f>$C$23*'Master Inputs'!$C$33*'Master Inputs'!$C$41</f>
        <v>233000</v>
      </c>
      <c r="R23" s="19">
        <f>$C$23*'Master Inputs'!$C$33*'Master Inputs'!$D$41</f>
        <v>174750</v>
      </c>
      <c r="S23" s="19">
        <f>$C$23*'Master Inputs'!$C$33*'Master Inputs'!$E$41</f>
        <v>174750</v>
      </c>
      <c r="T23" s="10">
        <f t="shared" si="5"/>
        <v>582500</v>
      </c>
    </row>
    <row r="24" spans="1:20" x14ac:dyDescent="0.25">
      <c r="A24" s="9" t="s">
        <v>199</v>
      </c>
      <c r="B24" s="9"/>
      <c r="C24" s="10">
        <f>SUM(C11:C23)</f>
        <v>246020708</v>
      </c>
      <c r="D24" s="25">
        <f t="shared" si="1"/>
        <v>0.93611371420984868</v>
      </c>
      <c r="E24" s="10">
        <f t="shared" ref="E24:T24" si="6">SUM(E11:E23)</f>
        <v>18451553.100000001</v>
      </c>
      <c r="F24" s="10">
        <f t="shared" si="6"/>
        <v>24602070.800000001</v>
      </c>
      <c r="G24" s="10">
        <f t="shared" si="6"/>
        <v>18451553.100000001</v>
      </c>
      <c r="H24" s="10">
        <f t="shared" si="6"/>
        <v>61505177</v>
      </c>
      <c r="I24" s="10">
        <f t="shared" si="6"/>
        <v>11070931.859999999</v>
      </c>
      <c r="J24" s="10">
        <f t="shared" si="6"/>
        <v>12916087.169999998</v>
      </c>
      <c r="K24" s="10">
        <f t="shared" si="6"/>
        <v>12916087.169999998</v>
      </c>
      <c r="L24" s="10">
        <f t="shared" si="6"/>
        <v>36903106.200000003</v>
      </c>
      <c r="M24" s="10">
        <f t="shared" si="6"/>
        <v>30137536.73</v>
      </c>
      <c r="N24" s="10">
        <f t="shared" si="6"/>
        <v>25832174.34</v>
      </c>
      <c r="O24" s="10">
        <f t="shared" si="6"/>
        <v>30137536.73</v>
      </c>
      <c r="P24" s="10">
        <f t="shared" si="6"/>
        <v>86107247.799999997</v>
      </c>
      <c r="Q24" s="10">
        <f t="shared" si="6"/>
        <v>24602070.800000001</v>
      </c>
      <c r="R24" s="10">
        <f t="shared" si="6"/>
        <v>18451553.100000001</v>
      </c>
      <c r="S24" s="10">
        <f t="shared" si="6"/>
        <v>18451553.100000001</v>
      </c>
      <c r="T24" s="10">
        <f t="shared" si="6"/>
        <v>61505177</v>
      </c>
    </row>
    <row r="26" spans="1:20" ht="15.75" x14ac:dyDescent="0.25">
      <c r="A26" s="28" t="s">
        <v>200</v>
      </c>
      <c r="B26" s="29"/>
      <c r="C26" s="30">
        <f>C8+C24</f>
        <v>262810708</v>
      </c>
      <c r="D26" s="31" t="s">
        <v>26</v>
      </c>
      <c r="E26" s="30">
        <f t="shared" ref="E26:T26" si="7">E8+E24</f>
        <v>19710803.100000001</v>
      </c>
      <c r="F26" s="30">
        <f t="shared" si="7"/>
        <v>26281070.800000001</v>
      </c>
      <c r="G26" s="30">
        <f t="shared" si="7"/>
        <v>19710803.100000001</v>
      </c>
      <c r="H26" s="30">
        <f t="shared" si="7"/>
        <v>65702677</v>
      </c>
      <c r="I26" s="30">
        <f t="shared" si="7"/>
        <v>11826481.859999999</v>
      </c>
      <c r="J26" s="30">
        <f t="shared" si="7"/>
        <v>13797562.169999998</v>
      </c>
      <c r="K26" s="30">
        <f t="shared" si="7"/>
        <v>13797562.169999998</v>
      </c>
      <c r="L26" s="30">
        <f t="shared" si="7"/>
        <v>39421606.200000003</v>
      </c>
      <c r="M26" s="30">
        <f t="shared" si="7"/>
        <v>32194311.73</v>
      </c>
      <c r="N26" s="30">
        <f t="shared" si="7"/>
        <v>27595124.34</v>
      </c>
      <c r="O26" s="30">
        <f t="shared" si="7"/>
        <v>32194311.73</v>
      </c>
      <c r="P26" s="30">
        <f t="shared" si="7"/>
        <v>91983747.799999997</v>
      </c>
      <c r="Q26" s="30">
        <f t="shared" si="7"/>
        <v>26281070.800000001</v>
      </c>
      <c r="R26" s="30">
        <f t="shared" si="7"/>
        <v>19710803.100000001</v>
      </c>
      <c r="S26" s="30">
        <f t="shared" si="7"/>
        <v>19710803.100000001</v>
      </c>
      <c r="T26" s="30">
        <f t="shared" si="7"/>
        <v>65702677</v>
      </c>
    </row>
    <row r="27" spans="1:20" x14ac:dyDescent="0.25">
      <c r="A27" s="15" t="s">
        <v>201</v>
      </c>
      <c r="C27" s="6">
        <f>'Master Inputs'!$C$16</f>
        <v>7600000</v>
      </c>
    </row>
    <row r="28" spans="1:20" x14ac:dyDescent="0.25">
      <c r="A28" s="15" t="s">
        <v>202</v>
      </c>
      <c r="C28" s="6">
        <f>C27-C26</f>
        <v>-255210708</v>
      </c>
    </row>
    <row r="29" spans="1:20" x14ac:dyDescent="0.25">
      <c r="A29" s="15" t="s">
        <v>203</v>
      </c>
      <c r="C29" s="7">
        <f>IF(C27=0,0,C26/C27)</f>
        <v>34.580356315789473</v>
      </c>
    </row>
  </sheetData>
  <mergeCells count="3">
    <mergeCell ref="A1:T1"/>
    <mergeCell ref="A10:T10"/>
    <mergeCell ref="A5:T5"/>
  </mergeCells>
  <conditionalFormatting sqref="C28">
    <cfRule type="cellIs" dxfId="11" priority="1" operator="lessThan">
      <formula>0</formula>
    </cfRule>
    <cfRule type="cellIs" dxfId="10" priority="2" operator="greaterThanOrEqual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H19"/>
  <sheetViews>
    <sheetView workbookViewId="0">
      <selection sqref="A1:H1"/>
    </sheetView>
  </sheetViews>
  <sheetFormatPr defaultRowHeight="15" x14ac:dyDescent="0.25"/>
  <cols>
    <col min="1" max="1" width="30" customWidth="1"/>
    <col min="2" max="7" width="18" customWidth="1"/>
    <col min="8" max="8" width="12" customWidth="1"/>
  </cols>
  <sheetData>
    <row r="1" spans="1:8" ht="18.75" x14ac:dyDescent="0.3">
      <c r="A1" s="49" t="s">
        <v>242</v>
      </c>
      <c r="B1" s="47"/>
      <c r="C1" s="47"/>
      <c r="D1" s="47"/>
      <c r="E1" s="47"/>
      <c r="F1" s="47"/>
      <c r="G1" s="47"/>
      <c r="H1" s="47"/>
    </row>
    <row r="3" spans="1:8" ht="30" x14ac:dyDescent="0.25">
      <c r="A3" s="32" t="s">
        <v>243</v>
      </c>
      <c r="B3" s="32" t="s">
        <v>244</v>
      </c>
      <c r="C3" s="32" t="s">
        <v>245</v>
      </c>
      <c r="D3" s="32" t="s">
        <v>246</v>
      </c>
      <c r="E3" s="32" t="s">
        <v>247</v>
      </c>
      <c r="F3" s="32" t="s">
        <v>200</v>
      </c>
      <c r="G3" s="32" t="s">
        <v>248</v>
      </c>
      <c r="H3" s="32" t="s">
        <v>10</v>
      </c>
    </row>
    <row r="5" spans="1:8" x14ac:dyDescent="0.25">
      <c r="A5" s="5" t="s">
        <v>201</v>
      </c>
      <c r="B5" s="33">
        <f>'Master Inputs'!$C$13</f>
        <v>28500000</v>
      </c>
      <c r="C5" s="34">
        <f>'Master Inputs'!$C$15</f>
        <v>11400000</v>
      </c>
      <c r="D5" s="35">
        <f>'Master Inputs'!$C$16</f>
        <v>7600000</v>
      </c>
      <c r="E5" s="36">
        <f>C5+D5</f>
        <v>19000000</v>
      </c>
      <c r="F5" s="12">
        <f>B5+E5</f>
        <v>47500000</v>
      </c>
      <c r="G5" s="6">
        <f>'Master Inputs'!$C$17</f>
        <v>2500000</v>
      </c>
      <c r="H5" s="7">
        <f>IF(F$8=0,0,F5/F$8)</f>
        <v>9.2357728778671308E-2</v>
      </c>
    </row>
    <row r="6" spans="1:8" x14ac:dyDescent="0.25">
      <c r="A6" s="5" t="s">
        <v>11</v>
      </c>
      <c r="B6" s="33">
        <f>'Obj1 Helix'!C16</f>
        <v>134250000</v>
      </c>
      <c r="C6" s="34">
        <f>'Obj2A East'!C9</f>
        <v>30000000</v>
      </c>
      <c r="D6" s="35">
        <f>'Obj2B UPHR'!C8</f>
        <v>16790000</v>
      </c>
      <c r="E6" s="36">
        <f>C6+D6</f>
        <v>46790000</v>
      </c>
      <c r="F6" s="12">
        <f>B6+E6</f>
        <v>181040000</v>
      </c>
      <c r="H6" s="7">
        <f>IF(F$8=0,0,F6/F$8)</f>
        <v>0.35200933090717162</v>
      </c>
    </row>
    <row r="7" spans="1:8" x14ac:dyDescent="0.25">
      <c r="A7" s="5" t="s">
        <v>12</v>
      </c>
      <c r="B7" s="33">
        <f>'Obj1 Helix'!C29</f>
        <v>46322412.5</v>
      </c>
      <c r="C7" s="34">
        <f>'Obj2A East'!C22</f>
        <v>40921428</v>
      </c>
      <c r="D7" s="35">
        <f>'Obj2B UPHR'!C24</f>
        <v>246020708</v>
      </c>
      <c r="E7" s="36">
        <f>C7+D7</f>
        <v>286942136</v>
      </c>
      <c r="F7" s="12">
        <f>B7+E7</f>
        <v>333264548.5</v>
      </c>
      <c r="H7" s="7">
        <f>IF(F$8=0,0,F7/F$8)</f>
        <v>0.64799066909282832</v>
      </c>
    </row>
    <row r="8" spans="1:8" x14ac:dyDescent="0.25">
      <c r="A8" s="29" t="s">
        <v>249</v>
      </c>
      <c r="B8" s="30">
        <f>'Obj1 Helix'!C31</f>
        <v>180572412.5</v>
      </c>
      <c r="C8" s="30">
        <f>'Obj2A East'!C24</f>
        <v>70921428</v>
      </c>
      <c r="D8" s="30">
        <f>'Obj2B UPHR'!C26</f>
        <v>262810708</v>
      </c>
      <c r="E8" s="30">
        <f>C8+D8</f>
        <v>333732136</v>
      </c>
      <c r="F8" s="30">
        <f>B8+E8</f>
        <v>514304548.5</v>
      </c>
      <c r="G8" s="29"/>
      <c r="H8" s="31">
        <f>IF(F$8=0,0,F8/F$8)</f>
        <v>1</v>
      </c>
    </row>
    <row r="10" spans="1:8" x14ac:dyDescent="0.25">
      <c r="A10" s="5" t="s">
        <v>250</v>
      </c>
      <c r="B10" s="6">
        <f>B4-B7</f>
        <v>-46322412.5</v>
      </c>
      <c r="C10" s="6">
        <f>C4-C7</f>
        <v>-40921428</v>
      </c>
      <c r="D10" s="6">
        <f>D4-D7</f>
        <v>-246020708</v>
      </c>
      <c r="E10" s="6">
        <f>E4-E7</f>
        <v>-286942136</v>
      </c>
      <c r="F10" s="6">
        <f>F4-F7</f>
        <v>-333264548.5</v>
      </c>
    </row>
    <row r="11" spans="1:8" x14ac:dyDescent="0.25">
      <c r="A11" s="5" t="s">
        <v>203</v>
      </c>
      <c r="B11" s="7">
        <f>IF(B4=0,0,B7/B4)</f>
        <v>0</v>
      </c>
      <c r="C11" s="7">
        <f>IF(C4=0,0,C7/C4)</f>
        <v>0</v>
      </c>
      <c r="D11" s="7">
        <f>IF(D4=0,0,D7/D4)</f>
        <v>0</v>
      </c>
      <c r="E11" s="7">
        <f>IF(E4=0,0,E7/E4)</f>
        <v>0</v>
      </c>
      <c r="F11" s="7">
        <f>IF(F4=0,0,F7/F4)</f>
        <v>0</v>
      </c>
    </row>
    <row r="13" spans="1:8" x14ac:dyDescent="0.25">
      <c r="A13" s="42" t="s">
        <v>251</v>
      </c>
      <c r="B13" s="43"/>
      <c r="C13" s="43"/>
      <c r="D13" s="43"/>
      <c r="E13" s="43"/>
      <c r="F13" s="43"/>
      <c r="G13" s="43"/>
      <c r="H13" s="43"/>
    </row>
    <row r="14" spans="1:8" x14ac:dyDescent="0.25">
      <c r="A14" s="3" t="s">
        <v>28</v>
      </c>
      <c r="B14" s="3" t="s">
        <v>252</v>
      </c>
      <c r="C14" s="3" t="s">
        <v>253</v>
      </c>
      <c r="D14" s="3" t="s">
        <v>254</v>
      </c>
      <c r="E14" s="3" t="s">
        <v>247</v>
      </c>
      <c r="F14" s="3" t="s">
        <v>255</v>
      </c>
      <c r="G14" s="3"/>
      <c r="H14" s="3" t="s">
        <v>256</v>
      </c>
    </row>
    <row r="15" spans="1:8" x14ac:dyDescent="0.25">
      <c r="A15" s="5" t="s">
        <v>32</v>
      </c>
      <c r="B15" s="6">
        <f>'Obj1 Helix'!H31</f>
        <v>45143103.125</v>
      </c>
      <c r="C15" s="6">
        <f>'Obj2A East'!H24</f>
        <v>17730357</v>
      </c>
      <c r="D15" s="6">
        <f>'Obj2B UPHR'!H26</f>
        <v>65702677</v>
      </c>
      <c r="E15" s="6">
        <f>C15+D15</f>
        <v>83433034</v>
      </c>
      <c r="F15" s="12">
        <f>B15+E15</f>
        <v>128576137.125</v>
      </c>
      <c r="H15" s="7">
        <f>IF(F8=0,0,F15/F8)</f>
        <v>0.25</v>
      </c>
    </row>
    <row r="16" spans="1:8" x14ac:dyDescent="0.25">
      <c r="A16" s="5" t="s">
        <v>33</v>
      </c>
      <c r="B16" s="6">
        <f>'Obj1 Helix'!L31</f>
        <v>27085861.875</v>
      </c>
      <c r="C16" s="6">
        <f>'Obj2A East'!L24</f>
        <v>10638214.199999999</v>
      </c>
      <c r="D16" s="6">
        <f>'Obj2B UPHR'!L26</f>
        <v>39421606.200000003</v>
      </c>
      <c r="E16" s="6">
        <f>C16+D16</f>
        <v>50059820.400000006</v>
      </c>
      <c r="F16" s="12">
        <f>B16+E16</f>
        <v>77145682.275000006</v>
      </c>
      <c r="H16" s="7">
        <f>IF(F8=0,0,F16/F8)</f>
        <v>0.15000000000000002</v>
      </c>
    </row>
    <row r="17" spans="1:8" x14ac:dyDescent="0.25">
      <c r="A17" s="5" t="s">
        <v>34</v>
      </c>
      <c r="B17" s="6">
        <f>'Obj1 Helix'!P31</f>
        <v>63200344.375</v>
      </c>
      <c r="C17" s="6">
        <f>'Obj2A East'!P24</f>
        <v>24822499.799999997</v>
      </c>
      <c r="D17" s="6">
        <f>'Obj2B UPHR'!P26</f>
        <v>91983747.799999997</v>
      </c>
      <c r="E17" s="6">
        <f>C17+D17</f>
        <v>116806247.59999999</v>
      </c>
      <c r="F17" s="12">
        <f>B17+E17</f>
        <v>180006591.97499999</v>
      </c>
      <c r="H17" s="7">
        <f>IF(F8=0,0,F17/F8)</f>
        <v>0.35</v>
      </c>
    </row>
    <row r="18" spans="1:8" x14ac:dyDescent="0.25">
      <c r="A18" s="5" t="s">
        <v>35</v>
      </c>
      <c r="B18" s="6">
        <f>'Obj1 Helix'!T31</f>
        <v>45143103.125</v>
      </c>
      <c r="C18" s="6">
        <f>'Obj2A East'!T24</f>
        <v>17730357</v>
      </c>
      <c r="D18" s="6">
        <f>'Obj2B UPHR'!T26</f>
        <v>65702677</v>
      </c>
      <c r="E18" s="6">
        <f>C18+D18</f>
        <v>83433034</v>
      </c>
      <c r="F18" s="12">
        <f>B18+E18</f>
        <v>128576137.125</v>
      </c>
      <c r="H18" s="7">
        <f>IF(F8=0,0,F18/F8)</f>
        <v>0.25</v>
      </c>
    </row>
    <row r="19" spans="1:8" x14ac:dyDescent="0.25">
      <c r="A19" s="9" t="s">
        <v>257</v>
      </c>
      <c r="B19" s="10">
        <f>SUM(B15:B18)</f>
        <v>180572412.5</v>
      </c>
      <c r="C19" s="10">
        <f>SUM(C15:C18)</f>
        <v>70921428</v>
      </c>
      <c r="D19" s="10">
        <f>SUM(D15:D18)</f>
        <v>262810708</v>
      </c>
      <c r="E19" s="10">
        <f>SUM(E15:E18)</f>
        <v>333732136</v>
      </c>
      <c r="F19" s="10">
        <f>SUM(F15:F18)</f>
        <v>514304548.5</v>
      </c>
    </row>
  </sheetData>
  <mergeCells count="2">
    <mergeCell ref="A13:H13"/>
    <mergeCell ref="A1:H1"/>
  </mergeCells>
  <conditionalFormatting sqref="B10:F10">
    <cfRule type="cellIs" dxfId="9" priority="1" operator="lessThan">
      <formula>0</formula>
    </cfRule>
    <cfRule type="cellIs" dxfId="8" priority="2" operator="greaterThanOrEqual">
      <formula>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H25"/>
  <sheetViews>
    <sheetView workbookViewId="0">
      <selection sqref="A1:H1"/>
    </sheetView>
  </sheetViews>
  <sheetFormatPr defaultRowHeight="15" x14ac:dyDescent="0.25"/>
  <cols>
    <col min="1" max="1" width="30" customWidth="1"/>
    <col min="2" max="8" width="15" customWidth="1"/>
  </cols>
  <sheetData>
    <row r="1" spans="1:8" ht="18.75" x14ac:dyDescent="0.3">
      <c r="A1" s="49" t="s">
        <v>258</v>
      </c>
      <c r="B1" s="47"/>
      <c r="C1" s="47"/>
      <c r="D1" s="47"/>
      <c r="E1" s="47"/>
      <c r="F1" s="47"/>
      <c r="G1" s="47"/>
      <c r="H1" s="47"/>
    </row>
    <row r="3" spans="1:8" x14ac:dyDescent="0.25">
      <c r="A3" s="42" t="s">
        <v>259</v>
      </c>
      <c r="B3" s="43"/>
      <c r="C3" s="43"/>
      <c r="D3" s="43"/>
      <c r="E3" s="43"/>
      <c r="F3" s="43"/>
      <c r="G3" s="43"/>
      <c r="H3" s="43"/>
    </row>
    <row r="4" spans="1:8" x14ac:dyDescent="0.25">
      <c r="A4" s="3" t="s">
        <v>260</v>
      </c>
      <c r="B4" s="3" t="s">
        <v>32</v>
      </c>
      <c r="C4" s="3" t="s">
        <v>33</v>
      </c>
      <c r="D4" s="3" t="s">
        <v>34</v>
      </c>
      <c r="E4" s="3" t="s">
        <v>35</v>
      </c>
      <c r="F4" s="3" t="s">
        <v>257</v>
      </c>
      <c r="G4" s="3"/>
      <c r="H4" s="3"/>
    </row>
    <row r="5" spans="1:8" x14ac:dyDescent="0.25">
      <c r="A5" s="5" t="s">
        <v>261</v>
      </c>
      <c r="B5" s="6">
        <f>'Master Inputs'!$C$45*0.1</f>
        <v>12100</v>
      </c>
      <c r="C5" s="6">
        <f>'Master Inputs'!$C$45*0.15</f>
        <v>18150</v>
      </c>
      <c r="D5" s="6">
        <f>'Master Inputs'!$C$45*0.3</f>
        <v>36300</v>
      </c>
      <c r="E5" s="6">
        <f>'Master Inputs'!$C$45*0.45</f>
        <v>54450</v>
      </c>
      <c r="F5" s="12">
        <f>SUM(B5:E5)</f>
        <v>121000</v>
      </c>
    </row>
    <row r="6" spans="1:8" x14ac:dyDescent="0.25">
      <c r="A6" s="5" t="s">
        <v>262</v>
      </c>
      <c r="B6" s="6">
        <f>'Master Inputs'!$C$53*0.25</f>
        <v>67000</v>
      </c>
      <c r="C6" s="6">
        <f>'Master Inputs'!$C$53*0.19</f>
        <v>50920</v>
      </c>
      <c r="D6" s="6">
        <f>'Master Inputs'!$C$53*0.24</f>
        <v>64320</v>
      </c>
      <c r="E6" s="6">
        <f>'Master Inputs'!$C$53*0.32</f>
        <v>85760</v>
      </c>
      <c r="F6" s="12">
        <f>SUM(B6:E6)</f>
        <v>268000</v>
      </c>
    </row>
    <row r="7" spans="1:8" x14ac:dyDescent="0.25">
      <c r="A7" s="9" t="s">
        <v>263</v>
      </c>
      <c r="B7" s="10">
        <f>B5+B6</f>
        <v>79100</v>
      </c>
      <c r="C7" s="10">
        <f>C5+C6</f>
        <v>69070</v>
      </c>
      <c r="D7" s="10">
        <f>D5+D6</f>
        <v>100620</v>
      </c>
      <c r="E7" s="10">
        <f>E5+E6</f>
        <v>140210</v>
      </c>
      <c r="F7" s="10">
        <f>F5+F6</f>
        <v>389000</v>
      </c>
    </row>
    <row r="9" spans="1:8" x14ac:dyDescent="0.25">
      <c r="A9" s="42" t="s">
        <v>264</v>
      </c>
      <c r="B9" s="43"/>
      <c r="C9" s="43"/>
      <c r="D9" s="43"/>
      <c r="E9" s="43"/>
      <c r="F9" s="43"/>
      <c r="G9" s="43"/>
      <c r="H9" s="43"/>
    </row>
    <row r="10" spans="1:8" x14ac:dyDescent="0.25">
      <c r="A10" s="3" t="s">
        <v>260</v>
      </c>
      <c r="B10" s="3" t="s">
        <v>32</v>
      </c>
      <c r="C10" s="3" t="s">
        <v>33</v>
      </c>
      <c r="D10" s="3" t="s">
        <v>34</v>
      </c>
      <c r="E10" s="3" t="s">
        <v>35</v>
      </c>
      <c r="F10" s="3" t="s">
        <v>265</v>
      </c>
      <c r="G10" s="3"/>
      <c r="H10" s="3"/>
    </row>
    <row r="11" spans="1:8" x14ac:dyDescent="0.25">
      <c r="A11" s="5" t="s">
        <v>266</v>
      </c>
      <c r="B11" s="6">
        <f>IF(B5=0,0,Consolidated!B15/B5)</f>
        <v>3730.8349690082646</v>
      </c>
      <c r="C11" s="6">
        <f>IF(B5=0,0,Consolidated!B16/B5)</f>
        <v>2238.5009814049586</v>
      </c>
      <c r="D11" s="6">
        <f>IF(B5=0,0,Consolidated!B17/B5)</f>
        <v>5223.1689566115701</v>
      </c>
      <c r="E11" s="6">
        <f>IF(B5=0,0,Consolidated!B18/B5)</f>
        <v>3730.8349690082646</v>
      </c>
      <c r="F11" s="12">
        <f>IF(F5=0,0,Consolidated!B8/F5)</f>
        <v>1492.3339876033058</v>
      </c>
    </row>
    <row r="12" spans="1:8" x14ac:dyDescent="0.25">
      <c r="A12" s="5" t="s">
        <v>267</v>
      </c>
      <c r="B12" s="6">
        <f>IF(B6=0,0,(Consolidated!C15+Consolidated!D15)/B6)</f>
        <v>1245.2691641791046</v>
      </c>
      <c r="C12" s="6">
        <f>IF(B6=0,0,(Consolidated!C16+Consolidated!D16)/B6)</f>
        <v>747.16149850746274</v>
      </c>
      <c r="D12" s="6">
        <f>IF(B6=0,0,(Consolidated!C17+Consolidated!D17)/B6)</f>
        <v>1743.3768298507462</v>
      </c>
      <c r="E12" s="6">
        <f>IF(B6=0,0,(Consolidated!C18+Consolidated!D18)/B6)</f>
        <v>1245.2691641791046</v>
      </c>
      <c r="F12" s="12">
        <f>IF(F6=0,0,(Consolidated!C8+Consolidated!D8)/F6)</f>
        <v>1245.2691641791046</v>
      </c>
    </row>
    <row r="13" spans="1:8" x14ac:dyDescent="0.25">
      <c r="A13" s="9" t="s">
        <v>5</v>
      </c>
      <c r="B13" s="36">
        <f>IF(B7=0,0,Consolidated!F15/B7)</f>
        <v>1625.4884592288242</v>
      </c>
      <c r="C13" s="36">
        <f>IF(B7=0,0,Consolidated!F16/B7)</f>
        <v>975.29307553729461</v>
      </c>
      <c r="D13" s="36">
        <f>IF(B7=0,0,Consolidated!F17/B7)</f>
        <v>2275.683842920354</v>
      </c>
      <c r="E13" s="36">
        <f>IF(B7=0,0,Consolidated!F18/B7)</f>
        <v>1625.4884592288242</v>
      </c>
      <c r="F13" s="10">
        <f>IF(F7=0,0,Consolidated!F8/F7)</f>
        <v>1322.1196619537275</v>
      </c>
    </row>
    <row r="15" spans="1:8" x14ac:dyDescent="0.25">
      <c r="A15" s="42" t="s">
        <v>268</v>
      </c>
      <c r="B15" s="43"/>
      <c r="C15" s="43"/>
      <c r="D15" s="43"/>
      <c r="E15" s="43"/>
      <c r="F15" s="43"/>
      <c r="G15" s="43"/>
      <c r="H15" s="43"/>
    </row>
    <row r="16" spans="1:8" x14ac:dyDescent="0.25">
      <c r="A16" s="3" t="s">
        <v>13</v>
      </c>
      <c r="B16" s="3" t="s">
        <v>14</v>
      </c>
      <c r="C16" s="3" t="s">
        <v>15</v>
      </c>
      <c r="D16" s="3" t="s">
        <v>16</v>
      </c>
      <c r="E16" s="3"/>
      <c r="F16" s="3"/>
      <c r="G16" s="3"/>
      <c r="H16" s="3"/>
    </row>
    <row r="17" spans="1:8" x14ac:dyDescent="0.25">
      <c r="A17" s="5" t="s">
        <v>269</v>
      </c>
      <c r="B17" s="6">
        <f>F5*'Master Inputs'!$C$51</f>
        <v>5913028000</v>
      </c>
      <c r="C17" s="6">
        <f>F6*'Master Inputs'!$C$61</f>
        <v>13400000000</v>
      </c>
      <c r="D17" s="6">
        <f>B17+C17</f>
        <v>19313028000</v>
      </c>
    </row>
    <row r="18" spans="1:8" x14ac:dyDescent="0.25">
      <c r="A18" s="5" t="s">
        <v>270</v>
      </c>
      <c r="B18" s="6">
        <f>Consolidated!B8</f>
        <v>180572412.5</v>
      </c>
      <c r="C18" s="6">
        <f>Consolidated!E8</f>
        <v>333732136</v>
      </c>
      <c r="D18" s="6">
        <f>Consolidated!F8</f>
        <v>514304548.5</v>
      </c>
    </row>
    <row r="19" spans="1:8" x14ac:dyDescent="0.25">
      <c r="A19" s="9" t="s">
        <v>271</v>
      </c>
      <c r="B19" s="37">
        <f>IF(B17=0,0,B18/B17)</f>
        <v>3.0538061463602068E-2</v>
      </c>
      <c r="C19" s="37">
        <f>IF(C17=0,0,C18/C17)</f>
        <v>2.4905383283582088E-2</v>
      </c>
      <c r="D19" s="37">
        <f>IF(D17=0,0,D18/D17)</f>
        <v>2.6629928175944239E-2</v>
      </c>
    </row>
    <row r="21" spans="1:8" x14ac:dyDescent="0.25">
      <c r="A21" s="42" t="s">
        <v>272</v>
      </c>
      <c r="B21" s="43"/>
      <c r="C21" s="43"/>
      <c r="D21" s="43"/>
      <c r="E21" s="43"/>
      <c r="F21" s="43"/>
      <c r="G21" s="43"/>
      <c r="H21" s="43"/>
    </row>
    <row r="22" spans="1:8" x14ac:dyDescent="0.25">
      <c r="A22" s="3" t="s">
        <v>13</v>
      </c>
      <c r="B22" s="3" t="s">
        <v>14</v>
      </c>
      <c r="C22" s="3" t="s">
        <v>15</v>
      </c>
      <c r="D22" s="3"/>
      <c r="E22" s="3"/>
      <c r="F22" s="3"/>
      <c r="G22" s="3"/>
      <c r="H22" s="3"/>
    </row>
    <row r="23" spans="1:8" x14ac:dyDescent="0.25">
      <c r="A23" s="5" t="s">
        <v>273</v>
      </c>
      <c r="B23" s="6">
        <f>'Master Inputs'!$C$48</f>
        <v>2015</v>
      </c>
      <c r="C23" s="6">
        <f>'Master Inputs'!$C$56</f>
        <v>1590</v>
      </c>
    </row>
    <row r="24" spans="1:8" x14ac:dyDescent="0.25">
      <c r="A24" s="5" t="s">
        <v>274</v>
      </c>
      <c r="B24" s="6">
        <f>'Master Inputs'!$C$49</f>
        <v>1310</v>
      </c>
      <c r="C24" s="6">
        <f>'Master Inputs'!$C$57</f>
        <v>1033</v>
      </c>
    </row>
    <row r="25" spans="1:8" x14ac:dyDescent="0.25">
      <c r="A25" s="5" t="s">
        <v>275</v>
      </c>
      <c r="B25" s="7">
        <f>IF(B23=0,0,B24/B23)</f>
        <v>0.65012406947890822</v>
      </c>
      <c r="C25" s="7">
        <f>IF(C23=0,0,C24/C23)</f>
        <v>0.64968553459119494</v>
      </c>
    </row>
  </sheetData>
  <mergeCells count="5">
    <mergeCell ref="A9:H9"/>
    <mergeCell ref="A3:H3"/>
    <mergeCell ref="A21:H21"/>
    <mergeCell ref="A15:H15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E30"/>
  <sheetViews>
    <sheetView workbookViewId="0">
      <selection sqref="A1:E1"/>
    </sheetView>
  </sheetViews>
  <sheetFormatPr defaultRowHeight="15" x14ac:dyDescent="0.25"/>
  <cols>
    <col min="1" max="1" width="5" customWidth="1"/>
    <col min="2" max="2" width="35" customWidth="1"/>
    <col min="3" max="4" width="15" customWidth="1"/>
    <col min="5" max="5" width="40" customWidth="1"/>
  </cols>
  <sheetData>
    <row r="1" spans="1:5" ht="18.75" x14ac:dyDescent="0.3">
      <c r="A1" s="49" t="s">
        <v>276</v>
      </c>
      <c r="B1" s="47"/>
      <c r="C1" s="47"/>
      <c r="D1" s="47"/>
      <c r="E1" s="47"/>
    </row>
    <row r="2" spans="1:5" x14ac:dyDescent="0.25">
      <c r="A2" s="48" t="s">
        <v>277</v>
      </c>
      <c r="B2" s="45"/>
      <c r="C2" s="45"/>
      <c r="D2" s="45"/>
      <c r="E2" s="45"/>
    </row>
    <row r="3" spans="1:5" x14ac:dyDescent="0.25">
      <c r="A3" s="20" t="s">
        <v>278</v>
      </c>
      <c r="B3" s="20" t="s">
        <v>137</v>
      </c>
      <c r="C3" s="20" t="s">
        <v>279</v>
      </c>
      <c r="D3" s="20" t="s">
        <v>280</v>
      </c>
      <c r="E3" s="20" t="s">
        <v>281</v>
      </c>
    </row>
    <row r="4" spans="1:5" x14ac:dyDescent="0.25">
      <c r="A4" s="50" t="s">
        <v>282</v>
      </c>
      <c r="B4" s="51"/>
      <c r="C4" s="51"/>
      <c r="D4" s="51"/>
      <c r="E4" s="51"/>
    </row>
    <row r="5" spans="1:5" x14ac:dyDescent="0.25">
      <c r="A5" s="38">
        <v>1</v>
      </c>
      <c r="B5" s="38" t="s">
        <v>157</v>
      </c>
      <c r="C5" s="39">
        <v>15</v>
      </c>
      <c r="D5" s="38" t="s">
        <v>283</v>
      </c>
      <c r="E5" s="38" t="s">
        <v>284</v>
      </c>
    </row>
    <row r="6" spans="1:5" x14ac:dyDescent="0.25">
      <c r="A6" s="38">
        <v>2</v>
      </c>
      <c r="B6" s="38" t="s">
        <v>159</v>
      </c>
      <c r="C6" s="39">
        <v>250000</v>
      </c>
      <c r="D6" s="38" t="s">
        <v>285</v>
      </c>
      <c r="E6" s="38" t="s">
        <v>286</v>
      </c>
    </row>
    <row r="7" spans="1:5" x14ac:dyDescent="0.25">
      <c r="A7" s="38">
        <v>3</v>
      </c>
      <c r="B7" s="38" t="s">
        <v>161</v>
      </c>
      <c r="C7" s="39">
        <v>50000</v>
      </c>
      <c r="D7" s="38" t="s">
        <v>287</v>
      </c>
      <c r="E7" s="38" t="s">
        <v>288</v>
      </c>
    </row>
    <row r="8" spans="1:5" x14ac:dyDescent="0.25">
      <c r="A8" s="38">
        <v>4</v>
      </c>
      <c r="B8" s="38" t="s">
        <v>163</v>
      </c>
      <c r="C8" s="39">
        <v>500000</v>
      </c>
      <c r="D8" s="38" t="s">
        <v>285</v>
      </c>
      <c r="E8" s="38" t="s">
        <v>289</v>
      </c>
    </row>
    <row r="9" spans="1:5" x14ac:dyDescent="0.25">
      <c r="A9" s="38">
        <v>5</v>
      </c>
      <c r="B9" s="38" t="s">
        <v>165</v>
      </c>
      <c r="C9" s="39">
        <v>500000</v>
      </c>
      <c r="D9" s="38" t="s">
        <v>290</v>
      </c>
      <c r="E9" s="38" t="s">
        <v>291</v>
      </c>
    </row>
    <row r="10" spans="1:5" x14ac:dyDescent="0.25">
      <c r="A10" s="38">
        <v>6</v>
      </c>
      <c r="B10" s="38" t="s">
        <v>167</v>
      </c>
      <c r="C10" s="39">
        <v>7000</v>
      </c>
      <c r="D10" s="38" t="s">
        <v>292</v>
      </c>
      <c r="E10" s="38" t="s">
        <v>293</v>
      </c>
    </row>
    <row r="11" spans="1:5" x14ac:dyDescent="0.25">
      <c r="A11" s="38">
        <v>7</v>
      </c>
      <c r="B11" s="38" t="s">
        <v>169</v>
      </c>
      <c r="C11" s="39">
        <v>500000</v>
      </c>
      <c r="D11" s="38" t="s">
        <v>290</v>
      </c>
      <c r="E11" s="38" t="s">
        <v>294</v>
      </c>
    </row>
    <row r="12" spans="1:5" x14ac:dyDescent="0.25">
      <c r="A12" s="38">
        <v>8</v>
      </c>
      <c r="B12" s="38" t="s">
        <v>171</v>
      </c>
      <c r="C12" s="39">
        <v>700</v>
      </c>
      <c r="D12" s="38" t="s">
        <v>295</v>
      </c>
      <c r="E12" s="38" t="s">
        <v>296</v>
      </c>
    </row>
    <row r="13" spans="1:5" x14ac:dyDescent="0.25">
      <c r="A13" s="38">
        <v>9</v>
      </c>
      <c r="B13" s="38" t="s">
        <v>173</v>
      </c>
      <c r="C13" s="39">
        <v>4000</v>
      </c>
      <c r="D13" s="38" t="s">
        <v>297</v>
      </c>
      <c r="E13" s="38" t="s">
        <v>298</v>
      </c>
    </row>
    <row r="14" spans="1:5" x14ac:dyDescent="0.25">
      <c r="A14" s="38">
        <v>10</v>
      </c>
      <c r="B14" s="38" t="s">
        <v>175</v>
      </c>
      <c r="C14" s="39">
        <v>100000</v>
      </c>
      <c r="D14" s="38" t="s">
        <v>299</v>
      </c>
      <c r="E14" s="38" t="s">
        <v>300</v>
      </c>
    </row>
    <row r="15" spans="1:5" x14ac:dyDescent="0.25">
      <c r="A15" s="50" t="s">
        <v>301</v>
      </c>
      <c r="B15" s="51"/>
      <c r="C15" s="51"/>
      <c r="D15" s="51"/>
      <c r="E15" s="51"/>
    </row>
    <row r="16" spans="1:5" x14ac:dyDescent="0.25">
      <c r="A16" s="38">
        <v>11</v>
      </c>
      <c r="B16" s="38" t="s">
        <v>179</v>
      </c>
      <c r="C16" s="39">
        <v>1200</v>
      </c>
      <c r="D16" s="38" t="s">
        <v>302</v>
      </c>
      <c r="E16" s="38" t="s">
        <v>303</v>
      </c>
    </row>
    <row r="17" spans="1:5" x14ac:dyDescent="0.25">
      <c r="A17" s="38">
        <v>12</v>
      </c>
      <c r="B17" s="38" t="s">
        <v>181</v>
      </c>
      <c r="C17" s="39">
        <v>6510</v>
      </c>
      <c r="D17" s="38" t="s">
        <v>302</v>
      </c>
      <c r="E17" s="38" t="s">
        <v>304</v>
      </c>
    </row>
    <row r="18" spans="1:5" x14ac:dyDescent="0.25">
      <c r="A18" s="38">
        <v>13</v>
      </c>
      <c r="B18" s="38" t="s">
        <v>183</v>
      </c>
      <c r="C18" s="39">
        <v>10000</v>
      </c>
      <c r="D18" s="38" t="s">
        <v>305</v>
      </c>
      <c r="E18" s="38" t="s">
        <v>306</v>
      </c>
    </row>
    <row r="19" spans="1:5" x14ac:dyDescent="0.25">
      <c r="A19" s="38">
        <v>14</v>
      </c>
      <c r="B19" s="38" t="s">
        <v>185</v>
      </c>
      <c r="C19" s="39">
        <v>40000</v>
      </c>
      <c r="D19" s="38" t="s">
        <v>305</v>
      </c>
      <c r="E19" s="38" t="s">
        <v>307</v>
      </c>
    </row>
    <row r="20" spans="1:5" x14ac:dyDescent="0.25">
      <c r="A20" s="38">
        <v>15</v>
      </c>
      <c r="B20" s="38" t="s">
        <v>308</v>
      </c>
      <c r="C20" s="39">
        <v>3500</v>
      </c>
      <c r="D20" s="38" t="s">
        <v>309</v>
      </c>
      <c r="E20" s="38" t="s">
        <v>310</v>
      </c>
    </row>
    <row r="21" spans="1:5" x14ac:dyDescent="0.25">
      <c r="A21" s="38">
        <v>16</v>
      </c>
      <c r="B21" s="38" t="s">
        <v>311</v>
      </c>
      <c r="C21" s="39">
        <v>1000</v>
      </c>
      <c r="D21" s="38" t="s">
        <v>309</v>
      </c>
      <c r="E21" s="38" t="s">
        <v>310</v>
      </c>
    </row>
    <row r="22" spans="1:5" x14ac:dyDescent="0.25">
      <c r="A22" s="38">
        <v>17</v>
      </c>
      <c r="B22" s="38" t="s">
        <v>312</v>
      </c>
      <c r="C22" s="39">
        <v>300</v>
      </c>
      <c r="D22" s="38" t="s">
        <v>309</v>
      </c>
      <c r="E22" s="38" t="s">
        <v>313</v>
      </c>
    </row>
    <row r="23" spans="1:5" x14ac:dyDescent="0.25">
      <c r="A23" s="38">
        <v>18</v>
      </c>
      <c r="B23" s="38" t="s">
        <v>193</v>
      </c>
      <c r="C23" s="39">
        <v>400</v>
      </c>
      <c r="D23" s="38" t="s">
        <v>314</v>
      </c>
      <c r="E23" s="38" t="s">
        <v>315</v>
      </c>
    </row>
    <row r="24" spans="1:5" x14ac:dyDescent="0.25">
      <c r="A24" s="38">
        <v>19</v>
      </c>
      <c r="B24" s="38" t="s">
        <v>316</v>
      </c>
      <c r="C24" s="39">
        <v>1500</v>
      </c>
      <c r="D24" s="38" t="s">
        <v>302</v>
      </c>
      <c r="E24" s="38" t="s">
        <v>317</v>
      </c>
    </row>
    <row r="25" spans="1:5" x14ac:dyDescent="0.25">
      <c r="A25" s="38">
        <v>20</v>
      </c>
      <c r="B25" s="38" t="s">
        <v>195</v>
      </c>
      <c r="C25" s="39">
        <v>3000</v>
      </c>
      <c r="D25" s="38" t="s">
        <v>318</v>
      </c>
      <c r="E25" s="38" t="s">
        <v>319</v>
      </c>
    </row>
    <row r="26" spans="1:5" x14ac:dyDescent="0.25">
      <c r="A26" s="38">
        <v>21</v>
      </c>
      <c r="B26" s="38" t="s">
        <v>320</v>
      </c>
      <c r="C26" s="39">
        <v>500</v>
      </c>
      <c r="D26" s="38" t="s">
        <v>321</v>
      </c>
      <c r="E26" s="38" t="s">
        <v>322</v>
      </c>
    </row>
    <row r="27" spans="1:5" x14ac:dyDescent="0.25">
      <c r="A27" s="38">
        <v>22</v>
      </c>
      <c r="B27" s="38" t="s">
        <v>197</v>
      </c>
      <c r="C27" s="39">
        <v>100000</v>
      </c>
      <c r="D27" s="38" t="s">
        <v>309</v>
      </c>
      <c r="E27" s="38" t="s">
        <v>323</v>
      </c>
    </row>
    <row r="28" spans="1:5" x14ac:dyDescent="0.25">
      <c r="A28" s="38">
        <v>23</v>
      </c>
      <c r="B28" s="38" t="s">
        <v>218</v>
      </c>
      <c r="C28" s="39">
        <v>2000</v>
      </c>
      <c r="D28" s="38" t="s">
        <v>324</v>
      </c>
      <c r="E28" s="38" t="s">
        <v>325</v>
      </c>
    </row>
    <row r="29" spans="1:5" x14ac:dyDescent="0.25">
      <c r="A29" s="38">
        <v>24</v>
      </c>
      <c r="B29" s="38" t="s">
        <v>326</v>
      </c>
      <c r="C29" s="39">
        <v>5000</v>
      </c>
      <c r="D29" s="38" t="s">
        <v>327</v>
      </c>
      <c r="E29" s="38" t="s">
        <v>328</v>
      </c>
    </row>
    <row r="30" spans="1:5" x14ac:dyDescent="0.25">
      <c r="A30" s="38">
        <v>25</v>
      </c>
      <c r="B30" s="38" t="s">
        <v>237</v>
      </c>
      <c r="C30" s="39">
        <v>10000</v>
      </c>
      <c r="D30" s="38" t="s">
        <v>329</v>
      </c>
      <c r="E30" s="38" t="s">
        <v>330</v>
      </c>
    </row>
  </sheetData>
  <mergeCells count="4">
    <mergeCell ref="A2:E2"/>
    <mergeCell ref="A15:E15"/>
    <mergeCell ref="A1:E1"/>
    <mergeCell ref="A4:E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G22"/>
  <sheetViews>
    <sheetView workbookViewId="0">
      <selection sqref="A1:G1"/>
    </sheetView>
  </sheetViews>
  <sheetFormatPr defaultRowHeight="15" x14ac:dyDescent="0.25"/>
  <cols>
    <col min="1" max="1" width="30" customWidth="1"/>
    <col min="2" max="7" width="15" customWidth="1"/>
  </cols>
  <sheetData>
    <row r="1" spans="1:7" ht="18.75" x14ac:dyDescent="0.3">
      <c r="A1" s="49" t="s">
        <v>331</v>
      </c>
      <c r="B1" s="47"/>
      <c r="C1" s="47"/>
      <c r="D1" s="47"/>
      <c r="E1" s="47"/>
      <c r="F1" s="47"/>
      <c r="G1" s="47"/>
    </row>
    <row r="3" spans="1:7" x14ac:dyDescent="0.25">
      <c r="A3" s="42" t="s">
        <v>332</v>
      </c>
      <c r="B3" s="43"/>
      <c r="C3" s="43"/>
      <c r="D3" s="43"/>
      <c r="E3" s="43"/>
      <c r="F3" s="43"/>
      <c r="G3" s="43"/>
    </row>
    <row r="4" spans="1:7" ht="30" x14ac:dyDescent="0.25">
      <c r="A4" s="3" t="s">
        <v>333</v>
      </c>
      <c r="B4" s="3" t="s">
        <v>9</v>
      </c>
      <c r="C4" s="3" t="s">
        <v>334</v>
      </c>
      <c r="D4" s="3" t="s">
        <v>335</v>
      </c>
      <c r="E4" s="3" t="s">
        <v>336</v>
      </c>
      <c r="F4" s="3" t="s">
        <v>337</v>
      </c>
      <c r="G4" s="3" t="s">
        <v>5</v>
      </c>
    </row>
    <row r="5" spans="1:7" x14ac:dyDescent="0.25">
      <c r="A5" s="4" t="s">
        <v>338</v>
      </c>
      <c r="B5" s="6">
        <f>'Master Inputs'!$C$5*1</f>
        <v>50000000</v>
      </c>
      <c r="C5" s="6">
        <f>B5*'Master Inputs'!$C$6*(1-'Master Inputs'!$C$10)</f>
        <v>28500000</v>
      </c>
      <c r="D5" s="6">
        <f>B5*'Master Inputs'!$C$7*(1-'Master Inputs'!$C$10)</f>
        <v>19000000</v>
      </c>
      <c r="E5" s="6">
        <f>IF('Vol Projections'!F5=0,0,C5/'Vol Projections'!F5)</f>
        <v>235.53719008264463</v>
      </c>
      <c r="F5" s="6">
        <f>IF('Vol Projections'!F6=0,0,D5/'Vol Projections'!F6)</f>
        <v>70.895522388059703</v>
      </c>
      <c r="G5" s="6">
        <f>IF('Vol Projections'!F7=0,0,B5/'Vol Projections'!F7)</f>
        <v>128.53470437017995</v>
      </c>
    </row>
    <row r="6" spans="1:7" x14ac:dyDescent="0.25">
      <c r="A6" s="4" t="s">
        <v>339</v>
      </c>
      <c r="B6" s="6">
        <f>'Master Inputs'!$C$5*0.8</f>
        <v>40000000</v>
      </c>
      <c r="C6" s="6">
        <f>B6*'Master Inputs'!$C$6*(1-'Master Inputs'!$C$10)</f>
        <v>22800000</v>
      </c>
      <c r="D6" s="6">
        <f>B6*'Master Inputs'!$C$7*(1-'Master Inputs'!$C$10)</f>
        <v>15200000</v>
      </c>
      <c r="E6" s="6">
        <f>IF('Vol Projections'!F5=0,0,C6/'Vol Projections'!F5)</f>
        <v>188.4297520661157</v>
      </c>
      <c r="F6" s="6">
        <f>IF('Vol Projections'!F6=0,0,D6/'Vol Projections'!F6)</f>
        <v>56.71641791044776</v>
      </c>
      <c r="G6" s="6">
        <f>IF('Vol Projections'!F7=0,0,B6/'Vol Projections'!F7)</f>
        <v>102.82776349614396</v>
      </c>
    </row>
    <row r="7" spans="1:7" x14ac:dyDescent="0.25">
      <c r="A7" s="4" t="s">
        <v>340</v>
      </c>
      <c r="B7" s="6">
        <f>'Master Inputs'!$C$5*0.9</f>
        <v>45000000</v>
      </c>
      <c r="C7" s="6">
        <f>B7*'Master Inputs'!$C$6*(1-'Master Inputs'!$C$10)</f>
        <v>25650000</v>
      </c>
      <c r="D7" s="6">
        <f>B7*'Master Inputs'!$C$7*(1-'Master Inputs'!$C$10)</f>
        <v>17100000</v>
      </c>
      <c r="E7" s="6">
        <f>IF('Vol Projections'!F5=0,0,C7/'Vol Projections'!F5)</f>
        <v>211.98347107438016</v>
      </c>
      <c r="F7" s="6">
        <f>IF('Vol Projections'!F6=0,0,D7/'Vol Projections'!F6)</f>
        <v>63.805970149253731</v>
      </c>
      <c r="G7" s="6">
        <f>IF('Vol Projections'!F7=0,0,B7/'Vol Projections'!F7)</f>
        <v>115.68123393316195</v>
      </c>
    </row>
    <row r="8" spans="1:7" x14ac:dyDescent="0.25">
      <c r="A8" s="4" t="s">
        <v>341</v>
      </c>
      <c r="B8" s="6">
        <f>'Master Inputs'!$C$5*1.1</f>
        <v>55000000.000000007</v>
      </c>
      <c r="C8" s="6">
        <f>B8*'Master Inputs'!$C$6*(1-'Master Inputs'!$C$10)</f>
        <v>31350000.000000004</v>
      </c>
      <c r="D8" s="6">
        <f>B8*'Master Inputs'!$C$7*(1-'Master Inputs'!$C$10)</f>
        <v>20900000.000000004</v>
      </c>
      <c r="E8" s="6">
        <f>IF('Vol Projections'!F5=0,0,C8/'Vol Projections'!F5)</f>
        <v>259.09090909090912</v>
      </c>
      <c r="F8" s="6">
        <f>IF('Vol Projections'!F6=0,0,D8/'Vol Projections'!F6)</f>
        <v>77.985074626865682</v>
      </c>
      <c r="G8" s="6">
        <f>IF('Vol Projections'!F7=0,0,B8/'Vol Projections'!F7)</f>
        <v>141.38817480719797</v>
      </c>
    </row>
    <row r="9" spans="1:7" x14ac:dyDescent="0.25">
      <c r="A9" s="4" t="s">
        <v>342</v>
      </c>
      <c r="B9" s="6">
        <f>'Master Inputs'!$C$5*1.2</f>
        <v>60000000</v>
      </c>
      <c r="C9" s="6">
        <f>B9*'Master Inputs'!$C$6*(1-'Master Inputs'!$C$10)</f>
        <v>34200000</v>
      </c>
      <c r="D9" s="6">
        <f>B9*'Master Inputs'!$C$7*(1-'Master Inputs'!$C$10)</f>
        <v>22800000</v>
      </c>
      <c r="E9" s="6">
        <f>IF('Vol Projections'!F5=0,0,C9/'Vol Projections'!F5)</f>
        <v>282.64462809917353</v>
      </c>
      <c r="F9" s="6">
        <f>IF('Vol Projections'!F6=0,0,D9/'Vol Projections'!F6)</f>
        <v>85.074626865671647</v>
      </c>
      <c r="G9" s="6">
        <f>IF('Vol Projections'!F7=0,0,B9/'Vol Projections'!F7)</f>
        <v>154.24164524421593</v>
      </c>
    </row>
    <row r="11" spans="1:7" x14ac:dyDescent="0.25">
      <c r="A11" s="42" t="s">
        <v>343</v>
      </c>
      <c r="B11" s="43"/>
      <c r="C11" s="43"/>
      <c r="D11" s="43"/>
      <c r="E11" s="43"/>
      <c r="F11" s="43"/>
      <c r="G11" s="43"/>
    </row>
    <row r="12" spans="1:7" x14ac:dyDescent="0.25">
      <c r="A12" s="3" t="s">
        <v>13</v>
      </c>
      <c r="B12" s="3" t="s">
        <v>14</v>
      </c>
      <c r="C12" s="3" t="s">
        <v>344</v>
      </c>
      <c r="D12" s="3" t="s">
        <v>345</v>
      </c>
      <c r="E12" s="3" t="s">
        <v>16</v>
      </c>
      <c r="F12" s="3"/>
      <c r="G12" s="3"/>
    </row>
    <row r="13" spans="1:7" x14ac:dyDescent="0.25">
      <c r="A13" s="4" t="s">
        <v>346</v>
      </c>
      <c r="B13" s="6">
        <f>IF('Master Inputs'!$C$48=0,0,Consolidated!B8/'Master Inputs'!$C$48)</f>
        <v>89614.100496277912</v>
      </c>
      <c r="C13" s="6">
        <f>IF('Master Inputs'!$C$56*'Master Inputs'!$C$62=0,0,Consolidated!C8/('Master Inputs'!$C$56*'Master Inputs'!$C$62))</f>
        <v>74341.119496855346</v>
      </c>
      <c r="D13" s="6">
        <f>IF('Master Inputs'!$C$56*'Master Inputs'!$C$63=0,0,Consolidated!D8/('Master Inputs'!$C$56*'Master Inputs'!$C$63))</f>
        <v>413224.38364779874</v>
      </c>
      <c r="E13" s="6"/>
    </row>
    <row r="14" spans="1:7" x14ac:dyDescent="0.25">
      <c r="A14" s="4" t="s">
        <v>347</v>
      </c>
      <c r="B14" s="6">
        <f>IF('Master Inputs'!$C$49=0,0,Consolidated!B8/'Master Inputs'!$C$49)</f>
        <v>137841.53625954199</v>
      </c>
      <c r="C14" s="6"/>
      <c r="D14" s="6"/>
      <c r="E14" s="6"/>
    </row>
    <row r="15" spans="1:7" x14ac:dyDescent="0.25">
      <c r="A15" s="4" t="s">
        <v>348</v>
      </c>
      <c r="B15" s="6">
        <f>IF('Master Inputs'!$C$44=0,0,Consolidated!B8/'Master Inputs'!$C$44)</f>
        <v>4299343.1547619049</v>
      </c>
      <c r="C15" s="6">
        <f>IF('Master Inputs'!$C$52*'Master Inputs'!$C$62=0,0,Consolidated!C8/('Master Inputs'!$C$52*'Master Inputs'!$C$62))</f>
        <v>2110756.7857142854</v>
      </c>
      <c r="D15" s="6"/>
      <c r="E15" s="6"/>
    </row>
    <row r="16" spans="1:7" x14ac:dyDescent="0.25">
      <c r="A16" s="4" t="s">
        <v>349</v>
      </c>
      <c r="B16" s="6"/>
      <c r="C16" s="6"/>
      <c r="D16" s="6"/>
      <c r="E16" s="6"/>
    </row>
    <row r="18" spans="1:7" x14ac:dyDescent="0.25">
      <c r="A18" s="42" t="s">
        <v>350</v>
      </c>
      <c r="B18" s="43"/>
      <c r="C18" s="43"/>
      <c r="D18" s="43"/>
      <c r="E18" s="43"/>
      <c r="F18" s="43"/>
      <c r="G18" s="43"/>
    </row>
    <row r="19" spans="1:7" x14ac:dyDescent="0.25">
      <c r="A19" s="3" t="s">
        <v>13</v>
      </c>
      <c r="B19" s="3" t="s">
        <v>252</v>
      </c>
      <c r="C19" s="3" t="s">
        <v>253</v>
      </c>
      <c r="D19" s="3" t="s">
        <v>254</v>
      </c>
      <c r="E19" s="3" t="s">
        <v>31</v>
      </c>
      <c r="F19" s="3"/>
      <c r="G19" s="3"/>
    </row>
    <row r="20" spans="1:7" x14ac:dyDescent="0.25">
      <c r="A20" s="5" t="s">
        <v>351</v>
      </c>
      <c r="B20" s="6">
        <f>'Master Inputs'!$C$13</f>
        <v>28500000</v>
      </c>
      <c r="C20" s="6">
        <f>'Master Inputs'!$C$15</f>
        <v>11400000</v>
      </c>
      <c r="D20" s="6">
        <f>'Master Inputs'!$C$16</f>
        <v>7600000</v>
      </c>
      <c r="E20" s="6">
        <f>B20+C20+D20</f>
        <v>47500000</v>
      </c>
    </row>
    <row r="21" spans="1:7" x14ac:dyDescent="0.25">
      <c r="A21" s="5" t="s">
        <v>352</v>
      </c>
      <c r="B21" s="6">
        <f>Consolidated!B8</f>
        <v>180572412.5</v>
      </c>
      <c r="C21" s="6">
        <f>Consolidated!C8</f>
        <v>70921428</v>
      </c>
      <c r="D21" s="6">
        <f>Consolidated!D8</f>
        <v>262810708</v>
      </c>
      <c r="E21" s="6">
        <f>B21+C21+D21</f>
        <v>514304548.5</v>
      </c>
    </row>
    <row r="22" spans="1:7" x14ac:dyDescent="0.25">
      <c r="A22" s="5" t="s">
        <v>353</v>
      </c>
      <c r="B22" s="7">
        <f>IF(B20=0,0,B21/B20)</f>
        <v>6.3358741228070175</v>
      </c>
      <c r="C22" s="7">
        <f>IF(C20=0,0,C21/C20)</f>
        <v>6.2211778947368419</v>
      </c>
      <c r="D22" s="7">
        <f>IF(D20=0,0,D21/D20)</f>
        <v>34.580356315789473</v>
      </c>
      <c r="E22" s="7">
        <f>IF(E20=0,0,E21/E20)</f>
        <v>10.827464178947368</v>
      </c>
    </row>
  </sheetData>
  <mergeCells count="4">
    <mergeCell ref="A3:G3"/>
    <mergeCell ref="A11:G11"/>
    <mergeCell ref="A1:G1"/>
    <mergeCell ref="A18:G1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08080"/>
  </sheetPr>
  <dimension ref="A1:G37"/>
  <sheetViews>
    <sheetView workbookViewId="0">
      <selection sqref="A1:G1"/>
    </sheetView>
  </sheetViews>
  <sheetFormatPr defaultRowHeight="15" x14ac:dyDescent="0.25"/>
  <cols>
    <col min="1" max="1" width="25" customWidth="1"/>
    <col min="2" max="6" width="18" customWidth="1"/>
    <col min="7" max="7" width="25" customWidth="1"/>
  </cols>
  <sheetData>
    <row r="1" spans="1:7" ht="18.75" x14ac:dyDescent="0.3">
      <c r="A1" s="49" t="s">
        <v>354</v>
      </c>
      <c r="B1" s="47"/>
      <c r="C1" s="47"/>
      <c r="D1" s="47"/>
      <c r="E1" s="47"/>
      <c r="F1" s="47"/>
      <c r="G1" s="47"/>
    </row>
    <row r="2" spans="1:7" x14ac:dyDescent="0.25">
      <c r="A2" s="48" t="s">
        <v>355</v>
      </c>
      <c r="B2" s="45"/>
      <c r="C2" s="45"/>
      <c r="D2" s="45"/>
      <c r="E2" s="45"/>
      <c r="F2" s="45"/>
      <c r="G2" s="45"/>
    </row>
    <row r="4" spans="1:7" x14ac:dyDescent="0.25">
      <c r="A4" s="42" t="s">
        <v>356</v>
      </c>
      <c r="B4" s="43"/>
      <c r="C4" s="43"/>
      <c r="D4" s="43"/>
      <c r="E4" s="43"/>
      <c r="F4" s="43"/>
      <c r="G4" s="43"/>
    </row>
    <row r="5" spans="1:7" x14ac:dyDescent="0.25">
      <c r="A5" s="3" t="s">
        <v>13</v>
      </c>
      <c r="B5" s="3" t="s">
        <v>357</v>
      </c>
      <c r="C5" s="3" t="s">
        <v>358</v>
      </c>
      <c r="D5" s="3" t="s">
        <v>359</v>
      </c>
      <c r="E5" s="3" t="s">
        <v>31</v>
      </c>
      <c r="F5" s="3" t="s">
        <v>360</v>
      </c>
      <c r="G5" s="3" t="s">
        <v>138</v>
      </c>
    </row>
    <row r="6" spans="1:7" x14ac:dyDescent="0.25">
      <c r="A6" s="5" t="s">
        <v>361</v>
      </c>
      <c r="B6" s="19">
        <f>Consolidated!B15</f>
        <v>45143103.125</v>
      </c>
      <c r="C6" s="19">
        <f>Consolidated!C15</f>
        <v>17730357</v>
      </c>
      <c r="D6" s="19">
        <f>Consolidated!D15</f>
        <v>65702677</v>
      </c>
      <c r="E6" s="6">
        <f>SUM(B6:D6)</f>
        <v>128576137.125</v>
      </c>
    </row>
    <row r="7" spans="1:7" x14ac:dyDescent="0.25">
      <c r="A7" s="5" t="s">
        <v>362</v>
      </c>
      <c r="B7" s="16">
        <v>0</v>
      </c>
      <c r="C7" s="16">
        <v>0</v>
      </c>
      <c r="D7" s="16">
        <v>0</v>
      </c>
      <c r="E7" s="6">
        <f>SUM(B7:D7)</f>
        <v>0</v>
      </c>
    </row>
    <row r="8" spans="1:7" x14ac:dyDescent="0.25">
      <c r="A8" s="5" t="s">
        <v>363</v>
      </c>
      <c r="B8" s="6">
        <f>B6-B7</f>
        <v>45143103.125</v>
      </c>
      <c r="C8" s="6">
        <f>C6-C7</f>
        <v>17730357</v>
      </c>
      <c r="D8" s="6">
        <f>D6-D7</f>
        <v>65702677</v>
      </c>
      <c r="E8" s="6">
        <f>E6-E7</f>
        <v>128576137.125</v>
      </c>
    </row>
    <row r="9" spans="1:7" x14ac:dyDescent="0.25">
      <c r="A9" s="5" t="s">
        <v>364</v>
      </c>
      <c r="B9" s="7">
        <f>IF(B6=0,0,B8/B6)</f>
        <v>1</v>
      </c>
      <c r="C9" s="7">
        <f>IF(C6=0,0,C8/C6)</f>
        <v>1</v>
      </c>
      <c r="D9" s="7">
        <f>IF(D6=0,0,D8/D6)</f>
        <v>1</v>
      </c>
      <c r="E9" s="7">
        <f>IF(E6=0,0,E8/E6)</f>
        <v>1</v>
      </c>
    </row>
    <row r="10" spans="1:7" x14ac:dyDescent="0.25">
      <c r="A10" s="4" t="s">
        <v>365</v>
      </c>
      <c r="B10" s="52"/>
      <c r="C10" s="45"/>
      <c r="D10" s="45"/>
      <c r="E10" s="45"/>
      <c r="F10" s="45"/>
      <c r="G10" s="45"/>
    </row>
    <row r="12" spans="1:7" x14ac:dyDescent="0.25">
      <c r="A12" s="42" t="s">
        <v>366</v>
      </c>
      <c r="B12" s="43"/>
      <c r="C12" s="43"/>
      <c r="D12" s="43"/>
      <c r="E12" s="43"/>
      <c r="F12" s="43"/>
      <c r="G12" s="43"/>
    </row>
    <row r="13" spans="1:7" x14ac:dyDescent="0.25">
      <c r="A13" s="3" t="s">
        <v>13</v>
      </c>
      <c r="B13" s="3" t="s">
        <v>357</v>
      </c>
      <c r="C13" s="3" t="s">
        <v>358</v>
      </c>
      <c r="D13" s="3" t="s">
        <v>359</v>
      </c>
      <c r="E13" s="3" t="s">
        <v>31</v>
      </c>
      <c r="F13" s="3" t="s">
        <v>360</v>
      </c>
      <c r="G13" s="3" t="s">
        <v>138</v>
      </c>
    </row>
    <row r="14" spans="1:7" x14ac:dyDescent="0.25">
      <c r="A14" s="5" t="s">
        <v>361</v>
      </c>
      <c r="B14" s="19">
        <f>Consolidated!B16</f>
        <v>27085861.875</v>
      </c>
      <c r="C14" s="19">
        <f>Consolidated!C16</f>
        <v>10638214.199999999</v>
      </c>
      <c r="D14" s="19">
        <f>Consolidated!D16</f>
        <v>39421606.200000003</v>
      </c>
      <c r="E14" s="6">
        <f>SUM(B14:D14)</f>
        <v>77145682.275000006</v>
      </c>
    </row>
    <row r="15" spans="1:7" x14ac:dyDescent="0.25">
      <c r="A15" s="5" t="s">
        <v>362</v>
      </c>
      <c r="B15" s="16">
        <v>0</v>
      </c>
      <c r="C15" s="16">
        <v>0</v>
      </c>
      <c r="D15" s="16">
        <v>0</v>
      </c>
      <c r="E15" s="6">
        <f>SUM(B15:D15)</f>
        <v>0</v>
      </c>
    </row>
    <row r="16" spans="1:7" x14ac:dyDescent="0.25">
      <c r="A16" s="5" t="s">
        <v>363</v>
      </c>
      <c r="B16" s="6">
        <f>B14-B15</f>
        <v>27085861.875</v>
      </c>
      <c r="C16" s="6">
        <f>C14-C15</f>
        <v>10638214.199999999</v>
      </c>
      <c r="D16" s="6">
        <f>D14-D15</f>
        <v>39421606.200000003</v>
      </c>
      <c r="E16" s="6">
        <f>E14-E15</f>
        <v>77145682.275000006</v>
      </c>
    </row>
    <row r="17" spans="1:7" x14ac:dyDescent="0.25">
      <c r="A17" s="5" t="s">
        <v>364</v>
      </c>
      <c r="B17" s="7">
        <f>IF(B14=0,0,B16/B14)</f>
        <v>1</v>
      </c>
      <c r="C17" s="7">
        <f>IF(C14=0,0,C16/C14)</f>
        <v>1</v>
      </c>
      <c r="D17" s="7">
        <f>IF(D14=0,0,D16/D14)</f>
        <v>1</v>
      </c>
      <c r="E17" s="7">
        <f>IF(E14=0,0,E16/E14)</f>
        <v>1</v>
      </c>
    </row>
    <row r="18" spans="1:7" x14ac:dyDescent="0.25">
      <c r="A18" s="4" t="s">
        <v>365</v>
      </c>
      <c r="B18" s="52"/>
      <c r="C18" s="45"/>
      <c r="D18" s="45"/>
      <c r="E18" s="45"/>
      <c r="F18" s="45"/>
      <c r="G18" s="45"/>
    </row>
    <row r="20" spans="1:7" x14ac:dyDescent="0.25">
      <c r="A20" s="42" t="s">
        <v>367</v>
      </c>
      <c r="B20" s="43"/>
      <c r="C20" s="43"/>
      <c r="D20" s="43"/>
      <c r="E20" s="43"/>
      <c r="F20" s="43"/>
      <c r="G20" s="43"/>
    </row>
    <row r="21" spans="1:7" x14ac:dyDescent="0.25">
      <c r="A21" s="3" t="s">
        <v>13</v>
      </c>
      <c r="B21" s="3" t="s">
        <v>357</v>
      </c>
      <c r="C21" s="3" t="s">
        <v>358</v>
      </c>
      <c r="D21" s="3" t="s">
        <v>359</v>
      </c>
      <c r="E21" s="3" t="s">
        <v>31</v>
      </c>
      <c r="F21" s="3" t="s">
        <v>360</v>
      </c>
      <c r="G21" s="3" t="s">
        <v>138</v>
      </c>
    </row>
    <row r="22" spans="1:7" x14ac:dyDescent="0.25">
      <c r="A22" s="5" t="s">
        <v>361</v>
      </c>
      <c r="B22" s="19">
        <f>Consolidated!B17</f>
        <v>63200344.375</v>
      </c>
      <c r="C22" s="19">
        <f>Consolidated!C17</f>
        <v>24822499.799999997</v>
      </c>
      <c r="D22" s="19">
        <f>Consolidated!D17</f>
        <v>91983747.799999997</v>
      </c>
      <c r="E22" s="6">
        <f>SUM(B22:D22)</f>
        <v>180006591.97499999</v>
      </c>
    </row>
    <row r="23" spans="1:7" x14ac:dyDescent="0.25">
      <c r="A23" s="5" t="s">
        <v>362</v>
      </c>
      <c r="B23" s="16">
        <v>0</v>
      </c>
      <c r="C23" s="16">
        <v>0</v>
      </c>
      <c r="D23" s="16">
        <v>0</v>
      </c>
      <c r="E23" s="6">
        <f>SUM(B23:D23)</f>
        <v>0</v>
      </c>
    </row>
    <row r="24" spans="1:7" x14ac:dyDescent="0.25">
      <c r="A24" s="5" t="s">
        <v>363</v>
      </c>
      <c r="B24" s="6">
        <f>B22-B23</f>
        <v>63200344.375</v>
      </c>
      <c r="C24" s="6">
        <f>C22-C23</f>
        <v>24822499.799999997</v>
      </c>
      <c r="D24" s="6">
        <f>D22-D23</f>
        <v>91983747.799999997</v>
      </c>
      <c r="E24" s="6">
        <f>E22-E23</f>
        <v>180006591.97499999</v>
      </c>
    </row>
    <row r="25" spans="1:7" x14ac:dyDescent="0.25">
      <c r="A25" s="5" t="s">
        <v>364</v>
      </c>
      <c r="B25" s="7">
        <f>IF(B22=0,0,B24/B22)</f>
        <v>1</v>
      </c>
      <c r="C25" s="7">
        <f>IF(C22=0,0,C24/C22)</f>
        <v>1</v>
      </c>
      <c r="D25" s="7">
        <f>IF(D22=0,0,D24/D22)</f>
        <v>1</v>
      </c>
      <c r="E25" s="7">
        <f>IF(E22=0,0,E24/E22)</f>
        <v>1</v>
      </c>
    </row>
    <row r="26" spans="1:7" x14ac:dyDescent="0.25">
      <c r="A26" s="4" t="s">
        <v>365</v>
      </c>
      <c r="B26" s="52"/>
      <c r="C26" s="45"/>
      <c r="D26" s="45"/>
      <c r="E26" s="45"/>
      <c r="F26" s="45"/>
      <c r="G26" s="45"/>
    </row>
    <row r="28" spans="1:7" x14ac:dyDescent="0.25">
      <c r="A28" s="42" t="s">
        <v>368</v>
      </c>
      <c r="B28" s="43"/>
      <c r="C28" s="43"/>
      <c r="D28" s="43"/>
      <c r="E28" s="43"/>
      <c r="F28" s="43"/>
      <c r="G28" s="43"/>
    </row>
    <row r="29" spans="1:7" x14ac:dyDescent="0.25">
      <c r="A29" s="3" t="s">
        <v>13</v>
      </c>
      <c r="B29" s="3" t="s">
        <v>357</v>
      </c>
      <c r="C29" s="3" t="s">
        <v>358</v>
      </c>
      <c r="D29" s="3" t="s">
        <v>359</v>
      </c>
      <c r="E29" s="3" t="s">
        <v>31</v>
      </c>
      <c r="F29" s="3" t="s">
        <v>360</v>
      </c>
      <c r="G29" s="3" t="s">
        <v>138</v>
      </c>
    </row>
    <row r="30" spans="1:7" x14ac:dyDescent="0.25">
      <c r="A30" s="5" t="s">
        <v>361</v>
      </c>
      <c r="B30" s="19">
        <f>Consolidated!B18</f>
        <v>45143103.125</v>
      </c>
      <c r="C30" s="19">
        <f>Consolidated!C18</f>
        <v>17730357</v>
      </c>
      <c r="D30" s="19">
        <f>Consolidated!D18</f>
        <v>65702677</v>
      </c>
      <c r="E30" s="6">
        <f>SUM(B30:D30)</f>
        <v>128576137.125</v>
      </c>
    </row>
    <row r="31" spans="1:7" x14ac:dyDescent="0.25">
      <c r="A31" s="5" t="s">
        <v>362</v>
      </c>
      <c r="B31" s="16">
        <v>0</v>
      </c>
      <c r="C31" s="16">
        <v>0</v>
      </c>
      <c r="D31" s="16">
        <v>0</v>
      </c>
      <c r="E31" s="6">
        <f>SUM(B31:D31)</f>
        <v>0</v>
      </c>
    </row>
    <row r="32" spans="1:7" x14ac:dyDescent="0.25">
      <c r="A32" s="5" t="s">
        <v>363</v>
      </c>
      <c r="B32" s="6">
        <f>B30-B31</f>
        <v>45143103.125</v>
      </c>
      <c r="C32" s="6">
        <f>C30-C31</f>
        <v>17730357</v>
      </c>
      <c r="D32" s="6">
        <f>D30-D31</f>
        <v>65702677</v>
      </c>
      <c r="E32" s="6">
        <f>E30-E31</f>
        <v>128576137.125</v>
      </c>
    </row>
    <row r="33" spans="1:7" x14ac:dyDescent="0.25">
      <c r="A33" s="5" t="s">
        <v>364</v>
      </c>
      <c r="B33" s="7">
        <f>IF(B30=0,0,B32/B30)</f>
        <v>1</v>
      </c>
      <c r="C33" s="7">
        <f>IF(C30=0,0,C32/C30)</f>
        <v>1</v>
      </c>
      <c r="D33" s="7">
        <f>IF(D30=0,0,D32/D30)</f>
        <v>1</v>
      </c>
      <c r="E33" s="7">
        <f>IF(E30=0,0,E32/E30)</f>
        <v>1</v>
      </c>
    </row>
    <row r="34" spans="1:7" x14ac:dyDescent="0.25">
      <c r="A34" s="4" t="s">
        <v>365</v>
      </c>
      <c r="B34" s="52"/>
      <c r="C34" s="45"/>
      <c r="D34" s="45"/>
      <c r="E34" s="45"/>
      <c r="F34" s="45"/>
      <c r="G34" s="45"/>
    </row>
    <row r="36" spans="1:7" x14ac:dyDescent="0.25">
      <c r="A36" s="42" t="s">
        <v>369</v>
      </c>
      <c r="B36" s="43"/>
      <c r="C36" s="43"/>
      <c r="D36" s="43"/>
      <c r="E36" s="43"/>
      <c r="F36" s="43"/>
      <c r="G36" s="43"/>
    </row>
    <row r="37" spans="1:7" x14ac:dyDescent="0.25">
      <c r="A37" s="5" t="s">
        <v>370</v>
      </c>
      <c r="E37" s="6">
        <f>Consolidated!F8</f>
        <v>514304548.5</v>
      </c>
    </row>
  </sheetData>
  <mergeCells count="11">
    <mergeCell ref="A36:G36"/>
    <mergeCell ref="B34:G34"/>
    <mergeCell ref="B10:G10"/>
    <mergeCell ref="A1:G1"/>
    <mergeCell ref="A12:G12"/>
    <mergeCell ref="A4:G4"/>
    <mergeCell ref="A20:G20"/>
    <mergeCell ref="A2:G2"/>
    <mergeCell ref="B26:G26"/>
    <mergeCell ref="B18:G18"/>
    <mergeCell ref="A28:G28"/>
  </mergeCells>
  <conditionalFormatting sqref="B8:E8">
    <cfRule type="cellIs" dxfId="7" priority="1" operator="lessThan">
      <formula>0</formula>
    </cfRule>
  </conditionalFormatting>
  <conditionalFormatting sqref="B9:E9">
    <cfRule type="expression" dxfId="6" priority="2">
      <formula>ABS(B9)&gt;0.15</formula>
    </cfRule>
  </conditionalFormatting>
  <conditionalFormatting sqref="B16:E16">
    <cfRule type="cellIs" dxfId="5" priority="3" operator="lessThan">
      <formula>0</formula>
    </cfRule>
  </conditionalFormatting>
  <conditionalFormatting sqref="B17:E17">
    <cfRule type="expression" dxfId="4" priority="4">
      <formula>ABS(B17)&gt;0.15</formula>
    </cfRule>
  </conditionalFormatting>
  <conditionalFormatting sqref="B24:E24">
    <cfRule type="cellIs" dxfId="3" priority="5" operator="lessThan">
      <formula>0</formula>
    </cfRule>
  </conditionalFormatting>
  <conditionalFormatting sqref="B25:E25">
    <cfRule type="expression" dxfId="2" priority="6">
      <formula>ABS(B25)&gt;0.15</formula>
    </cfRule>
  </conditionalFormatting>
  <conditionalFormatting sqref="B32:E32">
    <cfRule type="cellIs" dxfId="1" priority="7" operator="lessThan">
      <formula>0</formula>
    </cfRule>
  </conditionalFormatting>
  <conditionalFormatting sqref="B33:E33">
    <cfRule type="expression" dxfId="0" priority="8">
      <formula>ABS(B33)&gt;0.15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Dashboard</vt:lpstr>
      <vt:lpstr>Master Inputs</vt:lpstr>
      <vt:lpstr>Obj1 Helix</vt:lpstr>
      <vt:lpstr>Obj2A East</vt:lpstr>
      <vt:lpstr>Obj2B UPHR</vt:lpstr>
      <vt:lpstr>Consolidated</vt:lpstr>
      <vt:lpstr>Vol Projections</vt:lpstr>
      <vt:lpstr>Activity Costs</vt:lpstr>
      <vt:lpstr>ROI Metrics</vt:lpstr>
      <vt:lpstr>Quarterly Review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Siddharth Jain</cp:lastModifiedBy>
  <dcterms:created xsi:type="dcterms:W3CDTF">2026-02-13T20:43:34Z</dcterms:created>
  <dcterms:modified xsi:type="dcterms:W3CDTF">2026-02-13T20:46:51Z</dcterms:modified>
</cp:coreProperties>
</file>